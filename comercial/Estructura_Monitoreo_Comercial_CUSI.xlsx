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TABLA GENERAL" sheetId="2" state="visible" r:id="rId2"/>
    <sheet xmlns:r="http://schemas.openxmlformats.org/officeDocument/2006/relationships" name="ASESOR 01" sheetId="3" state="visible" r:id="rId3"/>
    <sheet xmlns:r="http://schemas.openxmlformats.org/officeDocument/2006/relationships" name="ASESOR 02" sheetId="4" state="visible" r:id="rId4"/>
    <sheet xmlns:r="http://schemas.openxmlformats.org/officeDocument/2006/relationships" name="ASESOR 03" sheetId="5" state="visible" r:id="rId5"/>
    <sheet xmlns:r="http://schemas.openxmlformats.org/officeDocument/2006/relationships" name="ASESOR 04" sheetId="6" state="visible" r:id="rId6"/>
    <sheet xmlns:r="http://schemas.openxmlformats.org/officeDocument/2006/relationships" name="ASESOR 05" sheetId="7" state="visible" r:id="rId7"/>
    <sheet xmlns:r="http://schemas.openxmlformats.org/officeDocument/2006/relationships" name="ASESOR 06" sheetId="8" state="visible" r:id="rId8"/>
    <sheet xmlns:r="http://schemas.openxmlformats.org/officeDocument/2006/relationships" name="ASESOR 07" sheetId="9" state="visible" r:id="rId9"/>
    <sheet xmlns:r="http://schemas.openxmlformats.org/officeDocument/2006/relationships" name="ASESOR 08" sheetId="10" state="visible" r:id="rId10"/>
    <sheet xmlns:r="http://schemas.openxmlformats.org/officeDocument/2006/relationships" name="ASESOR 09" sheetId="11" state="visible" r:id="rId11"/>
    <sheet xmlns:r="http://schemas.openxmlformats.org/officeDocument/2006/relationships" name="ASESOR 10" sheetId="12" state="visible" r:id="rId12"/>
    <sheet xmlns:r="http://schemas.openxmlformats.org/officeDocument/2006/relationships" name="ASESOR 11" sheetId="13" state="visible" r:id="rId13"/>
    <sheet xmlns:r="http://schemas.openxmlformats.org/officeDocument/2006/relationships" name="ASESOR 12" sheetId="14" state="visible" r:id="rId14"/>
    <sheet xmlns:r="http://schemas.openxmlformats.org/officeDocument/2006/relationships" name="ASESOR 13" sheetId="15" state="visible" r:id="rId15"/>
    <sheet xmlns:r="http://schemas.openxmlformats.org/officeDocument/2006/relationships" name="RESUMEN" sheetId="16" state="visible" r:id="rId16"/>
    <sheet xmlns:r="http://schemas.openxmlformats.org/officeDocument/2006/relationships" name="CRITERIOS" sheetId="17" state="visible" r:id="rId17"/>
    <sheet xmlns:r="http://schemas.openxmlformats.org/officeDocument/2006/relationships" name="ESTRUCTURA WhatsApp" sheetId="18" state="visible" r:id="rId18"/>
    <sheet xmlns:r="http://schemas.openxmlformats.org/officeDocument/2006/relationships" name="ESTRUCTURA Llamada" sheetId="19" state="visible" r:id="rId19"/>
    <sheet xmlns:r="http://schemas.openxmlformats.org/officeDocument/2006/relationships" name="ESTRUCTURA Correo" sheetId="20" state="visible" r:id="rId20"/>
    <sheet xmlns:r="http://schemas.openxmlformats.org/officeDocument/2006/relationships" name="ESTRUCTURA Presencial" sheetId="21" state="visible" r:id="rId21"/>
    <sheet xmlns:r="http://schemas.openxmlformats.org/officeDocument/2006/relationships" name="VARIABL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dd/mm/yyyy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9E7"/>
      </patternFill>
    </fill>
    <fill>
      <patternFill patternType="solid">
        <fgColor rgb="00E8F3E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0" fontId="0" fillId="5" borderId="1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5" borderId="1" pivotButton="0" quotePrefix="0" xfId="0"/>
    <xf numFmtId="0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0" fillId="0" borderId="1" pivotButton="0" quotePrefix="0" xfId="0"/>
    <xf numFmtId="9" fontId="0" fillId="5" borderId="1" pivotButton="0" quotePrefix="0" xfId="0"/>
    <xf numFmtId="165" fontId="0" fillId="0" borderId="1" pivotButton="0" quotePrefix="0" xfId="0"/>
    <xf numFmtId="0" fontId="0" fillId="0" borderId="0" applyAlignment="1" pivotButton="0" quotePrefix="0" xfId="0">
      <alignment wrapText="1"/>
    </xf>
    <xf numFmtId="164" fontId="0" fillId="0" borderId="1" pivotButton="0" quotePrefix="0" xfId="0"/>
    <xf numFmtId="9" fontId="0" fillId="0" borderId="1" pivotButton="0" quotePrefix="0" xfId="0"/>
    <xf numFmtId="0" fontId="3" fillId="0" borderId="1" pivotButton="0" quotePrefix="0" xfId="0"/>
    <xf numFmtId="9" fontId="3" fillId="0" borderId="1" pivotButton="0" quotePrefix="0" xfId="0"/>
    <xf numFmtId="164" fontId="3" fillId="0" borderId="1" pivotButton="0" quotePrefix="0" xfId="0"/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9" fontId="0" fillId="0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FORMATO DE MONITOREO COMERCIAL (Preventa y Venta) · borrador v1 · estructura tomada del PV-FR-59 del CUSI</t>
        </is>
      </c>
    </row>
    <row r="2">
      <c r="A2" s="2" t="inlineStr"/>
    </row>
    <row r="3">
      <c r="A3" s="2" t="inlineStr">
        <is>
          <t>Hojas: TABLA GENERAL (muestra, niveles y resultados por asesor) · ASESOR 01 a 13 (una por asesor, hasta 6 conversaciones) · RESUMEN (cumplimiento por criterio y asesor) · CRITERIOS (catálogo, pesos, receptores de N/A y propiedades) · ESTRUCTURA WhatsApp / Llamada / Correo / Presencial (codificación en el formato de Estructuras.xlsx del CUSI) · VARIABLES (listas).</t>
        </is>
      </c>
    </row>
    <row r="4">
      <c r="A4" s="2" t="inlineStr">
        <is>
          <t>Codificación: cada ítem tiene número por canal, propiedad con prefijo (wa_, ll_, co_, pr_), SI / NO / N/A con su peso y 'guion donde reposa' (número del ítem que recibe el peso si es N/A). Peso N/A = el peso que se traslada.</t>
        </is>
      </c>
    </row>
    <row r="5">
      <c r="A5" s="2" t="inlineStr"/>
    </row>
    <row r="6">
      <c r="A6" s="2" t="inlineStr">
        <is>
          <t>Cómo se diligencia: en cada hoja ASESOR escribe el nombre, el canal y el tipo de gestión; luego, por cada conversación (columna Resultado, celdas amarillas) elige SI / NO / N/A. Todo lo demás se calcula.</t>
        </is>
      </c>
    </row>
    <row r="7">
      <c r="A7" s="2" t="inlineStr">
        <is>
          <t>Una hoja ASESOR evalúa un canal y una gestión a la vez. Para evaluar a un asesor en otro canal, usa otra hoja ASESOR.</t>
        </is>
      </c>
    </row>
    <row r="8">
      <c r="A8" s="2" t="inlineStr"/>
    </row>
    <row r="9">
      <c r="A9" s="2" t="inlineStr">
        <is>
          <t>Fase I (Control Habeas Data, HD): si algún HD es NO, el monitoreo queda reprobado (nota 0, nivel Crítico) y se escala a la Dirección Comercial.</t>
        </is>
      </c>
    </row>
    <row r="10">
      <c r="A10" s="2" t="inlineStr">
        <is>
          <t>Indicadores ECU / ECN / ECC: % de conversaciones sin error. No reprueban por sí solos y no cambian la nota de la Fase II.</t>
        </is>
      </c>
    </row>
    <row r="11">
      <c r="A11" s="2" t="inlineStr">
        <is>
          <t>Fase II: nota sobre 100 = promedio de las conversaciones (cada una suma 100 si cumple todo). Nota /300 = nota ×3, para usar los mismos niveles del CUSI.</t>
        </is>
      </c>
    </row>
    <row r="12">
      <c r="A12" s="2" t="inlineStr">
        <is>
          <t>Aprobación: mínimo 85%. Debajo de 85% el asesor envía plan de acción. Los niveles (Crítico, Básico, En Alerta, Óptimo) son los del CUSI y se ven en TABLA GENERAL.</t>
        </is>
      </c>
    </row>
    <row r="13">
      <c r="A13" s="2" t="inlineStr">
        <is>
          <t>N/A: el peso del ítem pasa completo al ítem indicado en CRITERIOS (columna Receptor). Los ítems fijos no admiten N/A y se marcan REVISAR si se usa.</t>
        </is>
      </c>
    </row>
    <row r="14">
      <c r="A14" s="2" t="inlineStr">
        <is>
          <t>Alerta Dirección: se activa si hay un NO en HD-1, HD-2, HD-3 (filtro de seguridad / terceros), ECU-2 (maltrato) o ECC-2 (alteración de documentos): reporte inmediato con soportes.</t>
        </is>
      </c>
    </row>
    <row r="15">
      <c r="A15" s="2" t="inlineStr"/>
    </row>
    <row r="16">
      <c r="A16" s="2" t="inlineStr">
        <is>
          <t>Pendiente de la operación: confirmar receptores de N/A propuestos, alcance de Cobranza / Llamada / Presencial, y los ítems que dependen de HubSpot.</t>
        </is>
      </c>
    </row>
    <row r="17">
      <c r="A17" s="2" t="inlineStr">
        <is>
          <t>Celdas amarillas = para diligenciar. Rojo = críticos. Verde = ítems fijos.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37"/>
  <sheetViews>
    <sheetView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24" customWidth="1" min="3" max="3"/>
    <col width="22" customWidth="1" min="4" max="4"/>
    <col width="14" customWidth="1" min="5" max="5"/>
    <col width="22" customWidth="1" min="6" max="6"/>
    <col width="14" customWidth="1" min="7" max="7"/>
    <col width="12" customWidth="1" min="8" max="8"/>
    <col width="24" customWidth="1" min="9" max="9"/>
    <col width="34" customWidth="1" min="10" max="10"/>
    <col width="12" customWidth="1" min="11" max="11"/>
    <col width="16" customWidth="1" min="12" max="12"/>
    <col width="9" customWidth="1" min="13" max="13"/>
    <col width="9" customWidth="1" min="14" max="14"/>
    <col width="9" customWidth="1" min="15" max="15"/>
    <col width="16" customWidth="1" min="16" max="16"/>
  </cols>
  <sheetData>
    <row r="2">
      <c r="B2" s="3" t="inlineStr">
        <is>
          <t>FORMATO DE MONITOREO COMERCIAL · TABLA GENERAL</t>
        </is>
      </c>
    </row>
    <row r="5">
      <c r="B5" s="4" t="inlineStr">
        <is>
          <t>Muestra para el mes</t>
        </is>
      </c>
    </row>
    <row r="6" ht="45" customHeight="1">
      <c r="B6" s="4" t="inlineStr">
        <is>
          <t>Mes evaluado</t>
        </is>
      </c>
      <c r="C6" s="5" t="n"/>
      <c r="F6" s="6" t="inlineStr">
        <is>
          <t>Nivel</t>
        </is>
      </c>
      <c r="G6" s="6" t="inlineStr">
        <is>
          <t>Rango puntaje (/300)</t>
        </is>
      </c>
      <c r="H6" s="6" t="inlineStr">
        <is>
          <t>Porcentaje de cumplimiento</t>
        </is>
      </c>
      <c r="I6" s="6" t="inlineStr">
        <is>
          <t>Límite inferior</t>
        </is>
      </c>
      <c r="J6" s="6" t="inlineStr">
        <is>
          <t>Acción correctiva / sugerida</t>
        </is>
      </c>
    </row>
    <row r="7">
      <c r="B7" s="4" t="inlineStr">
        <is>
          <t>Fecha del monitoreo</t>
        </is>
      </c>
      <c r="C7" s="7" t="n"/>
      <c r="F7" s="8" t="inlineStr">
        <is>
          <t>Crítico</t>
        </is>
      </c>
      <c r="G7" s="8" t="inlineStr">
        <is>
          <t>0 - 209</t>
        </is>
      </c>
      <c r="H7" s="8" t="inlineStr">
        <is>
          <t>0% - 69,7%</t>
        </is>
      </c>
      <c r="I7" s="9" t="n">
        <v>0</v>
      </c>
      <c r="J7" s="8" t="inlineStr">
        <is>
          <t>Llamado de atención, proceso disciplinario y plan de trabajo</t>
        </is>
      </c>
    </row>
    <row r="8">
      <c r="B8" s="4" t="inlineStr">
        <is>
          <t>N manual (solo si no se diligencian los casos por asesor)</t>
        </is>
      </c>
      <c r="C8" s="5" t="n"/>
      <c r="F8" s="8" t="inlineStr">
        <is>
          <t>Básico</t>
        </is>
      </c>
      <c r="G8" s="8" t="inlineStr">
        <is>
          <t>210 - 239</t>
        </is>
      </c>
      <c r="H8" s="8" t="inlineStr">
        <is>
          <t>70% - 79,7%</t>
        </is>
      </c>
      <c r="I8" s="9" t="n">
        <v>0.7</v>
      </c>
      <c r="J8" s="8" t="inlineStr">
        <is>
          <t>Requiere retroalimentación</t>
        </is>
      </c>
    </row>
    <row r="9">
      <c r="B9" s="4" t="inlineStr">
        <is>
          <t>N (población usada)</t>
        </is>
      </c>
      <c r="C9" s="10">
        <f>IF(SUM(E25:E37)&gt;0,SUM(E25:E37),C8)</f>
        <v/>
      </c>
      <c r="F9" s="8" t="inlineStr">
        <is>
          <t>En Alerta</t>
        </is>
      </c>
      <c r="G9" s="8" t="inlineStr">
        <is>
          <t>240 - 275</t>
        </is>
      </c>
      <c r="H9" s="8" t="inlineStr">
        <is>
          <t>80% - 91,7%</t>
        </is>
      </c>
      <c r="I9" s="9" t="n">
        <v>0.8</v>
      </c>
      <c r="J9" s="8" t="inlineStr">
        <is>
          <t>Requiere compromisos</t>
        </is>
      </c>
    </row>
    <row r="10">
      <c r="B10" s="4" t="inlineStr">
        <is>
          <t>Nivel de confianza</t>
        </is>
      </c>
      <c r="C10" s="11" t="n">
        <v>0.95</v>
      </c>
      <c r="F10" s="8" t="inlineStr">
        <is>
          <t>Óptimo</t>
        </is>
      </c>
      <c r="G10" s="8" t="inlineStr">
        <is>
          <t>276 - 300</t>
        </is>
      </c>
      <c r="H10" s="8" t="inlineStr">
        <is>
          <t>92% - 100%</t>
        </is>
      </c>
      <c r="I10" s="9" t="n">
        <v>0.92</v>
      </c>
      <c r="J10" s="8" t="inlineStr">
        <is>
          <t>No requiere compromisos</t>
        </is>
      </c>
    </row>
    <row r="11">
      <c r="B11" s="4" t="inlineStr">
        <is>
          <t>Z (automático)</t>
        </is>
      </c>
      <c r="C11" s="12">
        <f>VLOOKUP(C10,VARIABLES!$G$2:$H$4,2,0)</f>
        <v/>
      </c>
      <c r="F11" s="13" t="inlineStr">
        <is>
          <t>Regla de aprobación: mínimo 85% (nota /100). Debajo de 85% el asesor envía plan de acción. Fase I (HD) con NO = Reprobado.</t>
        </is>
      </c>
    </row>
    <row r="12">
      <c r="B12" s="4" t="inlineStr">
        <is>
          <t>p (probabilidad de éxito)</t>
        </is>
      </c>
      <c r="C12" s="5" t="n">
        <v>0.5</v>
      </c>
    </row>
    <row r="13">
      <c r="B13" s="4" t="inlineStr">
        <is>
          <t>q (probabilidad de fracaso)</t>
        </is>
      </c>
      <c r="C13" s="10">
        <f>1-C12</f>
        <v/>
      </c>
    </row>
    <row r="14">
      <c r="B14" s="4" t="inlineStr">
        <is>
          <t>E (margen de error)</t>
        </is>
      </c>
      <c r="C14" s="11" t="n">
        <v>0.1</v>
      </c>
    </row>
    <row r="15">
      <c r="B15" s="4" t="inlineStr">
        <is>
          <t>Asesores a evaluar</t>
        </is>
      </c>
      <c r="C15" s="10">
        <f>COUNTIF(B25:B37,"?*")</f>
        <v/>
      </c>
    </row>
    <row r="16">
      <c r="B16" s="4" t="inlineStr">
        <is>
          <t>n (muestra global)</t>
        </is>
      </c>
      <c r="C16" s="10">
        <f>IFERROR(ROUNDUP(C9*C11^2*C12*C13/(C14^2*(C9-1)+C11^2*C12*C13),0),"")</f>
        <v/>
      </c>
    </row>
    <row r="17">
      <c r="B17" s="4" t="inlineStr">
        <is>
          <t>Método de distribución por asesor</t>
        </is>
      </c>
      <c r="C17" s="5" t="inlineStr">
        <is>
          <t>Proporcional al volumen</t>
        </is>
      </c>
    </row>
    <row r="18">
      <c r="B18" s="4" t="inlineStr">
        <is>
          <t>Mínimo de casos por asesor</t>
        </is>
      </c>
      <c r="C18" s="5" t="n">
        <v>3</v>
      </c>
    </row>
    <row r="19">
      <c r="B19" s="4" t="inlineStr">
        <is>
          <t>Muestra por asesor (si es igual para todos)</t>
        </is>
      </c>
      <c r="C19" s="10">
        <f>IFERROR(MAX(C18,ROUNDUP(C16/C15,0)),"")</f>
        <v/>
      </c>
    </row>
    <row r="20">
      <c r="B20" s="4" t="inlineStr">
        <is>
          <t>Muestra total a monitorear (suma por asesor)</t>
        </is>
      </c>
      <c r="C20" s="10">
        <f>SUM(F25:F37)</f>
        <v/>
      </c>
    </row>
    <row r="21">
      <c r="B21" s="4" t="inlineStr">
        <is>
          <t>Mínimo para aprobar (PV-IN-04)</t>
        </is>
      </c>
      <c r="C21" s="11" t="n">
        <v>0.85</v>
      </c>
    </row>
    <row r="23">
      <c r="B23" s="4" t="inlineStr">
        <is>
          <t>Tabla de resultados</t>
        </is>
      </c>
    </row>
    <row r="24" ht="42" customHeight="1">
      <c r="B24" s="6" t="inlineStr">
        <is>
          <t>Asesor</t>
        </is>
      </c>
      <c r="C24" s="6" t="inlineStr">
        <is>
          <t>Canal</t>
        </is>
      </c>
      <c r="D24" s="6" t="inlineStr">
        <is>
          <t>Gestión</t>
        </is>
      </c>
      <c r="E24" s="6" t="inlineStr">
        <is>
          <t>Volumen de casos</t>
        </is>
      </c>
      <c r="F24" s="6" t="inlineStr">
        <is>
          <t>Muestra asignada</t>
        </is>
      </c>
      <c r="G24" s="6" t="inlineStr">
        <is>
          <t>Conversaciones evaluadas</t>
        </is>
      </c>
      <c r="H24" s="6" t="inlineStr">
        <is>
          <t>Fase I</t>
        </is>
      </c>
      <c r="I24" s="6" t="inlineStr">
        <is>
          <t>Nota /100</t>
        </is>
      </c>
      <c r="J24" s="6" t="inlineStr">
        <is>
          <t>Nota /300</t>
        </is>
      </c>
      <c r="K24" s="6" t="inlineStr">
        <is>
          <t>Nivel</t>
        </is>
      </c>
      <c r="L24" s="6" t="inlineStr">
        <is>
          <t>Estado</t>
        </is>
      </c>
      <c r="M24" s="6" t="inlineStr">
        <is>
          <t>ECU %</t>
        </is>
      </c>
      <c r="N24" s="6" t="inlineStr">
        <is>
          <t>ECN %</t>
        </is>
      </c>
      <c r="O24" s="6" t="inlineStr">
        <is>
          <t>ECC %</t>
        </is>
      </c>
      <c r="P24" s="6" t="inlineStr">
        <is>
          <t>Alerta Dirección</t>
        </is>
      </c>
    </row>
    <row r="25">
      <c r="B25" s="10">
        <f>IF('ASESOR 01'!B3="","",'ASESOR 01'!B3)</f>
        <v/>
      </c>
      <c r="C25" s="10">
        <f>IF('ASESOR 01'!B4="","",'ASESOR 01'!B4)</f>
        <v/>
      </c>
      <c r="D25" s="10">
        <f>IF('ASESOR 01'!B5="","",'ASESOR 01'!B5)</f>
        <v/>
      </c>
      <c r="E25" s="5" t="n"/>
      <c r="F25" s="10">
        <f>IF(OR(B25="",$C$16=""),"",IF(SUM($E$25:$E$37)&gt;0,MAX($C$18,ROUND($C$16*E25/SUM($E$25:$E$37),0)),$C$19))</f>
        <v/>
      </c>
      <c r="G25" s="10">
        <f>'ASESOR 01'!B7</f>
        <v/>
      </c>
      <c r="H25" s="10">
        <f>'ASESOR 01'!P3</f>
        <v/>
      </c>
      <c r="I25" s="14">
        <f>'ASESOR 01'!P4</f>
        <v/>
      </c>
      <c r="J25" s="14">
        <f>'ASESOR 01'!P5</f>
        <v/>
      </c>
      <c r="K25" s="10">
        <f>'ASESOR 01'!P6</f>
        <v/>
      </c>
      <c r="L25" s="10">
        <f>'ASESOR 01'!P7</f>
        <v/>
      </c>
      <c r="M25" s="15">
        <f>'ASESOR 01'!Z3</f>
        <v/>
      </c>
      <c r="N25" s="15">
        <f>'ASESOR 01'!Z4</f>
        <v/>
      </c>
      <c r="O25" s="15">
        <f>'ASESOR 01'!Z5</f>
        <v/>
      </c>
      <c r="P25" s="10">
        <f>'ASESOR 01'!Z6</f>
        <v/>
      </c>
    </row>
    <row r="26">
      <c r="B26" s="10">
        <f>IF('ASESOR 02'!B3="","",'ASESOR 02'!B3)</f>
        <v/>
      </c>
      <c r="C26" s="10">
        <f>IF('ASESOR 02'!B4="","",'ASESOR 02'!B4)</f>
        <v/>
      </c>
      <c r="D26" s="10">
        <f>IF('ASESOR 02'!B5="","",'ASESOR 02'!B5)</f>
        <v/>
      </c>
      <c r="E26" s="5" t="n"/>
      <c r="F26" s="10">
        <f>IF(OR(B26="",$C$16=""),"",IF(SUM($E$25:$E$37)&gt;0,MAX($C$18,ROUND($C$16*E26/SUM($E$25:$E$37),0)),$C$19))</f>
        <v/>
      </c>
      <c r="G26" s="10">
        <f>'ASESOR 02'!B7</f>
        <v/>
      </c>
      <c r="H26" s="10">
        <f>'ASESOR 02'!P3</f>
        <v/>
      </c>
      <c r="I26" s="14">
        <f>'ASESOR 02'!P4</f>
        <v/>
      </c>
      <c r="J26" s="14">
        <f>'ASESOR 02'!P5</f>
        <v/>
      </c>
      <c r="K26" s="10">
        <f>'ASESOR 02'!P6</f>
        <v/>
      </c>
      <c r="L26" s="10">
        <f>'ASESOR 02'!P7</f>
        <v/>
      </c>
      <c r="M26" s="15">
        <f>'ASESOR 02'!Z3</f>
        <v/>
      </c>
      <c r="N26" s="15">
        <f>'ASESOR 02'!Z4</f>
        <v/>
      </c>
      <c r="O26" s="15">
        <f>'ASESOR 02'!Z5</f>
        <v/>
      </c>
      <c r="P26" s="10">
        <f>'ASESOR 02'!Z6</f>
        <v/>
      </c>
    </row>
    <row r="27">
      <c r="B27" s="10">
        <f>IF('ASESOR 03'!B3="","",'ASESOR 03'!B3)</f>
        <v/>
      </c>
      <c r="C27" s="10">
        <f>IF('ASESOR 03'!B4="","",'ASESOR 03'!B4)</f>
        <v/>
      </c>
      <c r="D27" s="10">
        <f>IF('ASESOR 03'!B5="","",'ASESOR 03'!B5)</f>
        <v/>
      </c>
      <c r="E27" s="5" t="n"/>
      <c r="F27" s="10">
        <f>IF(OR(B27="",$C$16=""),"",IF(SUM($E$25:$E$37)&gt;0,MAX($C$18,ROUND($C$16*E27/SUM($E$25:$E$37),0)),$C$19))</f>
        <v/>
      </c>
      <c r="G27" s="10">
        <f>'ASESOR 03'!B7</f>
        <v/>
      </c>
      <c r="H27" s="10">
        <f>'ASESOR 03'!P3</f>
        <v/>
      </c>
      <c r="I27" s="14">
        <f>'ASESOR 03'!P4</f>
        <v/>
      </c>
      <c r="J27" s="14">
        <f>'ASESOR 03'!P5</f>
        <v/>
      </c>
      <c r="K27" s="10">
        <f>'ASESOR 03'!P6</f>
        <v/>
      </c>
      <c r="L27" s="10">
        <f>'ASESOR 03'!P7</f>
        <v/>
      </c>
      <c r="M27" s="15">
        <f>'ASESOR 03'!Z3</f>
        <v/>
      </c>
      <c r="N27" s="15">
        <f>'ASESOR 03'!Z4</f>
        <v/>
      </c>
      <c r="O27" s="15">
        <f>'ASESOR 03'!Z5</f>
        <v/>
      </c>
      <c r="P27" s="10">
        <f>'ASESOR 03'!Z6</f>
        <v/>
      </c>
    </row>
    <row r="28">
      <c r="B28" s="10">
        <f>IF('ASESOR 04'!B3="","",'ASESOR 04'!B3)</f>
        <v/>
      </c>
      <c r="C28" s="10">
        <f>IF('ASESOR 04'!B4="","",'ASESOR 04'!B4)</f>
        <v/>
      </c>
      <c r="D28" s="10">
        <f>IF('ASESOR 04'!B5="","",'ASESOR 04'!B5)</f>
        <v/>
      </c>
      <c r="E28" s="5" t="n"/>
      <c r="F28" s="10">
        <f>IF(OR(B28="",$C$16=""),"",IF(SUM($E$25:$E$37)&gt;0,MAX($C$18,ROUND($C$16*E28/SUM($E$25:$E$37),0)),$C$19))</f>
        <v/>
      </c>
      <c r="G28" s="10">
        <f>'ASESOR 04'!B7</f>
        <v/>
      </c>
      <c r="H28" s="10">
        <f>'ASESOR 04'!P3</f>
        <v/>
      </c>
      <c r="I28" s="14">
        <f>'ASESOR 04'!P4</f>
        <v/>
      </c>
      <c r="J28" s="14">
        <f>'ASESOR 04'!P5</f>
        <v/>
      </c>
      <c r="K28" s="10">
        <f>'ASESOR 04'!P6</f>
        <v/>
      </c>
      <c r="L28" s="10">
        <f>'ASESOR 04'!P7</f>
        <v/>
      </c>
      <c r="M28" s="15">
        <f>'ASESOR 04'!Z3</f>
        <v/>
      </c>
      <c r="N28" s="15">
        <f>'ASESOR 04'!Z4</f>
        <v/>
      </c>
      <c r="O28" s="15">
        <f>'ASESOR 04'!Z5</f>
        <v/>
      </c>
      <c r="P28" s="10">
        <f>'ASESOR 04'!Z6</f>
        <v/>
      </c>
    </row>
    <row r="29">
      <c r="B29" s="10">
        <f>IF('ASESOR 05'!B3="","",'ASESOR 05'!B3)</f>
        <v/>
      </c>
      <c r="C29" s="10">
        <f>IF('ASESOR 05'!B4="","",'ASESOR 05'!B4)</f>
        <v/>
      </c>
      <c r="D29" s="10">
        <f>IF('ASESOR 05'!B5="","",'ASESOR 05'!B5)</f>
        <v/>
      </c>
      <c r="E29" s="5" t="n"/>
      <c r="F29" s="10">
        <f>IF(OR(B29="",$C$16=""),"",IF(SUM($E$25:$E$37)&gt;0,MAX($C$18,ROUND($C$16*E29/SUM($E$25:$E$37),0)),$C$19))</f>
        <v/>
      </c>
      <c r="G29" s="10">
        <f>'ASESOR 05'!B7</f>
        <v/>
      </c>
      <c r="H29" s="10">
        <f>'ASESOR 05'!P3</f>
        <v/>
      </c>
      <c r="I29" s="14">
        <f>'ASESOR 05'!P4</f>
        <v/>
      </c>
      <c r="J29" s="14">
        <f>'ASESOR 05'!P5</f>
        <v/>
      </c>
      <c r="K29" s="10">
        <f>'ASESOR 05'!P6</f>
        <v/>
      </c>
      <c r="L29" s="10">
        <f>'ASESOR 05'!P7</f>
        <v/>
      </c>
      <c r="M29" s="15">
        <f>'ASESOR 05'!Z3</f>
        <v/>
      </c>
      <c r="N29" s="15">
        <f>'ASESOR 05'!Z4</f>
        <v/>
      </c>
      <c r="O29" s="15">
        <f>'ASESOR 05'!Z5</f>
        <v/>
      </c>
      <c r="P29" s="10">
        <f>'ASESOR 05'!Z6</f>
        <v/>
      </c>
    </row>
    <row r="30">
      <c r="B30" s="10">
        <f>IF('ASESOR 06'!B3="","",'ASESOR 06'!B3)</f>
        <v/>
      </c>
      <c r="C30" s="10">
        <f>IF('ASESOR 06'!B4="","",'ASESOR 06'!B4)</f>
        <v/>
      </c>
      <c r="D30" s="10">
        <f>IF('ASESOR 06'!B5="","",'ASESOR 06'!B5)</f>
        <v/>
      </c>
      <c r="E30" s="5" t="n"/>
      <c r="F30" s="10">
        <f>IF(OR(B30="",$C$16=""),"",IF(SUM($E$25:$E$37)&gt;0,MAX($C$18,ROUND($C$16*E30/SUM($E$25:$E$37),0)),$C$19))</f>
        <v/>
      </c>
      <c r="G30" s="10">
        <f>'ASESOR 06'!B7</f>
        <v/>
      </c>
      <c r="H30" s="10">
        <f>'ASESOR 06'!P3</f>
        <v/>
      </c>
      <c r="I30" s="14">
        <f>'ASESOR 06'!P4</f>
        <v/>
      </c>
      <c r="J30" s="14">
        <f>'ASESOR 06'!P5</f>
        <v/>
      </c>
      <c r="K30" s="10">
        <f>'ASESOR 06'!P6</f>
        <v/>
      </c>
      <c r="L30" s="10">
        <f>'ASESOR 06'!P7</f>
        <v/>
      </c>
      <c r="M30" s="15">
        <f>'ASESOR 06'!Z3</f>
        <v/>
      </c>
      <c r="N30" s="15">
        <f>'ASESOR 06'!Z4</f>
        <v/>
      </c>
      <c r="O30" s="15">
        <f>'ASESOR 06'!Z5</f>
        <v/>
      </c>
      <c r="P30" s="10">
        <f>'ASESOR 06'!Z6</f>
        <v/>
      </c>
    </row>
    <row r="31">
      <c r="B31" s="10">
        <f>IF('ASESOR 07'!B3="","",'ASESOR 07'!B3)</f>
        <v/>
      </c>
      <c r="C31" s="10">
        <f>IF('ASESOR 07'!B4="","",'ASESOR 07'!B4)</f>
        <v/>
      </c>
      <c r="D31" s="10">
        <f>IF('ASESOR 07'!B5="","",'ASESOR 07'!B5)</f>
        <v/>
      </c>
      <c r="E31" s="5" t="n"/>
      <c r="F31" s="10">
        <f>IF(OR(B31="",$C$16=""),"",IF(SUM($E$25:$E$37)&gt;0,MAX($C$18,ROUND($C$16*E31/SUM($E$25:$E$37),0)),$C$19))</f>
        <v/>
      </c>
      <c r="G31" s="10">
        <f>'ASESOR 07'!B7</f>
        <v/>
      </c>
      <c r="H31" s="10">
        <f>'ASESOR 07'!P3</f>
        <v/>
      </c>
      <c r="I31" s="14">
        <f>'ASESOR 07'!P4</f>
        <v/>
      </c>
      <c r="J31" s="14">
        <f>'ASESOR 07'!P5</f>
        <v/>
      </c>
      <c r="K31" s="10">
        <f>'ASESOR 07'!P6</f>
        <v/>
      </c>
      <c r="L31" s="10">
        <f>'ASESOR 07'!P7</f>
        <v/>
      </c>
      <c r="M31" s="15">
        <f>'ASESOR 07'!Z3</f>
        <v/>
      </c>
      <c r="N31" s="15">
        <f>'ASESOR 07'!Z4</f>
        <v/>
      </c>
      <c r="O31" s="15">
        <f>'ASESOR 07'!Z5</f>
        <v/>
      </c>
      <c r="P31" s="10">
        <f>'ASESOR 07'!Z6</f>
        <v/>
      </c>
    </row>
    <row r="32">
      <c r="B32" s="10">
        <f>IF('ASESOR 08'!B3="","",'ASESOR 08'!B3)</f>
        <v/>
      </c>
      <c r="C32" s="10">
        <f>IF('ASESOR 08'!B4="","",'ASESOR 08'!B4)</f>
        <v/>
      </c>
      <c r="D32" s="10">
        <f>IF('ASESOR 08'!B5="","",'ASESOR 08'!B5)</f>
        <v/>
      </c>
      <c r="E32" s="5" t="n"/>
      <c r="F32" s="10">
        <f>IF(OR(B32="",$C$16=""),"",IF(SUM($E$25:$E$37)&gt;0,MAX($C$18,ROUND($C$16*E32/SUM($E$25:$E$37),0)),$C$19))</f>
        <v/>
      </c>
      <c r="G32" s="10">
        <f>'ASESOR 08'!B7</f>
        <v/>
      </c>
      <c r="H32" s="10">
        <f>'ASESOR 08'!P3</f>
        <v/>
      </c>
      <c r="I32" s="14">
        <f>'ASESOR 08'!P4</f>
        <v/>
      </c>
      <c r="J32" s="14">
        <f>'ASESOR 08'!P5</f>
        <v/>
      </c>
      <c r="K32" s="10">
        <f>'ASESOR 08'!P6</f>
        <v/>
      </c>
      <c r="L32" s="10">
        <f>'ASESOR 08'!P7</f>
        <v/>
      </c>
      <c r="M32" s="15">
        <f>'ASESOR 08'!Z3</f>
        <v/>
      </c>
      <c r="N32" s="15">
        <f>'ASESOR 08'!Z4</f>
        <v/>
      </c>
      <c r="O32" s="15">
        <f>'ASESOR 08'!Z5</f>
        <v/>
      </c>
      <c r="P32" s="10">
        <f>'ASESOR 08'!Z6</f>
        <v/>
      </c>
    </row>
    <row r="33">
      <c r="B33" s="10">
        <f>IF('ASESOR 09'!B3="","",'ASESOR 09'!B3)</f>
        <v/>
      </c>
      <c r="C33" s="10">
        <f>IF('ASESOR 09'!B4="","",'ASESOR 09'!B4)</f>
        <v/>
      </c>
      <c r="D33" s="10">
        <f>IF('ASESOR 09'!B5="","",'ASESOR 09'!B5)</f>
        <v/>
      </c>
      <c r="E33" s="5" t="n"/>
      <c r="F33" s="10">
        <f>IF(OR(B33="",$C$16=""),"",IF(SUM($E$25:$E$37)&gt;0,MAX($C$18,ROUND($C$16*E33/SUM($E$25:$E$37),0)),$C$19))</f>
        <v/>
      </c>
      <c r="G33" s="10">
        <f>'ASESOR 09'!B7</f>
        <v/>
      </c>
      <c r="H33" s="10">
        <f>'ASESOR 09'!P3</f>
        <v/>
      </c>
      <c r="I33" s="14">
        <f>'ASESOR 09'!P4</f>
        <v/>
      </c>
      <c r="J33" s="14">
        <f>'ASESOR 09'!P5</f>
        <v/>
      </c>
      <c r="K33" s="10">
        <f>'ASESOR 09'!P6</f>
        <v/>
      </c>
      <c r="L33" s="10">
        <f>'ASESOR 09'!P7</f>
        <v/>
      </c>
      <c r="M33" s="15">
        <f>'ASESOR 09'!Z3</f>
        <v/>
      </c>
      <c r="N33" s="15">
        <f>'ASESOR 09'!Z4</f>
        <v/>
      </c>
      <c r="O33" s="15">
        <f>'ASESOR 09'!Z5</f>
        <v/>
      </c>
      <c r="P33" s="10">
        <f>'ASESOR 09'!Z6</f>
        <v/>
      </c>
    </row>
    <row r="34">
      <c r="B34" s="10">
        <f>IF('ASESOR 10'!B3="","",'ASESOR 10'!B3)</f>
        <v/>
      </c>
      <c r="C34" s="10">
        <f>IF('ASESOR 10'!B4="","",'ASESOR 10'!B4)</f>
        <v/>
      </c>
      <c r="D34" s="10">
        <f>IF('ASESOR 10'!B5="","",'ASESOR 10'!B5)</f>
        <v/>
      </c>
      <c r="E34" s="5" t="n"/>
      <c r="F34" s="10">
        <f>IF(OR(B34="",$C$16=""),"",IF(SUM($E$25:$E$37)&gt;0,MAX($C$18,ROUND($C$16*E34/SUM($E$25:$E$37),0)),$C$19))</f>
        <v/>
      </c>
      <c r="G34" s="10">
        <f>'ASESOR 10'!B7</f>
        <v/>
      </c>
      <c r="H34" s="10">
        <f>'ASESOR 10'!P3</f>
        <v/>
      </c>
      <c r="I34" s="14">
        <f>'ASESOR 10'!P4</f>
        <v/>
      </c>
      <c r="J34" s="14">
        <f>'ASESOR 10'!P5</f>
        <v/>
      </c>
      <c r="K34" s="10">
        <f>'ASESOR 10'!P6</f>
        <v/>
      </c>
      <c r="L34" s="10">
        <f>'ASESOR 10'!P7</f>
        <v/>
      </c>
      <c r="M34" s="15">
        <f>'ASESOR 10'!Z3</f>
        <v/>
      </c>
      <c r="N34" s="15">
        <f>'ASESOR 10'!Z4</f>
        <v/>
      </c>
      <c r="O34" s="15">
        <f>'ASESOR 10'!Z5</f>
        <v/>
      </c>
      <c r="P34" s="10">
        <f>'ASESOR 10'!Z6</f>
        <v/>
      </c>
    </row>
    <row r="35">
      <c r="B35" s="10">
        <f>IF('ASESOR 11'!B3="","",'ASESOR 11'!B3)</f>
        <v/>
      </c>
      <c r="C35" s="10">
        <f>IF('ASESOR 11'!B4="","",'ASESOR 11'!B4)</f>
        <v/>
      </c>
      <c r="D35" s="10">
        <f>IF('ASESOR 11'!B5="","",'ASESOR 11'!B5)</f>
        <v/>
      </c>
      <c r="E35" s="5" t="n"/>
      <c r="F35" s="10">
        <f>IF(OR(B35="",$C$16=""),"",IF(SUM($E$25:$E$37)&gt;0,MAX($C$18,ROUND($C$16*E35/SUM($E$25:$E$37),0)),$C$19))</f>
        <v/>
      </c>
      <c r="G35" s="10">
        <f>'ASESOR 11'!B7</f>
        <v/>
      </c>
      <c r="H35" s="10">
        <f>'ASESOR 11'!P3</f>
        <v/>
      </c>
      <c r="I35" s="14">
        <f>'ASESOR 11'!P4</f>
        <v/>
      </c>
      <c r="J35" s="14">
        <f>'ASESOR 11'!P5</f>
        <v/>
      </c>
      <c r="K35" s="10">
        <f>'ASESOR 11'!P6</f>
        <v/>
      </c>
      <c r="L35" s="10">
        <f>'ASESOR 11'!P7</f>
        <v/>
      </c>
      <c r="M35" s="15">
        <f>'ASESOR 11'!Z3</f>
        <v/>
      </c>
      <c r="N35" s="15">
        <f>'ASESOR 11'!Z4</f>
        <v/>
      </c>
      <c r="O35" s="15">
        <f>'ASESOR 11'!Z5</f>
        <v/>
      </c>
      <c r="P35" s="10">
        <f>'ASESOR 11'!Z6</f>
        <v/>
      </c>
    </row>
    <row r="36">
      <c r="B36" s="10">
        <f>IF('ASESOR 12'!B3="","",'ASESOR 12'!B3)</f>
        <v/>
      </c>
      <c r="C36" s="10">
        <f>IF('ASESOR 12'!B4="","",'ASESOR 12'!B4)</f>
        <v/>
      </c>
      <c r="D36" s="10">
        <f>IF('ASESOR 12'!B5="","",'ASESOR 12'!B5)</f>
        <v/>
      </c>
      <c r="E36" s="5" t="n"/>
      <c r="F36" s="10">
        <f>IF(OR(B36="",$C$16=""),"",IF(SUM($E$25:$E$37)&gt;0,MAX($C$18,ROUND($C$16*E36/SUM($E$25:$E$37),0)),$C$19))</f>
        <v/>
      </c>
      <c r="G36" s="10">
        <f>'ASESOR 12'!B7</f>
        <v/>
      </c>
      <c r="H36" s="10">
        <f>'ASESOR 12'!P3</f>
        <v/>
      </c>
      <c r="I36" s="14">
        <f>'ASESOR 12'!P4</f>
        <v/>
      </c>
      <c r="J36" s="14">
        <f>'ASESOR 12'!P5</f>
        <v/>
      </c>
      <c r="K36" s="10">
        <f>'ASESOR 12'!P6</f>
        <v/>
      </c>
      <c r="L36" s="10">
        <f>'ASESOR 12'!P7</f>
        <v/>
      </c>
      <c r="M36" s="15">
        <f>'ASESOR 12'!Z3</f>
        <v/>
      </c>
      <c r="N36" s="15">
        <f>'ASESOR 12'!Z4</f>
        <v/>
      </c>
      <c r="O36" s="15">
        <f>'ASESOR 12'!Z5</f>
        <v/>
      </c>
      <c r="P36" s="10">
        <f>'ASESOR 12'!Z6</f>
        <v/>
      </c>
    </row>
    <row r="37">
      <c r="B37" s="10">
        <f>IF('ASESOR 13'!B3="","",'ASESOR 13'!B3)</f>
        <v/>
      </c>
      <c r="C37" s="10">
        <f>IF('ASESOR 13'!B4="","",'ASESOR 13'!B4)</f>
        <v/>
      </c>
      <c r="D37" s="10">
        <f>IF('ASESOR 13'!B5="","",'ASESOR 13'!B5)</f>
        <v/>
      </c>
      <c r="E37" s="5" t="n"/>
      <c r="F37" s="10">
        <f>IF(OR(B37="",$C$16=""),"",IF(SUM($E$25:$E$37)&gt;0,MAX($C$18,ROUND($C$16*E37/SUM($E$25:$E$37),0)),$C$19))</f>
        <v/>
      </c>
      <c r="G37" s="10">
        <f>'ASESOR 13'!B7</f>
        <v/>
      </c>
      <c r="H37" s="10">
        <f>'ASESOR 13'!P3</f>
        <v/>
      </c>
      <c r="I37" s="14">
        <f>'ASESOR 13'!P4</f>
        <v/>
      </c>
      <c r="J37" s="14">
        <f>'ASESOR 13'!P5</f>
        <v/>
      </c>
      <c r="K37" s="10">
        <f>'ASESOR 13'!P6</f>
        <v/>
      </c>
      <c r="L37" s="10">
        <f>'ASESOR 13'!P7</f>
        <v/>
      </c>
      <c r="M37" s="15">
        <f>'ASESOR 13'!Z3</f>
        <v/>
      </c>
      <c r="N37" s="15">
        <f>'ASESOR 13'!Z4</f>
        <v/>
      </c>
      <c r="O37" s="15">
        <f>'ASESOR 13'!Z5</f>
        <v/>
      </c>
      <c r="P37" s="10">
        <f>'ASESOR 13'!Z6</f>
        <v/>
      </c>
    </row>
  </sheetData>
  <mergeCells count="1">
    <mergeCell ref="F11:J12"/>
  </mergeCells>
  <dataValidations count="2">
    <dataValidation sqref="C6" showDropDown="0" showInputMessage="0" showErrorMessage="0" allowBlank="1" type="list">
      <formula1>VARIABLES!$C$2:$C$13</formula1>
    </dataValidation>
    <dataValidation sqref="C10" showDropDown="0" showInputMessage="0" showErrorMessage="0" allowBlank="1" type="list">
      <formula1>VARIABLES!$G$2:$G$4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9"/>
  <sheetViews>
    <sheetView workbookViewId="0">
      <pane xSplit="3" ySplit="13" topLeftCell="D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60" customWidth="1" min="3" max="3"/>
    <col width="11" customWidth="1" min="4" max="4"/>
    <col outlineLevel="1" width="7" customWidth="1" min="5" max="5"/>
    <col outlineLevel="1" width="7" customWidth="1" min="6" max="6"/>
    <col outlineLevel="1" width="9" customWidth="1" min="7" max="7"/>
    <col outlineLevel="1" width="8" customWidth="1" min="8" max="8"/>
    <col width="11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11" customWidth="1" min="15" max="15"/>
    <col width="8" customWidth="1" min="16" max="16"/>
    <col width="8" customWidth="1" min="17" max="17"/>
    <col width="11" customWidth="1" min="18" max="18"/>
    <col width="8" customWidth="1" min="19" max="19"/>
    <col width="8" customWidth="1" min="20" max="20"/>
    <col width="11" customWidth="1" min="21" max="21"/>
    <col width="8" customWidth="1" min="22" max="22"/>
    <col width="8" customWidth="1" min="23" max="23"/>
    <col width="11" customWidth="1" min="24" max="24"/>
    <col width="8" customWidth="1" min="25" max="25"/>
    <col width="8" customWidth="1" min="26" max="26"/>
    <col outlineLevel="1" width="10" customWidth="1" min="27" max="27"/>
    <col outlineLevel="1" width="10" customWidth="1" min="28" max="28"/>
    <col width="10" customWidth="1" min="29" max="29"/>
    <col outlineLevel="1" width="10" customWidth="1" min="30" max="30"/>
    <col width="10" customWidth="1" min="31" max="31"/>
  </cols>
  <sheetData>
    <row r="1">
      <c r="A1" s="3" t="inlineStr">
        <is>
          <t>FORMATO DE MONITOREO COMERCIAL · PREVENTA Y VENTA</t>
        </is>
      </c>
    </row>
    <row r="3">
      <c r="A3" s="4" t="inlineStr">
        <is>
          <t>Asesor</t>
        </is>
      </c>
      <c r="B3" s="5" t="n"/>
      <c r="I3" s="4" t="inlineStr">
        <is>
          <t>Fase I (Habeas Data)</t>
        </is>
      </c>
      <c r="P3" s="16">
        <f>IF($B$7=0,"",IF(SUM(I74,L74,O74,R74,U74,X74)&gt;0,"Reprobada","Aprobada"))</f>
        <v/>
      </c>
      <c r="S3" s="4" t="inlineStr">
        <is>
          <t>ECU · % sin error</t>
        </is>
      </c>
      <c r="Z3" s="17">
        <f>IF($B$7=0,"",1-SUM(I75,L75,O75,R75,U75,X75)/$B$7)</f>
        <v/>
      </c>
    </row>
    <row r="4">
      <c r="A4" s="4" t="inlineStr">
        <is>
          <t>Canal</t>
        </is>
      </c>
      <c r="B4" s="5" t="n"/>
      <c r="I4" s="4" t="inlineStr">
        <is>
          <t>Nota /100</t>
        </is>
      </c>
      <c r="P4" s="18">
        <f>IF($B$7=0,"",IF(P3="Reprobada",0,AVERAGE(K73,N73,Q73,T73,W73,Z73)*1))</f>
        <v/>
      </c>
      <c r="S4" s="4" t="inlineStr">
        <is>
          <t>ECN · % sin error</t>
        </is>
      </c>
      <c r="Z4" s="17">
        <f>IF($B$7=0,"",1-SUM(I76,L76,O76,R76,U76,X76)/$B$7)</f>
        <v/>
      </c>
    </row>
    <row r="5">
      <c r="A5" s="4" t="inlineStr">
        <is>
          <t>Gestión</t>
        </is>
      </c>
      <c r="B5" s="5" t="n"/>
      <c r="I5" s="4" t="inlineStr">
        <is>
          <t>Nota /300</t>
        </is>
      </c>
      <c r="P5" s="18">
        <f>IF(P4="","",P4*3)</f>
        <v/>
      </c>
      <c r="S5" s="4" t="inlineStr">
        <is>
          <t>ECC · % sin error</t>
        </is>
      </c>
      <c r="Z5" s="17">
        <f>IF($B$7=0,"",1-SUM(I77,L77,O77,R77,U77,X77)/$B$7)</f>
        <v/>
      </c>
    </row>
    <row r="6">
      <c r="A6" s="4" t="inlineStr">
        <is>
          <t>Mes</t>
        </is>
      </c>
      <c r="B6" s="5" t="n"/>
      <c r="I6" s="4" t="inlineStr">
        <is>
          <t>Nivel</t>
        </is>
      </c>
      <c r="P6" s="16">
        <f>IF(P4="","",IF(P3="Reprobada","Crítico",LOOKUP(P4/100,'TABLA GENERAL'!$I$7:$I$10,'TABLA GENERAL'!$F$7:$F$10)))</f>
        <v/>
      </c>
      <c r="S6" s="4" t="inlineStr">
        <is>
          <t>Alerta Dirección</t>
        </is>
      </c>
      <c r="Z6" s="16">
        <f>IF($B$7=0,"",IF(SUMPRODUCT($AD$14:$AD$71*((I14:I71="NO")+(L14:L71="NO")+(O14:O71="NO")+(R14:R71="NO")+(U14:U71="NO")+(X14:X71="NO")))&gt;0,"SÍ - reportar","No"))</f>
        <v/>
      </c>
    </row>
    <row r="7">
      <c r="A7" s="4" t="inlineStr">
        <is>
          <t>Conversaciones evaluadas</t>
        </is>
      </c>
      <c r="B7">
        <f>SUM(I78,L78,O78,R78,U78,X78)</f>
        <v/>
      </c>
      <c r="I7" s="4" t="inlineStr">
        <is>
          <t>Estado</t>
        </is>
      </c>
      <c r="P7" s="16">
        <f>IF(P4="","",IF(P3="Reprobada","Reprobado",IF(P4/100&gt;='TABLA GENERAL'!$C$21,"Aprobado","Plan de acción")))</f>
        <v/>
      </c>
      <c r="S7" s="4" t="inlineStr">
        <is>
          <t>Casillas por revisar</t>
        </is>
      </c>
      <c r="Z7" s="16">
        <f>SUM(I79,L79,O79,R79,U79,X79)+COUNTIF(AE14:AE71,"REVISAR")</f>
        <v/>
      </c>
    </row>
    <row r="9">
      <c r="I9" s="6" t="inlineStr">
        <is>
          <t>Conversación 1</t>
        </is>
      </c>
      <c r="L9" s="6" t="inlineStr">
        <is>
          <t>Conversación 2</t>
        </is>
      </c>
      <c r="O9" s="6" t="inlineStr">
        <is>
          <t>Conversación 3</t>
        </is>
      </c>
      <c r="R9" s="6" t="inlineStr">
        <is>
          <t>Conversación 4</t>
        </is>
      </c>
      <c r="U9" s="6" t="inlineStr">
        <is>
          <t>Conversación 5</t>
        </is>
      </c>
      <c r="X9" s="6" t="inlineStr">
        <is>
          <t>Conversación 6</t>
        </is>
      </c>
    </row>
    <row r="10">
      <c r="C10" s="4" t="inlineStr">
        <is>
          <t>Fecha / ID de la conversación</t>
        </is>
      </c>
      <c r="I10" s="5" t="n"/>
      <c r="L10" s="5" t="n"/>
      <c r="O10" s="5" t="n"/>
      <c r="R10" s="5" t="n"/>
      <c r="U10" s="5" t="n"/>
      <c r="X10" s="5" t="n"/>
    </row>
    <row r="11">
      <c r="C11" s="4" t="inlineStr">
        <is>
          <t>Modalidad</t>
        </is>
      </c>
      <c r="I11" s="5" t="n"/>
      <c r="L11" s="5" t="n"/>
      <c r="O11" s="5" t="n"/>
      <c r="R11" s="5" t="n"/>
      <c r="U11" s="5" t="n"/>
      <c r="X11" s="5" t="n"/>
    </row>
    <row r="13" ht="32" customHeight="1">
      <c r="A13" s="6" t="inlineStr">
        <is>
          <t>Código</t>
        </is>
      </c>
      <c r="B13" s="6" t="inlineStr">
        <is>
          <t>Dimensión</t>
        </is>
      </c>
      <c r="C13" s="6" t="inlineStr">
        <is>
          <t>Descripción</t>
        </is>
      </c>
      <c r="D13" s="6" t="inlineStr">
        <is>
          <t>Tipo</t>
        </is>
      </c>
      <c r="E13" s="6" t="inlineStr">
        <is>
          <t>Aplica</t>
        </is>
      </c>
      <c r="F13" s="6" t="inlineStr">
        <is>
          <t>Peso base</t>
        </is>
      </c>
      <c r="G13" s="6" t="inlineStr">
        <is>
          <t>Receptor N/A</t>
        </is>
      </c>
      <c r="H13" s="6" t="inlineStr">
        <is>
          <t>Admite N/A</t>
        </is>
      </c>
      <c r="I13" s="6" t="inlineStr">
        <is>
          <t>Resultado</t>
        </is>
      </c>
      <c r="J13" s="6" t="inlineStr">
        <is>
          <t>Peso estab.</t>
        </is>
      </c>
      <c r="K13" s="6" t="inlineStr">
        <is>
          <t>Peso logrado</t>
        </is>
      </c>
      <c r="L13" s="6" t="inlineStr">
        <is>
          <t>Resultado</t>
        </is>
      </c>
      <c r="M13" s="6" t="inlineStr">
        <is>
          <t>Peso estab.</t>
        </is>
      </c>
      <c r="N13" s="6" t="inlineStr">
        <is>
          <t>Peso logrado</t>
        </is>
      </c>
      <c r="O13" s="6" t="inlineStr">
        <is>
          <t>Resultado</t>
        </is>
      </c>
      <c r="P13" s="6" t="inlineStr">
        <is>
          <t>Peso estab.</t>
        </is>
      </c>
      <c r="Q13" s="6" t="inlineStr">
        <is>
          <t>Peso logrado</t>
        </is>
      </c>
      <c r="R13" s="6" t="inlineStr">
        <is>
          <t>Resultado</t>
        </is>
      </c>
      <c r="S13" s="6" t="inlineStr">
        <is>
          <t>Peso estab.</t>
        </is>
      </c>
      <c r="T13" s="6" t="inlineStr">
        <is>
          <t>Peso logrado</t>
        </is>
      </c>
      <c r="U13" s="6" t="inlineStr">
        <is>
          <t>Resultado</t>
        </is>
      </c>
      <c r="V13" s="6" t="inlineStr">
        <is>
          <t>Peso estab.</t>
        </is>
      </c>
      <c r="W13" s="6" t="inlineStr">
        <is>
          <t>Peso logrado</t>
        </is>
      </c>
      <c r="X13" s="6" t="inlineStr">
        <is>
          <t>Resultado</t>
        </is>
      </c>
      <c r="Y13" s="6" t="inlineStr">
        <is>
          <t>Peso estab.</t>
        </is>
      </c>
      <c r="Z13" s="6" t="inlineStr">
        <is>
          <t>Peso logrado</t>
        </is>
      </c>
      <c r="AA13" s="6" t="inlineStr">
        <is>
          <t>Σ peso estab.</t>
        </is>
      </c>
      <c r="AB13" s="6" t="inlineStr">
        <is>
          <t>Σ peso logrado</t>
        </is>
      </c>
      <c r="AC13" s="6" t="inlineStr">
        <is>
          <t>% cumplimiento</t>
        </is>
      </c>
      <c r="AD13" s="6" t="inlineStr">
        <is>
          <t>Alerta</t>
        </is>
      </c>
      <c r="AE13" s="6" t="inlineStr">
        <is>
          <t>Validación</t>
        </is>
      </c>
    </row>
    <row r="14">
      <c r="A14" s="19">
        <f>CRITERIOS!B2</f>
        <v/>
      </c>
      <c r="B14" s="19">
        <f>CRITERIOS!C2</f>
        <v/>
      </c>
      <c r="C14" s="20">
        <f>CRITERIOS!D2</f>
        <v/>
      </c>
      <c r="D14" s="19">
        <f>CRITERIOS!E2</f>
        <v/>
      </c>
      <c r="E14" s="19">
        <f>IFERROR(IF(AND(OR(CRITERIOS!F2="Todos",CRITERIOS!F2=$B$4),INDEX(CRITERIOS!H2:J2,MATCH($B$5,VARIABLES!$E$2:$E$4,0))=1),1,0),0)</f>
        <v/>
      </c>
      <c r="F14" s="19">
        <f>IFERROR(IF(E14=1,INDEX(CRITERIOS!K2:M2,MATCH($B$5,VARIABLES!$E$2:$E$4,0)),0),0)</f>
        <v/>
      </c>
      <c r="G14" s="19">
        <f>IF(CRITERIOS!N2="","",CRITERIOS!N2)</f>
        <v/>
      </c>
      <c r="H14" s="19">
        <f>IF(CRITERIOS!O2="","",CRITERIOS!O2)</f>
        <v/>
      </c>
      <c r="I14" s="21" t="n"/>
      <c r="J14" s="22">
        <f>IF(OR($E14=0,I$78=0),0,IF(AND(I14="N/A",$G14&lt;&gt;""),0,$F14+SUMPRODUCT(($G$14:$G$71=$A14)*($E$14:$E$71=1)*(I$14:I$71="N/A")*$F$14:$F$71)))</f>
        <v/>
      </c>
      <c r="K14" s="22">
        <f>IF(I14="SI",J14,0)</f>
        <v/>
      </c>
      <c r="L14" s="21" t="n"/>
      <c r="M14" s="22">
        <f>IF(OR($E14=0,L$78=0),0,IF(AND(L14="N/A",$G14&lt;&gt;""),0,$F14+SUMPRODUCT(($G$14:$G$71=$A14)*($E$14:$E$71=1)*(L$14:L$71="N/A")*$F$14:$F$71)))</f>
        <v/>
      </c>
      <c r="N14" s="22">
        <f>IF(L14="SI",M14,0)</f>
        <v/>
      </c>
      <c r="O14" s="21" t="n"/>
      <c r="P14" s="22">
        <f>IF(OR($E14=0,O$78=0),0,IF(AND(O14="N/A",$G14&lt;&gt;""),0,$F14+SUMPRODUCT(($G$14:$G$71=$A14)*($E$14:$E$71=1)*(O$14:O$71="N/A")*$F$14:$F$71)))</f>
        <v/>
      </c>
      <c r="Q14" s="22">
        <f>IF(O14="SI",P14,0)</f>
        <v/>
      </c>
      <c r="R14" s="21" t="n"/>
      <c r="S14" s="22">
        <f>IF(OR($E14=0,R$78=0),0,IF(AND(R14="N/A",$G14&lt;&gt;""),0,$F14+SUMPRODUCT(($G$14:$G$71=$A14)*($E$14:$E$71=1)*(R$14:R$71="N/A")*$F$14:$F$71)))</f>
        <v/>
      </c>
      <c r="T14" s="22">
        <f>IF(R14="SI",S14,0)</f>
        <v/>
      </c>
      <c r="U14" s="21" t="n"/>
      <c r="V14" s="22">
        <f>IF(OR($E14=0,U$78=0),0,IF(AND(U14="N/A",$G14&lt;&gt;""),0,$F14+SUMPRODUCT(($G$14:$G$71=$A14)*($E$14:$E$71=1)*(U$14:U$71="N/A")*$F$14:$F$71)))</f>
        <v/>
      </c>
      <c r="W14" s="22">
        <f>IF(U14="SI",V14,0)</f>
        <v/>
      </c>
      <c r="X14" s="21" t="n"/>
      <c r="Y14" s="22">
        <f>IF(OR($E14=0,X$78=0),0,IF(AND(X14="N/A",$G14&lt;&gt;""),0,$F14+SUMPRODUCT(($G$14:$G$71=$A14)*($E$14:$E$71=1)*(X$14:X$71="N/A")*$F$14:$F$71)))</f>
        <v/>
      </c>
      <c r="Z14" s="22">
        <f>IF(X14="SI",Y14,0)</f>
        <v/>
      </c>
      <c r="AA14" s="22">
        <f>SUM(J14,M14,P14,S14,V14,Y14)</f>
        <v/>
      </c>
      <c r="AB14" s="22">
        <f>SUM(K14,N14,Q14,T14,W14,Z14)</f>
        <v/>
      </c>
      <c r="AC14" s="23">
        <f>IF(AA14=0,"",AB14/AA14)</f>
        <v/>
      </c>
      <c r="AD14" s="22">
        <f>CRITERIOS!Q2</f>
        <v/>
      </c>
      <c r="AE14" s="22">
        <f>IF(AND(E14=1,H14&lt;&gt;"X",((I14="N/A")+(L14="N/A")+(O14="N/A")+(R14="N/A")+(U14="N/A")+(X14="N/A"))&gt;0),"REVISAR","")</f>
        <v/>
      </c>
    </row>
    <row r="15">
      <c r="A15" s="19">
        <f>CRITERIOS!B3</f>
        <v/>
      </c>
      <c r="B15" s="19">
        <f>CRITERIOS!C3</f>
        <v/>
      </c>
      <c r="C15" s="20">
        <f>CRITERIOS!D3</f>
        <v/>
      </c>
      <c r="D15" s="19">
        <f>CRITERIOS!E3</f>
        <v/>
      </c>
      <c r="E15" s="19">
        <f>IFERROR(IF(AND(OR(CRITERIOS!F3="Todos",CRITERIOS!F3=$B$4),INDEX(CRITERIOS!H3:J3,MATCH($B$5,VARIABLES!$E$2:$E$4,0))=1),1,0),0)</f>
        <v/>
      </c>
      <c r="F15" s="19">
        <f>IFERROR(IF(E15=1,INDEX(CRITERIOS!K3:M3,MATCH($B$5,VARIABLES!$E$2:$E$4,0)),0),0)</f>
        <v/>
      </c>
      <c r="G15" s="19">
        <f>IF(CRITERIOS!N3="","",CRITERIOS!N3)</f>
        <v/>
      </c>
      <c r="H15" s="19">
        <f>IF(CRITERIOS!O3="","",CRITERIOS!O3)</f>
        <v/>
      </c>
      <c r="I15" s="21" t="n"/>
      <c r="J15" s="22">
        <f>IF(OR($E15=0,I$78=0),0,IF(AND(I15="N/A",$G15&lt;&gt;""),0,$F15+SUMPRODUCT(($G$14:$G$71=$A15)*($E$14:$E$71=1)*(I$14:I$71="N/A")*$F$14:$F$71)))</f>
        <v/>
      </c>
      <c r="K15" s="22">
        <f>IF(I15="SI",J15,0)</f>
        <v/>
      </c>
      <c r="L15" s="21" t="n"/>
      <c r="M15" s="22">
        <f>IF(OR($E15=0,L$78=0),0,IF(AND(L15="N/A",$G15&lt;&gt;""),0,$F15+SUMPRODUCT(($G$14:$G$71=$A15)*($E$14:$E$71=1)*(L$14:L$71="N/A")*$F$14:$F$71)))</f>
        <v/>
      </c>
      <c r="N15" s="22">
        <f>IF(L15="SI",M15,0)</f>
        <v/>
      </c>
      <c r="O15" s="21" t="n"/>
      <c r="P15" s="22">
        <f>IF(OR($E15=0,O$78=0),0,IF(AND(O15="N/A",$G15&lt;&gt;""),0,$F15+SUMPRODUCT(($G$14:$G$71=$A15)*($E$14:$E$71=1)*(O$14:O$71="N/A")*$F$14:$F$71)))</f>
        <v/>
      </c>
      <c r="Q15" s="22">
        <f>IF(O15="SI",P15,0)</f>
        <v/>
      </c>
      <c r="R15" s="21" t="n"/>
      <c r="S15" s="22">
        <f>IF(OR($E15=0,R$78=0),0,IF(AND(R15="N/A",$G15&lt;&gt;""),0,$F15+SUMPRODUCT(($G$14:$G$71=$A15)*($E$14:$E$71=1)*(R$14:R$71="N/A")*$F$14:$F$71)))</f>
        <v/>
      </c>
      <c r="T15" s="22">
        <f>IF(R15="SI",S15,0)</f>
        <v/>
      </c>
      <c r="U15" s="21" t="n"/>
      <c r="V15" s="22">
        <f>IF(OR($E15=0,U$78=0),0,IF(AND(U15="N/A",$G15&lt;&gt;""),0,$F15+SUMPRODUCT(($G$14:$G$71=$A15)*($E$14:$E$71=1)*(U$14:U$71="N/A")*$F$14:$F$71)))</f>
        <v/>
      </c>
      <c r="W15" s="22">
        <f>IF(U15="SI",V15,0)</f>
        <v/>
      </c>
      <c r="X15" s="21" t="n"/>
      <c r="Y15" s="22">
        <f>IF(OR($E15=0,X$78=0),0,IF(AND(X15="N/A",$G15&lt;&gt;""),0,$F15+SUMPRODUCT(($G$14:$G$71=$A15)*($E$14:$E$71=1)*(X$14:X$71="N/A")*$F$14:$F$71)))</f>
        <v/>
      </c>
      <c r="Z15" s="22">
        <f>IF(X15="SI",Y15,0)</f>
        <v/>
      </c>
      <c r="AA15" s="22">
        <f>SUM(J15,M15,P15,S15,V15,Y15)</f>
        <v/>
      </c>
      <c r="AB15" s="22">
        <f>SUM(K15,N15,Q15,T15,W15,Z15)</f>
        <v/>
      </c>
      <c r="AC15" s="23">
        <f>IF(AA15=0,"",AB15/AA15)</f>
        <v/>
      </c>
      <c r="AD15" s="22">
        <f>CRITERIOS!Q3</f>
        <v/>
      </c>
      <c r="AE15" s="22">
        <f>IF(AND(E15=1,H15&lt;&gt;"X",((I15="N/A")+(L15="N/A")+(O15="N/A")+(R15="N/A")+(U15="N/A")+(X15="N/A"))&gt;0),"REVISAR","")</f>
        <v/>
      </c>
    </row>
    <row r="16">
      <c r="A16" s="19">
        <f>CRITERIOS!B4</f>
        <v/>
      </c>
      <c r="B16" s="19">
        <f>CRITERIOS!C4</f>
        <v/>
      </c>
      <c r="C16" s="20">
        <f>CRITERIOS!D4</f>
        <v/>
      </c>
      <c r="D16" s="19">
        <f>CRITERIOS!E4</f>
        <v/>
      </c>
      <c r="E16" s="19">
        <f>IFERROR(IF(AND(OR(CRITERIOS!F4="Todos",CRITERIOS!F4=$B$4),INDEX(CRITERIOS!H4:J4,MATCH($B$5,VARIABLES!$E$2:$E$4,0))=1),1,0),0)</f>
        <v/>
      </c>
      <c r="F16" s="19">
        <f>IFERROR(IF(E16=1,INDEX(CRITERIOS!K4:M4,MATCH($B$5,VARIABLES!$E$2:$E$4,0)),0),0)</f>
        <v/>
      </c>
      <c r="G16" s="19">
        <f>IF(CRITERIOS!N4="","",CRITERIOS!N4)</f>
        <v/>
      </c>
      <c r="H16" s="19">
        <f>IF(CRITERIOS!O4="","",CRITERIOS!O4)</f>
        <v/>
      </c>
      <c r="I16" s="21" t="n"/>
      <c r="J16" s="22">
        <f>IF(OR($E16=0,I$78=0),0,IF(AND(I16="N/A",$G16&lt;&gt;""),0,$F16+SUMPRODUCT(($G$14:$G$71=$A16)*($E$14:$E$71=1)*(I$14:I$71="N/A")*$F$14:$F$71)))</f>
        <v/>
      </c>
      <c r="K16" s="22">
        <f>IF(I16="SI",J16,0)</f>
        <v/>
      </c>
      <c r="L16" s="21" t="n"/>
      <c r="M16" s="22">
        <f>IF(OR($E16=0,L$78=0),0,IF(AND(L16="N/A",$G16&lt;&gt;""),0,$F16+SUMPRODUCT(($G$14:$G$71=$A16)*($E$14:$E$71=1)*(L$14:L$71="N/A")*$F$14:$F$71)))</f>
        <v/>
      </c>
      <c r="N16" s="22">
        <f>IF(L16="SI",M16,0)</f>
        <v/>
      </c>
      <c r="O16" s="21" t="n"/>
      <c r="P16" s="22">
        <f>IF(OR($E16=0,O$78=0),0,IF(AND(O16="N/A",$G16&lt;&gt;""),0,$F16+SUMPRODUCT(($G$14:$G$71=$A16)*($E$14:$E$71=1)*(O$14:O$71="N/A")*$F$14:$F$71)))</f>
        <v/>
      </c>
      <c r="Q16" s="22">
        <f>IF(O16="SI",P16,0)</f>
        <v/>
      </c>
      <c r="R16" s="21" t="n"/>
      <c r="S16" s="22">
        <f>IF(OR($E16=0,R$78=0),0,IF(AND(R16="N/A",$G16&lt;&gt;""),0,$F16+SUMPRODUCT(($G$14:$G$71=$A16)*($E$14:$E$71=1)*(R$14:R$71="N/A")*$F$14:$F$71)))</f>
        <v/>
      </c>
      <c r="T16" s="22">
        <f>IF(R16="SI",S16,0)</f>
        <v/>
      </c>
      <c r="U16" s="21" t="n"/>
      <c r="V16" s="22">
        <f>IF(OR($E16=0,U$78=0),0,IF(AND(U16="N/A",$G16&lt;&gt;""),0,$F16+SUMPRODUCT(($G$14:$G$71=$A16)*($E$14:$E$71=1)*(U$14:U$71="N/A")*$F$14:$F$71)))</f>
        <v/>
      </c>
      <c r="W16" s="22">
        <f>IF(U16="SI",V16,0)</f>
        <v/>
      </c>
      <c r="X16" s="21" t="n"/>
      <c r="Y16" s="22">
        <f>IF(OR($E16=0,X$78=0),0,IF(AND(X16="N/A",$G16&lt;&gt;""),0,$F16+SUMPRODUCT(($G$14:$G$71=$A16)*($E$14:$E$71=1)*(X$14:X$71="N/A")*$F$14:$F$71)))</f>
        <v/>
      </c>
      <c r="Z16" s="22">
        <f>IF(X16="SI",Y16,0)</f>
        <v/>
      </c>
      <c r="AA16" s="22">
        <f>SUM(J16,M16,P16,S16,V16,Y16)</f>
        <v/>
      </c>
      <c r="AB16" s="22">
        <f>SUM(K16,N16,Q16,T16,W16,Z16)</f>
        <v/>
      </c>
      <c r="AC16" s="23">
        <f>IF(AA16=0,"",AB16/AA16)</f>
        <v/>
      </c>
      <c r="AD16" s="22">
        <f>CRITERIOS!Q4</f>
        <v/>
      </c>
      <c r="AE16" s="22">
        <f>IF(AND(E16=1,H16&lt;&gt;"X",((I16="N/A")+(L16="N/A")+(O16="N/A")+(R16="N/A")+(U16="N/A")+(X16="N/A"))&gt;0),"REVISAR","")</f>
        <v/>
      </c>
    </row>
    <row r="17">
      <c r="A17" s="19">
        <f>CRITERIOS!B5</f>
        <v/>
      </c>
      <c r="B17" s="19">
        <f>CRITERIOS!C5</f>
        <v/>
      </c>
      <c r="C17" s="20">
        <f>CRITERIOS!D5</f>
        <v/>
      </c>
      <c r="D17" s="19">
        <f>CRITERIOS!E5</f>
        <v/>
      </c>
      <c r="E17" s="19">
        <f>IFERROR(IF(AND(OR(CRITERIOS!F5="Todos",CRITERIOS!F5=$B$4),INDEX(CRITERIOS!H5:J5,MATCH($B$5,VARIABLES!$E$2:$E$4,0))=1),1,0),0)</f>
        <v/>
      </c>
      <c r="F17" s="19">
        <f>IFERROR(IF(E17=1,INDEX(CRITERIOS!K5:M5,MATCH($B$5,VARIABLES!$E$2:$E$4,0)),0),0)</f>
        <v/>
      </c>
      <c r="G17" s="19">
        <f>IF(CRITERIOS!N5="","",CRITERIOS!N5)</f>
        <v/>
      </c>
      <c r="H17" s="19">
        <f>IF(CRITERIOS!O5="","",CRITERIOS!O5)</f>
        <v/>
      </c>
      <c r="I17" s="21" t="n"/>
      <c r="J17" s="22">
        <f>IF(OR($E17=0,I$78=0),0,IF(AND(I17="N/A",$G17&lt;&gt;""),0,$F17+SUMPRODUCT(($G$14:$G$71=$A17)*($E$14:$E$71=1)*(I$14:I$71="N/A")*$F$14:$F$71)))</f>
        <v/>
      </c>
      <c r="K17" s="22">
        <f>IF(I17="SI",J17,0)</f>
        <v/>
      </c>
      <c r="L17" s="21" t="n"/>
      <c r="M17" s="22">
        <f>IF(OR($E17=0,L$78=0),0,IF(AND(L17="N/A",$G17&lt;&gt;""),0,$F17+SUMPRODUCT(($G$14:$G$71=$A17)*($E$14:$E$71=1)*(L$14:L$71="N/A")*$F$14:$F$71)))</f>
        <v/>
      </c>
      <c r="N17" s="22">
        <f>IF(L17="SI",M17,0)</f>
        <v/>
      </c>
      <c r="O17" s="21" t="n"/>
      <c r="P17" s="22">
        <f>IF(OR($E17=0,O$78=0),0,IF(AND(O17="N/A",$G17&lt;&gt;""),0,$F17+SUMPRODUCT(($G$14:$G$71=$A17)*($E$14:$E$71=1)*(O$14:O$71="N/A")*$F$14:$F$71)))</f>
        <v/>
      </c>
      <c r="Q17" s="22">
        <f>IF(O17="SI",P17,0)</f>
        <v/>
      </c>
      <c r="R17" s="21" t="n"/>
      <c r="S17" s="22">
        <f>IF(OR($E17=0,R$78=0),0,IF(AND(R17="N/A",$G17&lt;&gt;""),0,$F17+SUMPRODUCT(($G$14:$G$71=$A17)*($E$14:$E$71=1)*(R$14:R$71="N/A")*$F$14:$F$71)))</f>
        <v/>
      </c>
      <c r="T17" s="22">
        <f>IF(R17="SI",S17,0)</f>
        <v/>
      </c>
      <c r="U17" s="21" t="n"/>
      <c r="V17" s="22">
        <f>IF(OR($E17=0,U$78=0),0,IF(AND(U17="N/A",$G17&lt;&gt;""),0,$F17+SUMPRODUCT(($G$14:$G$71=$A17)*($E$14:$E$71=1)*(U$14:U$71="N/A")*$F$14:$F$71)))</f>
        <v/>
      </c>
      <c r="W17" s="22">
        <f>IF(U17="SI",V17,0)</f>
        <v/>
      </c>
      <c r="X17" s="21" t="n"/>
      <c r="Y17" s="22">
        <f>IF(OR($E17=0,X$78=0),0,IF(AND(X17="N/A",$G17&lt;&gt;""),0,$F17+SUMPRODUCT(($G$14:$G$71=$A17)*($E$14:$E$71=1)*(X$14:X$71="N/A")*$F$14:$F$71)))</f>
        <v/>
      </c>
      <c r="Z17" s="22">
        <f>IF(X17="SI",Y17,0)</f>
        <v/>
      </c>
      <c r="AA17" s="22">
        <f>SUM(J17,M17,P17,S17,V17,Y17)</f>
        <v/>
      </c>
      <c r="AB17" s="22">
        <f>SUM(K17,N17,Q17,T17,W17,Z17)</f>
        <v/>
      </c>
      <c r="AC17" s="23">
        <f>IF(AA17=0,"",AB17/AA17)</f>
        <v/>
      </c>
      <c r="AD17" s="22">
        <f>CRITERIOS!Q5</f>
        <v/>
      </c>
      <c r="AE17" s="22">
        <f>IF(AND(E17=1,H17&lt;&gt;"X",((I17="N/A")+(L17="N/A")+(O17="N/A")+(R17="N/A")+(U17="N/A")+(X17="N/A"))&gt;0),"REVISAR","")</f>
        <v/>
      </c>
    </row>
    <row r="18">
      <c r="A18" s="19">
        <f>CRITERIOS!B6</f>
        <v/>
      </c>
      <c r="B18" s="19">
        <f>CRITERIOS!C6</f>
        <v/>
      </c>
      <c r="C18" s="20">
        <f>CRITERIOS!D6</f>
        <v/>
      </c>
      <c r="D18" s="19">
        <f>CRITERIOS!E6</f>
        <v/>
      </c>
      <c r="E18" s="19">
        <f>IFERROR(IF(AND(OR(CRITERIOS!F6="Todos",CRITERIOS!F6=$B$4),INDEX(CRITERIOS!H6:J6,MATCH($B$5,VARIABLES!$E$2:$E$4,0))=1),1,0),0)</f>
        <v/>
      </c>
      <c r="F18" s="19">
        <f>IFERROR(IF(E18=1,INDEX(CRITERIOS!K6:M6,MATCH($B$5,VARIABLES!$E$2:$E$4,0)),0),0)</f>
        <v/>
      </c>
      <c r="G18" s="19">
        <f>IF(CRITERIOS!N6="","",CRITERIOS!N6)</f>
        <v/>
      </c>
      <c r="H18" s="19">
        <f>IF(CRITERIOS!O6="","",CRITERIOS!O6)</f>
        <v/>
      </c>
      <c r="I18" s="21" t="n"/>
      <c r="J18" s="22">
        <f>IF(OR($E18=0,I$78=0),0,IF(AND(I18="N/A",$G18&lt;&gt;""),0,$F18+SUMPRODUCT(($G$14:$G$71=$A18)*($E$14:$E$71=1)*(I$14:I$71="N/A")*$F$14:$F$71)))</f>
        <v/>
      </c>
      <c r="K18" s="22">
        <f>IF(I18="SI",J18,0)</f>
        <v/>
      </c>
      <c r="L18" s="21" t="n"/>
      <c r="M18" s="22">
        <f>IF(OR($E18=0,L$78=0),0,IF(AND(L18="N/A",$G18&lt;&gt;""),0,$F18+SUMPRODUCT(($G$14:$G$71=$A18)*($E$14:$E$71=1)*(L$14:L$71="N/A")*$F$14:$F$71)))</f>
        <v/>
      </c>
      <c r="N18" s="22">
        <f>IF(L18="SI",M18,0)</f>
        <v/>
      </c>
      <c r="O18" s="21" t="n"/>
      <c r="P18" s="22">
        <f>IF(OR($E18=0,O$78=0),0,IF(AND(O18="N/A",$G18&lt;&gt;""),0,$F18+SUMPRODUCT(($G$14:$G$71=$A18)*($E$14:$E$71=1)*(O$14:O$71="N/A")*$F$14:$F$71)))</f>
        <v/>
      </c>
      <c r="Q18" s="22">
        <f>IF(O18="SI",P18,0)</f>
        <v/>
      </c>
      <c r="R18" s="21" t="n"/>
      <c r="S18" s="22">
        <f>IF(OR($E18=0,R$78=0),0,IF(AND(R18="N/A",$G18&lt;&gt;""),0,$F18+SUMPRODUCT(($G$14:$G$71=$A18)*($E$14:$E$71=1)*(R$14:R$71="N/A")*$F$14:$F$71)))</f>
        <v/>
      </c>
      <c r="T18" s="22">
        <f>IF(R18="SI",S18,0)</f>
        <v/>
      </c>
      <c r="U18" s="21" t="n"/>
      <c r="V18" s="22">
        <f>IF(OR($E18=0,U$78=0),0,IF(AND(U18="N/A",$G18&lt;&gt;""),0,$F18+SUMPRODUCT(($G$14:$G$71=$A18)*($E$14:$E$71=1)*(U$14:U$71="N/A")*$F$14:$F$71)))</f>
        <v/>
      </c>
      <c r="W18" s="22">
        <f>IF(U18="SI",V18,0)</f>
        <v/>
      </c>
      <c r="X18" s="21" t="n"/>
      <c r="Y18" s="22">
        <f>IF(OR($E18=0,X$78=0),0,IF(AND(X18="N/A",$G18&lt;&gt;""),0,$F18+SUMPRODUCT(($G$14:$G$71=$A18)*($E$14:$E$71=1)*(X$14:X$71="N/A")*$F$14:$F$71)))</f>
        <v/>
      </c>
      <c r="Z18" s="22">
        <f>IF(X18="SI",Y18,0)</f>
        <v/>
      </c>
      <c r="AA18" s="22">
        <f>SUM(J18,M18,P18,S18,V18,Y18)</f>
        <v/>
      </c>
      <c r="AB18" s="22">
        <f>SUM(K18,N18,Q18,T18,W18,Z18)</f>
        <v/>
      </c>
      <c r="AC18" s="23">
        <f>IF(AA18=0,"",AB18/AA18)</f>
        <v/>
      </c>
      <c r="AD18" s="22">
        <f>CRITERIOS!Q6</f>
        <v/>
      </c>
      <c r="AE18" s="22">
        <f>IF(AND(E18=1,H18&lt;&gt;"X",((I18="N/A")+(L18="N/A")+(O18="N/A")+(R18="N/A")+(U18="N/A")+(X18="N/A"))&gt;0),"REVISAR","")</f>
        <v/>
      </c>
    </row>
    <row r="19">
      <c r="A19" s="19">
        <f>CRITERIOS!B7</f>
        <v/>
      </c>
      <c r="B19" s="19">
        <f>CRITERIOS!C7</f>
        <v/>
      </c>
      <c r="C19" s="20">
        <f>CRITERIOS!D7</f>
        <v/>
      </c>
      <c r="D19" s="19">
        <f>CRITERIOS!E7</f>
        <v/>
      </c>
      <c r="E19" s="19">
        <f>IFERROR(IF(AND(OR(CRITERIOS!F7="Todos",CRITERIOS!F7=$B$4),INDEX(CRITERIOS!H7:J7,MATCH($B$5,VARIABLES!$E$2:$E$4,0))=1),1,0),0)</f>
        <v/>
      </c>
      <c r="F19" s="19">
        <f>IFERROR(IF(E19=1,INDEX(CRITERIOS!K7:M7,MATCH($B$5,VARIABLES!$E$2:$E$4,0)),0),0)</f>
        <v/>
      </c>
      <c r="G19" s="19">
        <f>IF(CRITERIOS!N7="","",CRITERIOS!N7)</f>
        <v/>
      </c>
      <c r="H19" s="19">
        <f>IF(CRITERIOS!O7="","",CRITERIOS!O7)</f>
        <v/>
      </c>
      <c r="I19" s="21" t="n"/>
      <c r="J19" s="22">
        <f>IF(OR($E19=0,I$78=0),0,IF(AND(I19="N/A",$G19&lt;&gt;""),0,$F19+SUMPRODUCT(($G$14:$G$71=$A19)*($E$14:$E$71=1)*(I$14:I$71="N/A")*$F$14:$F$71)))</f>
        <v/>
      </c>
      <c r="K19" s="22">
        <f>IF(I19="SI",J19,0)</f>
        <v/>
      </c>
      <c r="L19" s="21" t="n"/>
      <c r="M19" s="22">
        <f>IF(OR($E19=0,L$78=0),0,IF(AND(L19="N/A",$G19&lt;&gt;""),0,$F19+SUMPRODUCT(($G$14:$G$71=$A19)*($E$14:$E$71=1)*(L$14:L$71="N/A")*$F$14:$F$71)))</f>
        <v/>
      </c>
      <c r="N19" s="22">
        <f>IF(L19="SI",M19,0)</f>
        <v/>
      </c>
      <c r="O19" s="21" t="n"/>
      <c r="P19" s="22">
        <f>IF(OR($E19=0,O$78=0),0,IF(AND(O19="N/A",$G19&lt;&gt;""),0,$F19+SUMPRODUCT(($G$14:$G$71=$A19)*($E$14:$E$71=1)*(O$14:O$71="N/A")*$F$14:$F$71)))</f>
        <v/>
      </c>
      <c r="Q19" s="22">
        <f>IF(O19="SI",P19,0)</f>
        <v/>
      </c>
      <c r="R19" s="21" t="n"/>
      <c r="S19" s="22">
        <f>IF(OR($E19=0,R$78=0),0,IF(AND(R19="N/A",$G19&lt;&gt;""),0,$F19+SUMPRODUCT(($G$14:$G$71=$A19)*($E$14:$E$71=1)*(R$14:R$71="N/A")*$F$14:$F$71)))</f>
        <v/>
      </c>
      <c r="T19" s="22">
        <f>IF(R19="SI",S19,0)</f>
        <v/>
      </c>
      <c r="U19" s="21" t="n"/>
      <c r="V19" s="22">
        <f>IF(OR($E19=0,U$78=0),0,IF(AND(U19="N/A",$G19&lt;&gt;""),0,$F19+SUMPRODUCT(($G$14:$G$71=$A19)*($E$14:$E$71=1)*(U$14:U$71="N/A")*$F$14:$F$71)))</f>
        <v/>
      </c>
      <c r="W19" s="22">
        <f>IF(U19="SI",V19,0)</f>
        <v/>
      </c>
      <c r="X19" s="21" t="n"/>
      <c r="Y19" s="22">
        <f>IF(OR($E19=0,X$78=0),0,IF(AND(X19="N/A",$G19&lt;&gt;""),0,$F19+SUMPRODUCT(($G$14:$G$71=$A19)*($E$14:$E$71=1)*(X$14:X$71="N/A")*$F$14:$F$71)))</f>
        <v/>
      </c>
      <c r="Z19" s="22">
        <f>IF(X19="SI",Y19,0)</f>
        <v/>
      </c>
      <c r="AA19" s="22">
        <f>SUM(J19,M19,P19,S19,V19,Y19)</f>
        <v/>
      </c>
      <c r="AB19" s="22">
        <f>SUM(K19,N19,Q19,T19,W19,Z19)</f>
        <v/>
      </c>
      <c r="AC19" s="23">
        <f>IF(AA19=0,"",AB19/AA19)</f>
        <v/>
      </c>
      <c r="AD19" s="22">
        <f>CRITERIOS!Q7</f>
        <v/>
      </c>
      <c r="AE19" s="22">
        <f>IF(AND(E19=1,H19&lt;&gt;"X",((I19="N/A")+(L19="N/A")+(O19="N/A")+(R19="N/A")+(U19="N/A")+(X19="N/A"))&gt;0),"REVISAR","")</f>
        <v/>
      </c>
    </row>
    <row r="20">
      <c r="A20" s="19">
        <f>CRITERIOS!B8</f>
        <v/>
      </c>
      <c r="B20" s="19">
        <f>CRITERIOS!C8</f>
        <v/>
      </c>
      <c r="C20" s="20">
        <f>CRITERIOS!D8</f>
        <v/>
      </c>
      <c r="D20" s="19">
        <f>CRITERIOS!E8</f>
        <v/>
      </c>
      <c r="E20" s="19">
        <f>IFERROR(IF(AND(OR(CRITERIOS!F8="Todos",CRITERIOS!F8=$B$4),INDEX(CRITERIOS!H8:J8,MATCH($B$5,VARIABLES!$E$2:$E$4,0))=1),1,0),0)</f>
        <v/>
      </c>
      <c r="F20" s="19">
        <f>IFERROR(IF(E20=1,INDEX(CRITERIOS!K8:M8,MATCH($B$5,VARIABLES!$E$2:$E$4,0)),0),0)</f>
        <v/>
      </c>
      <c r="G20" s="19">
        <f>IF(CRITERIOS!N8="","",CRITERIOS!N8)</f>
        <v/>
      </c>
      <c r="H20" s="19">
        <f>IF(CRITERIOS!O8="","",CRITERIOS!O8)</f>
        <v/>
      </c>
      <c r="I20" s="21" t="n"/>
      <c r="J20" s="22">
        <f>IF(OR($E20=0,I$78=0),0,IF(AND(I20="N/A",$G20&lt;&gt;""),0,$F20+SUMPRODUCT(($G$14:$G$71=$A20)*($E$14:$E$71=1)*(I$14:I$71="N/A")*$F$14:$F$71)))</f>
        <v/>
      </c>
      <c r="K20" s="22">
        <f>IF(I20="SI",J20,0)</f>
        <v/>
      </c>
      <c r="L20" s="21" t="n"/>
      <c r="M20" s="22">
        <f>IF(OR($E20=0,L$78=0),0,IF(AND(L20="N/A",$G20&lt;&gt;""),0,$F20+SUMPRODUCT(($G$14:$G$71=$A20)*($E$14:$E$71=1)*(L$14:L$71="N/A")*$F$14:$F$71)))</f>
        <v/>
      </c>
      <c r="N20" s="22">
        <f>IF(L20="SI",M20,0)</f>
        <v/>
      </c>
      <c r="O20" s="21" t="n"/>
      <c r="P20" s="22">
        <f>IF(OR($E20=0,O$78=0),0,IF(AND(O20="N/A",$G20&lt;&gt;""),0,$F20+SUMPRODUCT(($G$14:$G$71=$A20)*($E$14:$E$71=1)*(O$14:O$71="N/A")*$F$14:$F$71)))</f>
        <v/>
      </c>
      <c r="Q20" s="22">
        <f>IF(O20="SI",P20,0)</f>
        <v/>
      </c>
      <c r="R20" s="21" t="n"/>
      <c r="S20" s="22">
        <f>IF(OR($E20=0,R$78=0),0,IF(AND(R20="N/A",$G20&lt;&gt;""),0,$F20+SUMPRODUCT(($G$14:$G$71=$A20)*($E$14:$E$71=1)*(R$14:R$71="N/A")*$F$14:$F$71)))</f>
        <v/>
      </c>
      <c r="T20" s="22">
        <f>IF(R20="SI",S20,0)</f>
        <v/>
      </c>
      <c r="U20" s="21" t="n"/>
      <c r="V20" s="22">
        <f>IF(OR($E20=0,U$78=0),0,IF(AND(U20="N/A",$G20&lt;&gt;""),0,$F20+SUMPRODUCT(($G$14:$G$71=$A20)*($E$14:$E$71=1)*(U$14:U$71="N/A")*$F$14:$F$71)))</f>
        <v/>
      </c>
      <c r="W20" s="22">
        <f>IF(U20="SI",V20,0)</f>
        <v/>
      </c>
      <c r="X20" s="21" t="n"/>
      <c r="Y20" s="22">
        <f>IF(OR($E20=0,X$78=0),0,IF(AND(X20="N/A",$G20&lt;&gt;""),0,$F20+SUMPRODUCT(($G$14:$G$71=$A20)*($E$14:$E$71=1)*(X$14:X$71="N/A")*$F$14:$F$71)))</f>
        <v/>
      </c>
      <c r="Z20" s="22">
        <f>IF(X20="SI",Y20,0)</f>
        <v/>
      </c>
      <c r="AA20" s="22">
        <f>SUM(J20,M20,P20,S20,V20,Y20)</f>
        <v/>
      </c>
      <c r="AB20" s="22">
        <f>SUM(K20,N20,Q20,T20,W20,Z20)</f>
        <v/>
      </c>
      <c r="AC20" s="23">
        <f>IF(AA20=0,"",AB20/AA20)</f>
        <v/>
      </c>
      <c r="AD20" s="22">
        <f>CRITERIOS!Q8</f>
        <v/>
      </c>
      <c r="AE20" s="22">
        <f>IF(AND(E20=1,H20&lt;&gt;"X",((I20="N/A")+(L20="N/A")+(O20="N/A")+(R20="N/A")+(U20="N/A")+(X20="N/A"))&gt;0),"REVISAR","")</f>
        <v/>
      </c>
    </row>
    <row r="21">
      <c r="A21" s="19">
        <f>CRITERIOS!B9</f>
        <v/>
      </c>
      <c r="B21" s="19">
        <f>CRITERIOS!C9</f>
        <v/>
      </c>
      <c r="C21" s="20">
        <f>CRITERIOS!D9</f>
        <v/>
      </c>
      <c r="D21" s="19">
        <f>CRITERIOS!E9</f>
        <v/>
      </c>
      <c r="E21" s="19">
        <f>IFERROR(IF(AND(OR(CRITERIOS!F9="Todos",CRITERIOS!F9=$B$4),INDEX(CRITERIOS!H9:J9,MATCH($B$5,VARIABLES!$E$2:$E$4,0))=1),1,0),0)</f>
        <v/>
      </c>
      <c r="F21" s="19">
        <f>IFERROR(IF(E21=1,INDEX(CRITERIOS!K9:M9,MATCH($B$5,VARIABLES!$E$2:$E$4,0)),0),0)</f>
        <v/>
      </c>
      <c r="G21" s="19">
        <f>IF(CRITERIOS!N9="","",CRITERIOS!N9)</f>
        <v/>
      </c>
      <c r="H21" s="19">
        <f>IF(CRITERIOS!O9="","",CRITERIOS!O9)</f>
        <v/>
      </c>
      <c r="I21" s="21" t="n"/>
      <c r="J21" s="22">
        <f>IF(OR($E21=0,I$78=0),0,IF(AND(I21="N/A",$G21&lt;&gt;""),0,$F21+SUMPRODUCT(($G$14:$G$71=$A21)*($E$14:$E$71=1)*(I$14:I$71="N/A")*$F$14:$F$71)))</f>
        <v/>
      </c>
      <c r="K21" s="22">
        <f>IF(I21="SI",J21,0)</f>
        <v/>
      </c>
      <c r="L21" s="21" t="n"/>
      <c r="M21" s="22">
        <f>IF(OR($E21=0,L$78=0),0,IF(AND(L21="N/A",$G21&lt;&gt;""),0,$F21+SUMPRODUCT(($G$14:$G$71=$A21)*($E$14:$E$71=1)*(L$14:L$71="N/A")*$F$14:$F$71)))</f>
        <v/>
      </c>
      <c r="N21" s="22">
        <f>IF(L21="SI",M21,0)</f>
        <v/>
      </c>
      <c r="O21" s="21" t="n"/>
      <c r="P21" s="22">
        <f>IF(OR($E21=0,O$78=0),0,IF(AND(O21="N/A",$G21&lt;&gt;""),0,$F21+SUMPRODUCT(($G$14:$G$71=$A21)*($E$14:$E$71=1)*(O$14:O$71="N/A")*$F$14:$F$71)))</f>
        <v/>
      </c>
      <c r="Q21" s="22">
        <f>IF(O21="SI",P21,0)</f>
        <v/>
      </c>
      <c r="R21" s="21" t="n"/>
      <c r="S21" s="22">
        <f>IF(OR($E21=0,R$78=0),0,IF(AND(R21="N/A",$G21&lt;&gt;""),0,$F21+SUMPRODUCT(($G$14:$G$71=$A21)*($E$14:$E$71=1)*(R$14:R$71="N/A")*$F$14:$F$71)))</f>
        <v/>
      </c>
      <c r="T21" s="22">
        <f>IF(R21="SI",S21,0)</f>
        <v/>
      </c>
      <c r="U21" s="21" t="n"/>
      <c r="V21" s="22">
        <f>IF(OR($E21=0,U$78=0),0,IF(AND(U21="N/A",$G21&lt;&gt;""),0,$F21+SUMPRODUCT(($G$14:$G$71=$A21)*($E$14:$E$71=1)*(U$14:U$71="N/A")*$F$14:$F$71)))</f>
        <v/>
      </c>
      <c r="W21" s="22">
        <f>IF(U21="SI",V21,0)</f>
        <v/>
      </c>
      <c r="X21" s="21" t="n"/>
      <c r="Y21" s="22">
        <f>IF(OR($E21=0,X$78=0),0,IF(AND(X21="N/A",$G21&lt;&gt;""),0,$F21+SUMPRODUCT(($G$14:$G$71=$A21)*($E$14:$E$71=1)*(X$14:X$71="N/A")*$F$14:$F$71)))</f>
        <v/>
      </c>
      <c r="Z21" s="22">
        <f>IF(X21="SI",Y21,0)</f>
        <v/>
      </c>
      <c r="AA21" s="22">
        <f>SUM(J21,M21,P21,S21,V21,Y21)</f>
        <v/>
      </c>
      <c r="AB21" s="22">
        <f>SUM(K21,N21,Q21,T21,W21,Z21)</f>
        <v/>
      </c>
      <c r="AC21" s="23">
        <f>IF(AA21=0,"",AB21/AA21)</f>
        <v/>
      </c>
      <c r="AD21" s="22">
        <f>CRITERIOS!Q9</f>
        <v/>
      </c>
      <c r="AE21" s="22">
        <f>IF(AND(E21=1,H21&lt;&gt;"X",((I21="N/A")+(L21="N/A")+(O21="N/A")+(R21="N/A")+(U21="N/A")+(X21="N/A"))&gt;0),"REVISAR","")</f>
        <v/>
      </c>
    </row>
    <row r="22">
      <c r="A22" s="19">
        <f>CRITERIOS!B10</f>
        <v/>
      </c>
      <c r="B22" s="19">
        <f>CRITERIOS!C10</f>
        <v/>
      </c>
      <c r="C22" s="20">
        <f>CRITERIOS!D10</f>
        <v/>
      </c>
      <c r="D22" s="19">
        <f>CRITERIOS!E10</f>
        <v/>
      </c>
      <c r="E22" s="19">
        <f>IFERROR(IF(AND(OR(CRITERIOS!F10="Todos",CRITERIOS!F10=$B$4),INDEX(CRITERIOS!H10:J10,MATCH($B$5,VARIABLES!$E$2:$E$4,0))=1),1,0),0)</f>
        <v/>
      </c>
      <c r="F22" s="19">
        <f>IFERROR(IF(E22=1,INDEX(CRITERIOS!K10:M10,MATCH($B$5,VARIABLES!$E$2:$E$4,0)),0),0)</f>
        <v/>
      </c>
      <c r="G22" s="19">
        <f>IF(CRITERIOS!N10="","",CRITERIOS!N10)</f>
        <v/>
      </c>
      <c r="H22" s="19">
        <f>IF(CRITERIOS!O10="","",CRITERIOS!O10)</f>
        <v/>
      </c>
      <c r="I22" s="21" t="n"/>
      <c r="J22" s="22">
        <f>IF(OR($E22=0,I$78=0),0,IF(AND(I22="N/A",$G22&lt;&gt;""),0,$F22+SUMPRODUCT(($G$14:$G$71=$A22)*($E$14:$E$71=1)*(I$14:I$71="N/A")*$F$14:$F$71)))</f>
        <v/>
      </c>
      <c r="K22" s="22">
        <f>IF(I22="SI",J22,0)</f>
        <v/>
      </c>
      <c r="L22" s="21" t="n"/>
      <c r="M22" s="22">
        <f>IF(OR($E22=0,L$78=0),0,IF(AND(L22="N/A",$G22&lt;&gt;""),0,$F22+SUMPRODUCT(($G$14:$G$71=$A22)*($E$14:$E$71=1)*(L$14:L$71="N/A")*$F$14:$F$71)))</f>
        <v/>
      </c>
      <c r="N22" s="22">
        <f>IF(L22="SI",M22,0)</f>
        <v/>
      </c>
      <c r="O22" s="21" t="n"/>
      <c r="P22" s="22">
        <f>IF(OR($E22=0,O$78=0),0,IF(AND(O22="N/A",$G22&lt;&gt;""),0,$F22+SUMPRODUCT(($G$14:$G$71=$A22)*($E$14:$E$71=1)*(O$14:O$71="N/A")*$F$14:$F$71)))</f>
        <v/>
      </c>
      <c r="Q22" s="22">
        <f>IF(O22="SI",P22,0)</f>
        <v/>
      </c>
      <c r="R22" s="21" t="n"/>
      <c r="S22" s="22">
        <f>IF(OR($E22=0,R$78=0),0,IF(AND(R22="N/A",$G22&lt;&gt;""),0,$F22+SUMPRODUCT(($G$14:$G$71=$A22)*($E$14:$E$71=1)*(R$14:R$71="N/A")*$F$14:$F$71)))</f>
        <v/>
      </c>
      <c r="T22" s="22">
        <f>IF(R22="SI",S22,0)</f>
        <v/>
      </c>
      <c r="U22" s="21" t="n"/>
      <c r="V22" s="22">
        <f>IF(OR($E22=0,U$78=0),0,IF(AND(U22="N/A",$G22&lt;&gt;""),0,$F22+SUMPRODUCT(($G$14:$G$71=$A22)*($E$14:$E$71=1)*(U$14:U$71="N/A")*$F$14:$F$71)))</f>
        <v/>
      </c>
      <c r="W22" s="22">
        <f>IF(U22="SI",V22,0)</f>
        <v/>
      </c>
      <c r="X22" s="21" t="n"/>
      <c r="Y22" s="22">
        <f>IF(OR($E22=0,X$78=0),0,IF(AND(X22="N/A",$G22&lt;&gt;""),0,$F22+SUMPRODUCT(($G$14:$G$71=$A22)*($E$14:$E$71=1)*(X$14:X$71="N/A")*$F$14:$F$71)))</f>
        <v/>
      </c>
      <c r="Z22" s="22">
        <f>IF(X22="SI",Y22,0)</f>
        <v/>
      </c>
      <c r="AA22" s="22">
        <f>SUM(J22,M22,P22,S22,V22,Y22)</f>
        <v/>
      </c>
      <c r="AB22" s="22">
        <f>SUM(K22,N22,Q22,T22,W22,Z22)</f>
        <v/>
      </c>
      <c r="AC22" s="23">
        <f>IF(AA22=0,"",AB22/AA22)</f>
        <v/>
      </c>
      <c r="AD22" s="22">
        <f>CRITERIOS!Q10</f>
        <v/>
      </c>
      <c r="AE22" s="22">
        <f>IF(AND(E22=1,H22&lt;&gt;"X",((I22="N/A")+(L22="N/A")+(O22="N/A")+(R22="N/A")+(U22="N/A")+(X22="N/A"))&gt;0),"REVISAR","")</f>
        <v/>
      </c>
    </row>
    <row r="23">
      <c r="A23" s="19">
        <f>CRITERIOS!B11</f>
        <v/>
      </c>
      <c r="B23" s="19">
        <f>CRITERIOS!C11</f>
        <v/>
      </c>
      <c r="C23" s="20">
        <f>CRITERIOS!D11</f>
        <v/>
      </c>
      <c r="D23" s="19">
        <f>CRITERIOS!E11</f>
        <v/>
      </c>
      <c r="E23" s="19">
        <f>IFERROR(IF(AND(OR(CRITERIOS!F11="Todos",CRITERIOS!F11=$B$4),INDEX(CRITERIOS!H11:J11,MATCH($B$5,VARIABLES!$E$2:$E$4,0))=1),1,0),0)</f>
        <v/>
      </c>
      <c r="F23" s="19">
        <f>IFERROR(IF(E23=1,INDEX(CRITERIOS!K11:M11,MATCH($B$5,VARIABLES!$E$2:$E$4,0)),0),0)</f>
        <v/>
      </c>
      <c r="G23" s="19">
        <f>IF(CRITERIOS!N11="","",CRITERIOS!N11)</f>
        <v/>
      </c>
      <c r="H23" s="19">
        <f>IF(CRITERIOS!O11="","",CRITERIOS!O11)</f>
        <v/>
      </c>
      <c r="I23" s="21" t="n"/>
      <c r="J23" s="22">
        <f>IF(OR($E23=0,I$78=0),0,IF(AND(I23="N/A",$G23&lt;&gt;""),0,$F23+SUMPRODUCT(($G$14:$G$71=$A23)*($E$14:$E$71=1)*(I$14:I$71="N/A")*$F$14:$F$71)))</f>
        <v/>
      </c>
      <c r="K23" s="22">
        <f>IF(I23="SI",J23,0)</f>
        <v/>
      </c>
      <c r="L23" s="21" t="n"/>
      <c r="M23" s="22">
        <f>IF(OR($E23=0,L$78=0),0,IF(AND(L23="N/A",$G23&lt;&gt;""),0,$F23+SUMPRODUCT(($G$14:$G$71=$A23)*($E$14:$E$71=1)*(L$14:L$71="N/A")*$F$14:$F$71)))</f>
        <v/>
      </c>
      <c r="N23" s="22">
        <f>IF(L23="SI",M23,0)</f>
        <v/>
      </c>
      <c r="O23" s="21" t="n"/>
      <c r="P23" s="22">
        <f>IF(OR($E23=0,O$78=0),0,IF(AND(O23="N/A",$G23&lt;&gt;""),0,$F23+SUMPRODUCT(($G$14:$G$71=$A23)*($E$14:$E$71=1)*(O$14:O$71="N/A")*$F$14:$F$71)))</f>
        <v/>
      </c>
      <c r="Q23" s="22">
        <f>IF(O23="SI",P23,0)</f>
        <v/>
      </c>
      <c r="R23" s="21" t="n"/>
      <c r="S23" s="22">
        <f>IF(OR($E23=0,R$78=0),0,IF(AND(R23="N/A",$G23&lt;&gt;""),0,$F23+SUMPRODUCT(($G$14:$G$71=$A23)*($E$14:$E$71=1)*(R$14:R$71="N/A")*$F$14:$F$71)))</f>
        <v/>
      </c>
      <c r="T23" s="22">
        <f>IF(R23="SI",S23,0)</f>
        <v/>
      </c>
      <c r="U23" s="21" t="n"/>
      <c r="V23" s="22">
        <f>IF(OR($E23=0,U$78=0),0,IF(AND(U23="N/A",$G23&lt;&gt;""),0,$F23+SUMPRODUCT(($G$14:$G$71=$A23)*($E$14:$E$71=1)*(U$14:U$71="N/A")*$F$14:$F$71)))</f>
        <v/>
      </c>
      <c r="W23" s="22">
        <f>IF(U23="SI",V23,0)</f>
        <v/>
      </c>
      <c r="X23" s="21" t="n"/>
      <c r="Y23" s="22">
        <f>IF(OR($E23=0,X$78=0),0,IF(AND(X23="N/A",$G23&lt;&gt;""),0,$F23+SUMPRODUCT(($G$14:$G$71=$A23)*($E$14:$E$71=1)*(X$14:X$71="N/A")*$F$14:$F$71)))</f>
        <v/>
      </c>
      <c r="Z23" s="22">
        <f>IF(X23="SI",Y23,0)</f>
        <v/>
      </c>
      <c r="AA23" s="22">
        <f>SUM(J23,M23,P23,S23,V23,Y23)</f>
        <v/>
      </c>
      <c r="AB23" s="22">
        <f>SUM(K23,N23,Q23,T23,W23,Z23)</f>
        <v/>
      </c>
      <c r="AC23" s="23">
        <f>IF(AA23=0,"",AB23/AA23)</f>
        <v/>
      </c>
      <c r="AD23" s="22">
        <f>CRITERIOS!Q11</f>
        <v/>
      </c>
      <c r="AE23" s="22">
        <f>IF(AND(E23=1,H23&lt;&gt;"X",((I23="N/A")+(L23="N/A")+(O23="N/A")+(R23="N/A")+(U23="N/A")+(X23="N/A"))&gt;0),"REVISAR","")</f>
        <v/>
      </c>
    </row>
    <row r="24">
      <c r="A24" s="19">
        <f>CRITERIOS!B12</f>
        <v/>
      </c>
      <c r="B24" s="19">
        <f>CRITERIOS!C12</f>
        <v/>
      </c>
      <c r="C24" s="20">
        <f>CRITERIOS!D12</f>
        <v/>
      </c>
      <c r="D24" s="19">
        <f>CRITERIOS!E12</f>
        <v/>
      </c>
      <c r="E24" s="19">
        <f>IFERROR(IF(AND(OR(CRITERIOS!F12="Todos",CRITERIOS!F12=$B$4),INDEX(CRITERIOS!H12:J12,MATCH($B$5,VARIABLES!$E$2:$E$4,0))=1),1,0),0)</f>
        <v/>
      </c>
      <c r="F24" s="19">
        <f>IFERROR(IF(E24=1,INDEX(CRITERIOS!K12:M12,MATCH($B$5,VARIABLES!$E$2:$E$4,0)),0),0)</f>
        <v/>
      </c>
      <c r="G24" s="19">
        <f>IF(CRITERIOS!N12="","",CRITERIOS!N12)</f>
        <v/>
      </c>
      <c r="H24" s="19">
        <f>IF(CRITERIOS!O12="","",CRITERIOS!O12)</f>
        <v/>
      </c>
      <c r="I24" s="21" t="n"/>
      <c r="J24" s="22">
        <f>IF(OR($E24=0,I$78=0),0,IF(AND(I24="N/A",$G24&lt;&gt;""),0,$F24+SUMPRODUCT(($G$14:$G$71=$A24)*($E$14:$E$71=1)*(I$14:I$71="N/A")*$F$14:$F$71)))</f>
        <v/>
      </c>
      <c r="K24" s="22">
        <f>IF(I24="SI",J24,0)</f>
        <v/>
      </c>
      <c r="L24" s="21" t="n"/>
      <c r="M24" s="22">
        <f>IF(OR($E24=0,L$78=0),0,IF(AND(L24="N/A",$G24&lt;&gt;""),0,$F24+SUMPRODUCT(($G$14:$G$71=$A24)*($E$14:$E$71=1)*(L$14:L$71="N/A")*$F$14:$F$71)))</f>
        <v/>
      </c>
      <c r="N24" s="22">
        <f>IF(L24="SI",M24,0)</f>
        <v/>
      </c>
      <c r="O24" s="21" t="n"/>
      <c r="P24" s="22">
        <f>IF(OR($E24=0,O$78=0),0,IF(AND(O24="N/A",$G24&lt;&gt;""),0,$F24+SUMPRODUCT(($G$14:$G$71=$A24)*($E$14:$E$71=1)*(O$14:O$71="N/A")*$F$14:$F$71)))</f>
        <v/>
      </c>
      <c r="Q24" s="22">
        <f>IF(O24="SI",P24,0)</f>
        <v/>
      </c>
      <c r="R24" s="21" t="n"/>
      <c r="S24" s="22">
        <f>IF(OR($E24=0,R$78=0),0,IF(AND(R24="N/A",$G24&lt;&gt;""),0,$F24+SUMPRODUCT(($G$14:$G$71=$A24)*($E$14:$E$71=1)*(R$14:R$71="N/A")*$F$14:$F$71)))</f>
        <v/>
      </c>
      <c r="T24" s="22">
        <f>IF(R24="SI",S24,0)</f>
        <v/>
      </c>
      <c r="U24" s="21" t="n"/>
      <c r="V24" s="22">
        <f>IF(OR($E24=0,U$78=0),0,IF(AND(U24="N/A",$G24&lt;&gt;""),0,$F24+SUMPRODUCT(($G$14:$G$71=$A24)*($E$14:$E$71=1)*(U$14:U$71="N/A")*$F$14:$F$71)))</f>
        <v/>
      </c>
      <c r="W24" s="22">
        <f>IF(U24="SI",V24,0)</f>
        <v/>
      </c>
      <c r="X24" s="21" t="n"/>
      <c r="Y24" s="22">
        <f>IF(OR($E24=0,X$78=0),0,IF(AND(X24="N/A",$G24&lt;&gt;""),0,$F24+SUMPRODUCT(($G$14:$G$71=$A24)*($E$14:$E$71=1)*(X$14:X$71="N/A")*$F$14:$F$71)))</f>
        <v/>
      </c>
      <c r="Z24" s="22">
        <f>IF(X24="SI",Y24,0)</f>
        <v/>
      </c>
      <c r="AA24" s="22">
        <f>SUM(J24,M24,P24,S24,V24,Y24)</f>
        <v/>
      </c>
      <c r="AB24" s="22">
        <f>SUM(K24,N24,Q24,T24,W24,Z24)</f>
        <v/>
      </c>
      <c r="AC24" s="23">
        <f>IF(AA24=0,"",AB24/AA24)</f>
        <v/>
      </c>
      <c r="AD24" s="22">
        <f>CRITERIOS!Q12</f>
        <v/>
      </c>
      <c r="AE24" s="22">
        <f>IF(AND(E24=1,H24&lt;&gt;"X",((I24="N/A")+(L24="N/A")+(O24="N/A")+(R24="N/A")+(U24="N/A")+(X24="N/A"))&gt;0),"REVISAR","")</f>
        <v/>
      </c>
    </row>
    <row r="25">
      <c r="A25" s="19">
        <f>CRITERIOS!B13</f>
        <v/>
      </c>
      <c r="B25" s="19">
        <f>CRITERIOS!C13</f>
        <v/>
      </c>
      <c r="C25" s="20">
        <f>CRITERIOS!D13</f>
        <v/>
      </c>
      <c r="D25" s="19">
        <f>CRITERIOS!E13</f>
        <v/>
      </c>
      <c r="E25" s="19">
        <f>IFERROR(IF(AND(OR(CRITERIOS!F13="Todos",CRITERIOS!F13=$B$4),INDEX(CRITERIOS!H13:J13,MATCH($B$5,VARIABLES!$E$2:$E$4,0))=1),1,0),0)</f>
        <v/>
      </c>
      <c r="F25" s="19">
        <f>IFERROR(IF(E25=1,INDEX(CRITERIOS!K13:M13,MATCH($B$5,VARIABLES!$E$2:$E$4,0)),0),0)</f>
        <v/>
      </c>
      <c r="G25" s="19">
        <f>IF(CRITERIOS!N13="","",CRITERIOS!N13)</f>
        <v/>
      </c>
      <c r="H25" s="19">
        <f>IF(CRITERIOS!O13="","",CRITERIOS!O13)</f>
        <v/>
      </c>
      <c r="I25" s="21" t="n"/>
      <c r="J25" s="22">
        <f>IF(OR($E25=0,I$78=0),0,IF(AND(I25="N/A",$G25&lt;&gt;""),0,$F25+SUMPRODUCT(($G$14:$G$71=$A25)*($E$14:$E$71=1)*(I$14:I$71="N/A")*$F$14:$F$71)))</f>
        <v/>
      </c>
      <c r="K25" s="22">
        <f>IF(I25="SI",J25,0)</f>
        <v/>
      </c>
      <c r="L25" s="21" t="n"/>
      <c r="M25" s="22">
        <f>IF(OR($E25=0,L$78=0),0,IF(AND(L25="N/A",$G25&lt;&gt;""),0,$F25+SUMPRODUCT(($G$14:$G$71=$A25)*($E$14:$E$71=1)*(L$14:L$71="N/A")*$F$14:$F$71)))</f>
        <v/>
      </c>
      <c r="N25" s="22">
        <f>IF(L25="SI",M25,0)</f>
        <v/>
      </c>
      <c r="O25" s="21" t="n"/>
      <c r="P25" s="22">
        <f>IF(OR($E25=0,O$78=0),0,IF(AND(O25="N/A",$G25&lt;&gt;""),0,$F25+SUMPRODUCT(($G$14:$G$71=$A25)*($E$14:$E$71=1)*(O$14:O$71="N/A")*$F$14:$F$71)))</f>
        <v/>
      </c>
      <c r="Q25" s="22">
        <f>IF(O25="SI",P25,0)</f>
        <v/>
      </c>
      <c r="R25" s="21" t="n"/>
      <c r="S25" s="22">
        <f>IF(OR($E25=0,R$78=0),0,IF(AND(R25="N/A",$G25&lt;&gt;""),0,$F25+SUMPRODUCT(($G$14:$G$71=$A25)*($E$14:$E$71=1)*(R$14:R$71="N/A")*$F$14:$F$71)))</f>
        <v/>
      </c>
      <c r="T25" s="22">
        <f>IF(R25="SI",S25,0)</f>
        <v/>
      </c>
      <c r="U25" s="21" t="n"/>
      <c r="V25" s="22">
        <f>IF(OR($E25=0,U$78=0),0,IF(AND(U25="N/A",$G25&lt;&gt;""),0,$F25+SUMPRODUCT(($G$14:$G$71=$A25)*($E$14:$E$71=1)*(U$14:U$71="N/A")*$F$14:$F$71)))</f>
        <v/>
      </c>
      <c r="W25" s="22">
        <f>IF(U25="SI",V25,0)</f>
        <v/>
      </c>
      <c r="X25" s="21" t="n"/>
      <c r="Y25" s="22">
        <f>IF(OR($E25=0,X$78=0),0,IF(AND(X25="N/A",$G25&lt;&gt;""),0,$F25+SUMPRODUCT(($G$14:$G$71=$A25)*($E$14:$E$71=1)*(X$14:X$71="N/A")*$F$14:$F$71)))</f>
        <v/>
      </c>
      <c r="Z25" s="22">
        <f>IF(X25="SI",Y25,0)</f>
        <v/>
      </c>
      <c r="AA25" s="22">
        <f>SUM(J25,M25,P25,S25,V25,Y25)</f>
        <v/>
      </c>
      <c r="AB25" s="22">
        <f>SUM(K25,N25,Q25,T25,W25,Z25)</f>
        <v/>
      </c>
      <c r="AC25" s="23">
        <f>IF(AA25=0,"",AB25/AA25)</f>
        <v/>
      </c>
      <c r="AD25" s="22">
        <f>CRITERIOS!Q13</f>
        <v/>
      </c>
      <c r="AE25" s="22">
        <f>IF(AND(E25=1,H25&lt;&gt;"X",((I25="N/A")+(L25="N/A")+(O25="N/A")+(R25="N/A")+(U25="N/A")+(X25="N/A"))&gt;0),"REVISAR","")</f>
        <v/>
      </c>
    </row>
    <row r="26">
      <c r="A26" s="19">
        <f>CRITERIOS!B14</f>
        <v/>
      </c>
      <c r="B26" s="19">
        <f>CRITERIOS!C14</f>
        <v/>
      </c>
      <c r="C26" s="20">
        <f>CRITERIOS!D14</f>
        <v/>
      </c>
      <c r="D26" s="19">
        <f>CRITERIOS!E14</f>
        <v/>
      </c>
      <c r="E26" s="19">
        <f>IFERROR(IF(AND(OR(CRITERIOS!F14="Todos",CRITERIOS!F14=$B$4),INDEX(CRITERIOS!H14:J14,MATCH($B$5,VARIABLES!$E$2:$E$4,0))=1),1,0),0)</f>
        <v/>
      </c>
      <c r="F26" s="19">
        <f>IFERROR(IF(E26=1,INDEX(CRITERIOS!K14:M14,MATCH($B$5,VARIABLES!$E$2:$E$4,0)),0),0)</f>
        <v/>
      </c>
      <c r="G26" s="19">
        <f>IF(CRITERIOS!N14="","",CRITERIOS!N14)</f>
        <v/>
      </c>
      <c r="H26" s="19">
        <f>IF(CRITERIOS!O14="","",CRITERIOS!O14)</f>
        <v/>
      </c>
      <c r="I26" s="21" t="n"/>
      <c r="J26" s="22">
        <f>IF(OR($E26=0,I$78=0),0,IF(AND(I26="N/A",$G26&lt;&gt;""),0,$F26+SUMPRODUCT(($G$14:$G$71=$A26)*($E$14:$E$71=1)*(I$14:I$71="N/A")*$F$14:$F$71)))</f>
        <v/>
      </c>
      <c r="K26" s="22">
        <f>IF(I26="SI",J26,0)</f>
        <v/>
      </c>
      <c r="L26" s="21" t="n"/>
      <c r="M26" s="22">
        <f>IF(OR($E26=0,L$78=0),0,IF(AND(L26="N/A",$G26&lt;&gt;""),0,$F26+SUMPRODUCT(($G$14:$G$71=$A26)*($E$14:$E$71=1)*(L$14:L$71="N/A")*$F$14:$F$71)))</f>
        <v/>
      </c>
      <c r="N26" s="22">
        <f>IF(L26="SI",M26,0)</f>
        <v/>
      </c>
      <c r="O26" s="21" t="n"/>
      <c r="P26" s="22">
        <f>IF(OR($E26=0,O$78=0),0,IF(AND(O26="N/A",$G26&lt;&gt;""),0,$F26+SUMPRODUCT(($G$14:$G$71=$A26)*($E$14:$E$71=1)*(O$14:O$71="N/A")*$F$14:$F$71)))</f>
        <v/>
      </c>
      <c r="Q26" s="22">
        <f>IF(O26="SI",P26,0)</f>
        <v/>
      </c>
      <c r="R26" s="21" t="n"/>
      <c r="S26" s="22">
        <f>IF(OR($E26=0,R$78=0),0,IF(AND(R26="N/A",$G26&lt;&gt;""),0,$F26+SUMPRODUCT(($G$14:$G$71=$A26)*($E$14:$E$71=1)*(R$14:R$71="N/A")*$F$14:$F$71)))</f>
        <v/>
      </c>
      <c r="T26" s="22">
        <f>IF(R26="SI",S26,0)</f>
        <v/>
      </c>
      <c r="U26" s="21" t="n"/>
      <c r="V26" s="22">
        <f>IF(OR($E26=0,U$78=0),0,IF(AND(U26="N/A",$G26&lt;&gt;""),0,$F26+SUMPRODUCT(($G$14:$G$71=$A26)*($E$14:$E$71=1)*(U$14:U$71="N/A")*$F$14:$F$71)))</f>
        <v/>
      </c>
      <c r="W26" s="22">
        <f>IF(U26="SI",V26,0)</f>
        <v/>
      </c>
      <c r="X26" s="21" t="n"/>
      <c r="Y26" s="22">
        <f>IF(OR($E26=0,X$78=0),0,IF(AND(X26="N/A",$G26&lt;&gt;""),0,$F26+SUMPRODUCT(($G$14:$G$71=$A26)*($E$14:$E$71=1)*(X$14:X$71="N/A")*$F$14:$F$71)))</f>
        <v/>
      </c>
      <c r="Z26" s="22">
        <f>IF(X26="SI",Y26,0)</f>
        <v/>
      </c>
      <c r="AA26" s="22">
        <f>SUM(J26,M26,P26,S26,V26,Y26)</f>
        <v/>
      </c>
      <c r="AB26" s="22">
        <f>SUM(K26,N26,Q26,T26,W26,Z26)</f>
        <v/>
      </c>
      <c r="AC26" s="23">
        <f>IF(AA26=0,"",AB26/AA26)</f>
        <v/>
      </c>
      <c r="AD26" s="22">
        <f>CRITERIOS!Q14</f>
        <v/>
      </c>
      <c r="AE26" s="22">
        <f>IF(AND(E26=1,H26&lt;&gt;"X",((I26="N/A")+(L26="N/A")+(O26="N/A")+(R26="N/A")+(U26="N/A")+(X26="N/A"))&gt;0),"REVISAR","")</f>
        <v/>
      </c>
    </row>
    <row r="27">
      <c r="A27" s="19">
        <f>CRITERIOS!B15</f>
        <v/>
      </c>
      <c r="B27" s="19">
        <f>CRITERIOS!C15</f>
        <v/>
      </c>
      <c r="C27" s="20">
        <f>CRITERIOS!D15</f>
        <v/>
      </c>
      <c r="D27" s="19">
        <f>CRITERIOS!E15</f>
        <v/>
      </c>
      <c r="E27" s="19">
        <f>IFERROR(IF(AND(OR(CRITERIOS!F15="Todos",CRITERIOS!F15=$B$4),INDEX(CRITERIOS!H15:J15,MATCH($B$5,VARIABLES!$E$2:$E$4,0))=1),1,0),0)</f>
        <v/>
      </c>
      <c r="F27" s="19">
        <f>IFERROR(IF(E27=1,INDEX(CRITERIOS!K15:M15,MATCH($B$5,VARIABLES!$E$2:$E$4,0)),0),0)</f>
        <v/>
      </c>
      <c r="G27" s="19">
        <f>IF(CRITERIOS!N15="","",CRITERIOS!N15)</f>
        <v/>
      </c>
      <c r="H27" s="19">
        <f>IF(CRITERIOS!O15="","",CRITERIOS!O15)</f>
        <v/>
      </c>
      <c r="I27" s="21" t="n"/>
      <c r="J27" s="22">
        <f>IF(OR($E27=0,I$78=0),0,IF(AND(I27="N/A",$G27&lt;&gt;""),0,$F27+SUMPRODUCT(($G$14:$G$71=$A27)*($E$14:$E$71=1)*(I$14:I$71="N/A")*$F$14:$F$71)))</f>
        <v/>
      </c>
      <c r="K27" s="22">
        <f>IF(I27="SI",J27,0)</f>
        <v/>
      </c>
      <c r="L27" s="21" t="n"/>
      <c r="M27" s="22">
        <f>IF(OR($E27=0,L$78=0),0,IF(AND(L27="N/A",$G27&lt;&gt;""),0,$F27+SUMPRODUCT(($G$14:$G$71=$A27)*($E$14:$E$71=1)*(L$14:L$71="N/A")*$F$14:$F$71)))</f>
        <v/>
      </c>
      <c r="N27" s="22">
        <f>IF(L27="SI",M27,0)</f>
        <v/>
      </c>
      <c r="O27" s="21" t="n"/>
      <c r="P27" s="22">
        <f>IF(OR($E27=0,O$78=0),0,IF(AND(O27="N/A",$G27&lt;&gt;""),0,$F27+SUMPRODUCT(($G$14:$G$71=$A27)*($E$14:$E$71=1)*(O$14:O$71="N/A")*$F$14:$F$71)))</f>
        <v/>
      </c>
      <c r="Q27" s="22">
        <f>IF(O27="SI",P27,0)</f>
        <v/>
      </c>
      <c r="R27" s="21" t="n"/>
      <c r="S27" s="22">
        <f>IF(OR($E27=0,R$78=0),0,IF(AND(R27="N/A",$G27&lt;&gt;""),0,$F27+SUMPRODUCT(($G$14:$G$71=$A27)*($E$14:$E$71=1)*(R$14:R$71="N/A")*$F$14:$F$71)))</f>
        <v/>
      </c>
      <c r="T27" s="22">
        <f>IF(R27="SI",S27,0)</f>
        <v/>
      </c>
      <c r="U27" s="21" t="n"/>
      <c r="V27" s="22">
        <f>IF(OR($E27=0,U$78=0),0,IF(AND(U27="N/A",$G27&lt;&gt;""),0,$F27+SUMPRODUCT(($G$14:$G$71=$A27)*($E$14:$E$71=1)*(U$14:U$71="N/A")*$F$14:$F$71)))</f>
        <v/>
      </c>
      <c r="W27" s="22">
        <f>IF(U27="SI",V27,0)</f>
        <v/>
      </c>
      <c r="X27" s="21" t="n"/>
      <c r="Y27" s="22">
        <f>IF(OR($E27=0,X$78=0),0,IF(AND(X27="N/A",$G27&lt;&gt;""),0,$F27+SUMPRODUCT(($G$14:$G$71=$A27)*($E$14:$E$71=1)*(X$14:X$71="N/A")*$F$14:$F$71)))</f>
        <v/>
      </c>
      <c r="Z27" s="22">
        <f>IF(X27="SI",Y27,0)</f>
        <v/>
      </c>
      <c r="AA27" s="22">
        <f>SUM(J27,M27,P27,S27,V27,Y27)</f>
        <v/>
      </c>
      <c r="AB27" s="22">
        <f>SUM(K27,N27,Q27,T27,W27,Z27)</f>
        <v/>
      </c>
      <c r="AC27" s="23">
        <f>IF(AA27=0,"",AB27/AA27)</f>
        <v/>
      </c>
      <c r="AD27" s="22">
        <f>CRITERIOS!Q15</f>
        <v/>
      </c>
      <c r="AE27" s="22">
        <f>IF(AND(E27=1,H27&lt;&gt;"X",((I27="N/A")+(L27="N/A")+(O27="N/A")+(R27="N/A")+(U27="N/A")+(X27="N/A"))&gt;0),"REVISAR","")</f>
        <v/>
      </c>
    </row>
    <row r="28">
      <c r="A28" s="19">
        <f>CRITERIOS!B16</f>
        <v/>
      </c>
      <c r="B28" s="19">
        <f>CRITERIOS!C16</f>
        <v/>
      </c>
      <c r="C28" s="20">
        <f>CRITERIOS!D16</f>
        <v/>
      </c>
      <c r="D28" s="19">
        <f>CRITERIOS!E16</f>
        <v/>
      </c>
      <c r="E28" s="19">
        <f>IFERROR(IF(AND(OR(CRITERIOS!F16="Todos",CRITERIOS!F16=$B$4),INDEX(CRITERIOS!H16:J16,MATCH($B$5,VARIABLES!$E$2:$E$4,0))=1),1,0),0)</f>
        <v/>
      </c>
      <c r="F28" s="19">
        <f>IFERROR(IF(E28=1,INDEX(CRITERIOS!K16:M16,MATCH($B$5,VARIABLES!$E$2:$E$4,0)),0),0)</f>
        <v/>
      </c>
      <c r="G28" s="19">
        <f>IF(CRITERIOS!N16="","",CRITERIOS!N16)</f>
        <v/>
      </c>
      <c r="H28" s="19">
        <f>IF(CRITERIOS!O16="","",CRITERIOS!O16)</f>
        <v/>
      </c>
      <c r="I28" s="21" t="n"/>
      <c r="J28" s="22">
        <f>IF(OR($E28=0,I$78=0),0,IF(AND(I28="N/A",$G28&lt;&gt;""),0,$F28+SUMPRODUCT(($G$14:$G$71=$A28)*($E$14:$E$71=1)*(I$14:I$71="N/A")*$F$14:$F$71)))</f>
        <v/>
      </c>
      <c r="K28" s="22">
        <f>IF(I28="SI",J28,0)</f>
        <v/>
      </c>
      <c r="L28" s="21" t="n"/>
      <c r="M28" s="22">
        <f>IF(OR($E28=0,L$78=0),0,IF(AND(L28="N/A",$G28&lt;&gt;""),0,$F28+SUMPRODUCT(($G$14:$G$71=$A28)*($E$14:$E$71=1)*(L$14:L$71="N/A")*$F$14:$F$71)))</f>
        <v/>
      </c>
      <c r="N28" s="22">
        <f>IF(L28="SI",M28,0)</f>
        <v/>
      </c>
      <c r="O28" s="21" t="n"/>
      <c r="P28" s="22">
        <f>IF(OR($E28=0,O$78=0),0,IF(AND(O28="N/A",$G28&lt;&gt;""),0,$F28+SUMPRODUCT(($G$14:$G$71=$A28)*($E$14:$E$71=1)*(O$14:O$71="N/A")*$F$14:$F$71)))</f>
        <v/>
      </c>
      <c r="Q28" s="22">
        <f>IF(O28="SI",P28,0)</f>
        <v/>
      </c>
      <c r="R28" s="21" t="n"/>
      <c r="S28" s="22">
        <f>IF(OR($E28=0,R$78=0),0,IF(AND(R28="N/A",$G28&lt;&gt;""),0,$F28+SUMPRODUCT(($G$14:$G$71=$A28)*($E$14:$E$71=1)*(R$14:R$71="N/A")*$F$14:$F$71)))</f>
        <v/>
      </c>
      <c r="T28" s="22">
        <f>IF(R28="SI",S28,0)</f>
        <v/>
      </c>
      <c r="U28" s="21" t="n"/>
      <c r="V28" s="22">
        <f>IF(OR($E28=0,U$78=0),0,IF(AND(U28="N/A",$G28&lt;&gt;""),0,$F28+SUMPRODUCT(($G$14:$G$71=$A28)*($E$14:$E$71=1)*(U$14:U$71="N/A")*$F$14:$F$71)))</f>
        <v/>
      </c>
      <c r="W28" s="22">
        <f>IF(U28="SI",V28,0)</f>
        <v/>
      </c>
      <c r="X28" s="21" t="n"/>
      <c r="Y28" s="22">
        <f>IF(OR($E28=0,X$78=0),0,IF(AND(X28="N/A",$G28&lt;&gt;""),0,$F28+SUMPRODUCT(($G$14:$G$71=$A28)*($E$14:$E$71=1)*(X$14:X$71="N/A")*$F$14:$F$71)))</f>
        <v/>
      </c>
      <c r="Z28" s="22">
        <f>IF(X28="SI",Y28,0)</f>
        <v/>
      </c>
      <c r="AA28" s="22">
        <f>SUM(J28,M28,P28,S28,V28,Y28)</f>
        <v/>
      </c>
      <c r="AB28" s="22">
        <f>SUM(K28,N28,Q28,T28,W28,Z28)</f>
        <v/>
      </c>
      <c r="AC28" s="23">
        <f>IF(AA28=0,"",AB28/AA28)</f>
        <v/>
      </c>
      <c r="AD28" s="22">
        <f>CRITERIOS!Q16</f>
        <v/>
      </c>
      <c r="AE28" s="22">
        <f>IF(AND(E28=1,H28&lt;&gt;"X",((I28="N/A")+(L28="N/A")+(O28="N/A")+(R28="N/A")+(U28="N/A")+(X28="N/A"))&gt;0),"REVISAR","")</f>
        <v/>
      </c>
    </row>
    <row r="29">
      <c r="A29" s="19">
        <f>CRITERIOS!B17</f>
        <v/>
      </c>
      <c r="B29" s="19">
        <f>CRITERIOS!C17</f>
        <v/>
      </c>
      <c r="C29" s="20">
        <f>CRITERIOS!D17</f>
        <v/>
      </c>
      <c r="D29" s="19">
        <f>CRITERIOS!E17</f>
        <v/>
      </c>
      <c r="E29" s="19">
        <f>IFERROR(IF(AND(OR(CRITERIOS!F17="Todos",CRITERIOS!F17=$B$4),INDEX(CRITERIOS!H17:J17,MATCH($B$5,VARIABLES!$E$2:$E$4,0))=1),1,0),0)</f>
        <v/>
      </c>
      <c r="F29" s="19">
        <f>IFERROR(IF(E29=1,INDEX(CRITERIOS!K17:M17,MATCH($B$5,VARIABLES!$E$2:$E$4,0)),0),0)</f>
        <v/>
      </c>
      <c r="G29" s="19">
        <f>IF(CRITERIOS!N17="","",CRITERIOS!N17)</f>
        <v/>
      </c>
      <c r="H29" s="19">
        <f>IF(CRITERIOS!O17="","",CRITERIOS!O17)</f>
        <v/>
      </c>
      <c r="I29" s="21" t="n"/>
      <c r="J29" s="22">
        <f>IF(OR($E29=0,I$78=0),0,IF(AND(I29="N/A",$G29&lt;&gt;""),0,$F29+SUMPRODUCT(($G$14:$G$71=$A29)*($E$14:$E$71=1)*(I$14:I$71="N/A")*$F$14:$F$71)))</f>
        <v/>
      </c>
      <c r="K29" s="22">
        <f>IF(I29="SI",J29,0)</f>
        <v/>
      </c>
      <c r="L29" s="21" t="n"/>
      <c r="M29" s="22">
        <f>IF(OR($E29=0,L$78=0),0,IF(AND(L29="N/A",$G29&lt;&gt;""),0,$F29+SUMPRODUCT(($G$14:$G$71=$A29)*($E$14:$E$71=1)*(L$14:L$71="N/A")*$F$14:$F$71)))</f>
        <v/>
      </c>
      <c r="N29" s="22">
        <f>IF(L29="SI",M29,0)</f>
        <v/>
      </c>
      <c r="O29" s="21" t="n"/>
      <c r="P29" s="22">
        <f>IF(OR($E29=0,O$78=0),0,IF(AND(O29="N/A",$G29&lt;&gt;""),0,$F29+SUMPRODUCT(($G$14:$G$71=$A29)*($E$14:$E$71=1)*(O$14:O$71="N/A")*$F$14:$F$71)))</f>
        <v/>
      </c>
      <c r="Q29" s="22">
        <f>IF(O29="SI",P29,0)</f>
        <v/>
      </c>
      <c r="R29" s="21" t="n"/>
      <c r="S29" s="22">
        <f>IF(OR($E29=0,R$78=0),0,IF(AND(R29="N/A",$G29&lt;&gt;""),0,$F29+SUMPRODUCT(($G$14:$G$71=$A29)*($E$14:$E$71=1)*(R$14:R$71="N/A")*$F$14:$F$71)))</f>
        <v/>
      </c>
      <c r="T29" s="22">
        <f>IF(R29="SI",S29,0)</f>
        <v/>
      </c>
      <c r="U29" s="21" t="n"/>
      <c r="V29" s="22">
        <f>IF(OR($E29=0,U$78=0),0,IF(AND(U29="N/A",$G29&lt;&gt;""),0,$F29+SUMPRODUCT(($G$14:$G$71=$A29)*($E$14:$E$71=1)*(U$14:U$71="N/A")*$F$14:$F$71)))</f>
        <v/>
      </c>
      <c r="W29" s="22">
        <f>IF(U29="SI",V29,0)</f>
        <v/>
      </c>
      <c r="X29" s="21" t="n"/>
      <c r="Y29" s="22">
        <f>IF(OR($E29=0,X$78=0),0,IF(AND(X29="N/A",$G29&lt;&gt;""),0,$F29+SUMPRODUCT(($G$14:$G$71=$A29)*($E$14:$E$71=1)*(X$14:X$71="N/A")*$F$14:$F$71)))</f>
        <v/>
      </c>
      <c r="Z29" s="22">
        <f>IF(X29="SI",Y29,0)</f>
        <v/>
      </c>
      <c r="AA29" s="22">
        <f>SUM(J29,M29,P29,S29,V29,Y29)</f>
        <v/>
      </c>
      <c r="AB29" s="22">
        <f>SUM(K29,N29,Q29,T29,W29,Z29)</f>
        <v/>
      </c>
      <c r="AC29" s="23">
        <f>IF(AA29=0,"",AB29/AA29)</f>
        <v/>
      </c>
      <c r="AD29" s="22">
        <f>CRITERIOS!Q17</f>
        <v/>
      </c>
      <c r="AE29" s="22">
        <f>IF(AND(E29=1,H29&lt;&gt;"X",((I29="N/A")+(L29="N/A")+(O29="N/A")+(R29="N/A")+(U29="N/A")+(X29="N/A"))&gt;0),"REVISAR","")</f>
        <v/>
      </c>
    </row>
    <row r="30">
      <c r="A30" s="22">
        <f>CRITERIOS!B18</f>
        <v/>
      </c>
      <c r="B30" s="22">
        <f>CRITERIOS!C18</f>
        <v/>
      </c>
      <c r="C30" s="8">
        <f>CRITERIOS!D18</f>
        <v/>
      </c>
      <c r="D30" s="22">
        <f>CRITERIOS!E18</f>
        <v/>
      </c>
      <c r="E30" s="22">
        <f>IFERROR(IF(AND(OR(CRITERIOS!F18="Todos",CRITERIOS!F18=$B$4),INDEX(CRITERIOS!H18:J18,MATCH($B$5,VARIABLES!$E$2:$E$4,0))=1),1,0),0)</f>
        <v/>
      </c>
      <c r="F30" s="22">
        <f>IFERROR(IF(E30=1,INDEX(CRITERIOS!K18:M18,MATCH($B$5,VARIABLES!$E$2:$E$4,0)),0),0)</f>
        <v/>
      </c>
      <c r="G30" s="22">
        <f>IF(CRITERIOS!N18="","",CRITERIOS!N18)</f>
        <v/>
      </c>
      <c r="H30" s="22">
        <f>IF(CRITERIOS!O18="","",CRITERIOS!O18)</f>
        <v/>
      </c>
      <c r="I30" s="21" t="n"/>
      <c r="J30" s="22">
        <f>IF(OR($E30=0,I$78=0),0,IF(AND(I30="N/A",$G30&lt;&gt;""),0,$F30+SUMPRODUCT(($G$14:$G$71=$A30)*($E$14:$E$71=1)*(I$14:I$71="N/A")*$F$14:$F$71)))</f>
        <v/>
      </c>
      <c r="K30" s="22">
        <f>IF(I30="SI",J30,0)</f>
        <v/>
      </c>
      <c r="L30" s="21" t="n"/>
      <c r="M30" s="22">
        <f>IF(OR($E30=0,L$78=0),0,IF(AND(L30="N/A",$G30&lt;&gt;""),0,$F30+SUMPRODUCT(($G$14:$G$71=$A30)*($E$14:$E$71=1)*(L$14:L$71="N/A")*$F$14:$F$71)))</f>
        <v/>
      </c>
      <c r="N30" s="22">
        <f>IF(L30="SI",M30,0)</f>
        <v/>
      </c>
      <c r="O30" s="21" t="n"/>
      <c r="P30" s="22">
        <f>IF(OR($E30=0,O$78=0),0,IF(AND(O30="N/A",$G30&lt;&gt;""),0,$F30+SUMPRODUCT(($G$14:$G$71=$A30)*($E$14:$E$71=1)*(O$14:O$71="N/A")*$F$14:$F$71)))</f>
        <v/>
      </c>
      <c r="Q30" s="22">
        <f>IF(O30="SI",P30,0)</f>
        <v/>
      </c>
      <c r="R30" s="21" t="n"/>
      <c r="S30" s="22">
        <f>IF(OR($E30=0,R$78=0),0,IF(AND(R30="N/A",$G30&lt;&gt;""),0,$F30+SUMPRODUCT(($G$14:$G$71=$A30)*($E$14:$E$71=1)*(R$14:R$71="N/A")*$F$14:$F$71)))</f>
        <v/>
      </c>
      <c r="T30" s="22">
        <f>IF(R30="SI",S30,0)</f>
        <v/>
      </c>
      <c r="U30" s="21" t="n"/>
      <c r="V30" s="22">
        <f>IF(OR($E30=0,U$78=0),0,IF(AND(U30="N/A",$G30&lt;&gt;""),0,$F30+SUMPRODUCT(($G$14:$G$71=$A30)*($E$14:$E$71=1)*(U$14:U$71="N/A")*$F$14:$F$71)))</f>
        <v/>
      </c>
      <c r="W30" s="22">
        <f>IF(U30="SI",V30,0)</f>
        <v/>
      </c>
      <c r="X30" s="21" t="n"/>
      <c r="Y30" s="22">
        <f>IF(OR($E30=0,X$78=0),0,IF(AND(X30="N/A",$G30&lt;&gt;""),0,$F30+SUMPRODUCT(($G$14:$G$71=$A30)*($E$14:$E$71=1)*(X$14:X$71="N/A")*$F$14:$F$71)))</f>
        <v/>
      </c>
      <c r="Z30" s="22">
        <f>IF(X30="SI",Y30,0)</f>
        <v/>
      </c>
      <c r="AA30" s="22">
        <f>SUM(J30,M30,P30,S30,V30,Y30)</f>
        <v/>
      </c>
      <c r="AB30" s="22">
        <f>SUM(K30,N30,Q30,T30,W30,Z30)</f>
        <v/>
      </c>
      <c r="AC30" s="23">
        <f>IF(AA30=0,"",AB30/AA30)</f>
        <v/>
      </c>
      <c r="AD30" s="22">
        <f>CRITERIOS!Q18</f>
        <v/>
      </c>
      <c r="AE30" s="22">
        <f>IF(AND(E30=1,H30&lt;&gt;"X",((I30="N/A")+(L30="N/A")+(O30="N/A")+(R30="N/A")+(U30="N/A")+(X30="N/A"))&gt;0),"REVISAR","")</f>
        <v/>
      </c>
    </row>
    <row r="31">
      <c r="A31" s="24">
        <f>CRITERIOS!B19</f>
        <v/>
      </c>
      <c r="B31" s="24">
        <f>CRITERIOS!C19</f>
        <v/>
      </c>
      <c r="C31" s="25">
        <f>CRITERIOS!D19</f>
        <v/>
      </c>
      <c r="D31" s="24">
        <f>CRITERIOS!E19</f>
        <v/>
      </c>
      <c r="E31" s="24">
        <f>IFERROR(IF(AND(OR(CRITERIOS!F19="Todos",CRITERIOS!F19=$B$4),INDEX(CRITERIOS!H19:J19,MATCH($B$5,VARIABLES!$E$2:$E$4,0))=1),1,0),0)</f>
        <v/>
      </c>
      <c r="F31" s="24">
        <f>IFERROR(IF(E31=1,INDEX(CRITERIOS!K19:M19,MATCH($B$5,VARIABLES!$E$2:$E$4,0)),0),0)</f>
        <v/>
      </c>
      <c r="G31" s="24">
        <f>IF(CRITERIOS!N19="","",CRITERIOS!N19)</f>
        <v/>
      </c>
      <c r="H31" s="24">
        <f>IF(CRITERIOS!O19="","",CRITERIOS!O19)</f>
        <v/>
      </c>
      <c r="I31" s="21" t="n"/>
      <c r="J31" s="22">
        <f>IF(OR($E31=0,I$78=0),0,IF(AND(I31="N/A",$G31&lt;&gt;""),0,$F31+SUMPRODUCT(($G$14:$G$71=$A31)*($E$14:$E$71=1)*(I$14:I$71="N/A")*$F$14:$F$71)))</f>
        <v/>
      </c>
      <c r="K31" s="22">
        <f>IF(I31="SI",J31,0)</f>
        <v/>
      </c>
      <c r="L31" s="21" t="n"/>
      <c r="M31" s="22">
        <f>IF(OR($E31=0,L$78=0),0,IF(AND(L31="N/A",$G31&lt;&gt;""),0,$F31+SUMPRODUCT(($G$14:$G$71=$A31)*($E$14:$E$71=1)*(L$14:L$71="N/A")*$F$14:$F$71)))</f>
        <v/>
      </c>
      <c r="N31" s="22">
        <f>IF(L31="SI",M31,0)</f>
        <v/>
      </c>
      <c r="O31" s="21" t="n"/>
      <c r="P31" s="22">
        <f>IF(OR($E31=0,O$78=0),0,IF(AND(O31="N/A",$G31&lt;&gt;""),0,$F31+SUMPRODUCT(($G$14:$G$71=$A31)*($E$14:$E$71=1)*(O$14:O$71="N/A")*$F$14:$F$71)))</f>
        <v/>
      </c>
      <c r="Q31" s="22">
        <f>IF(O31="SI",P31,0)</f>
        <v/>
      </c>
      <c r="R31" s="21" t="n"/>
      <c r="S31" s="22">
        <f>IF(OR($E31=0,R$78=0),0,IF(AND(R31="N/A",$G31&lt;&gt;""),0,$F31+SUMPRODUCT(($G$14:$G$71=$A31)*($E$14:$E$71=1)*(R$14:R$71="N/A")*$F$14:$F$71)))</f>
        <v/>
      </c>
      <c r="T31" s="22">
        <f>IF(R31="SI",S31,0)</f>
        <v/>
      </c>
      <c r="U31" s="21" t="n"/>
      <c r="V31" s="22">
        <f>IF(OR($E31=0,U$78=0),0,IF(AND(U31="N/A",$G31&lt;&gt;""),0,$F31+SUMPRODUCT(($G$14:$G$71=$A31)*($E$14:$E$71=1)*(U$14:U$71="N/A")*$F$14:$F$71)))</f>
        <v/>
      </c>
      <c r="W31" s="22">
        <f>IF(U31="SI",V31,0)</f>
        <v/>
      </c>
      <c r="X31" s="21" t="n"/>
      <c r="Y31" s="22">
        <f>IF(OR($E31=0,X$78=0),0,IF(AND(X31="N/A",$G31&lt;&gt;""),0,$F31+SUMPRODUCT(($G$14:$G$71=$A31)*($E$14:$E$71=1)*(X$14:X$71="N/A")*$F$14:$F$71)))</f>
        <v/>
      </c>
      <c r="Z31" s="22">
        <f>IF(X31="SI",Y31,0)</f>
        <v/>
      </c>
      <c r="AA31" s="22">
        <f>SUM(J31,M31,P31,S31,V31,Y31)</f>
        <v/>
      </c>
      <c r="AB31" s="22">
        <f>SUM(K31,N31,Q31,T31,W31,Z31)</f>
        <v/>
      </c>
      <c r="AC31" s="23">
        <f>IF(AA31=0,"",AB31/AA31)</f>
        <v/>
      </c>
      <c r="AD31" s="22">
        <f>CRITERIOS!Q19</f>
        <v/>
      </c>
      <c r="AE31" s="22">
        <f>IF(AND(E31=1,H31&lt;&gt;"X",((I31="N/A")+(L31="N/A")+(O31="N/A")+(R31="N/A")+(U31="N/A")+(X31="N/A"))&gt;0),"REVISAR","")</f>
        <v/>
      </c>
    </row>
    <row r="32">
      <c r="A32" s="24">
        <f>CRITERIOS!B20</f>
        <v/>
      </c>
      <c r="B32" s="24">
        <f>CRITERIOS!C20</f>
        <v/>
      </c>
      <c r="C32" s="25">
        <f>CRITERIOS!D20</f>
        <v/>
      </c>
      <c r="D32" s="24">
        <f>CRITERIOS!E20</f>
        <v/>
      </c>
      <c r="E32" s="24">
        <f>IFERROR(IF(AND(OR(CRITERIOS!F20="Todos",CRITERIOS!F20=$B$4),INDEX(CRITERIOS!H20:J20,MATCH($B$5,VARIABLES!$E$2:$E$4,0))=1),1,0),0)</f>
        <v/>
      </c>
      <c r="F32" s="24">
        <f>IFERROR(IF(E32=1,INDEX(CRITERIOS!K20:M20,MATCH($B$5,VARIABLES!$E$2:$E$4,0)),0),0)</f>
        <v/>
      </c>
      <c r="G32" s="24">
        <f>IF(CRITERIOS!N20="","",CRITERIOS!N20)</f>
        <v/>
      </c>
      <c r="H32" s="24">
        <f>IF(CRITERIOS!O20="","",CRITERIOS!O20)</f>
        <v/>
      </c>
      <c r="I32" s="21" t="n"/>
      <c r="J32" s="22">
        <f>IF(OR($E32=0,I$78=0),0,IF(AND(I32="N/A",$G32&lt;&gt;""),0,$F32+SUMPRODUCT(($G$14:$G$71=$A32)*($E$14:$E$71=1)*(I$14:I$71="N/A")*$F$14:$F$71)))</f>
        <v/>
      </c>
      <c r="K32" s="22">
        <f>IF(I32="SI",J32,0)</f>
        <v/>
      </c>
      <c r="L32" s="21" t="n"/>
      <c r="M32" s="22">
        <f>IF(OR($E32=0,L$78=0),0,IF(AND(L32="N/A",$G32&lt;&gt;""),0,$F32+SUMPRODUCT(($G$14:$G$71=$A32)*($E$14:$E$71=1)*(L$14:L$71="N/A")*$F$14:$F$71)))</f>
        <v/>
      </c>
      <c r="N32" s="22">
        <f>IF(L32="SI",M32,0)</f>
        <v/>
      </c>
      <c r="O32" s="21" t="n"/>
      <c r="P32" s="22">
        <f>IF(OR($E32=0,O$78=0),0,IF(AND(O32="N/A",$G32&lt;&gt;""),0,$F32+SUMPRODUCT(($G$14:$G$71=$A32)*($E$14:$E$71=1)*(O$14:O$71="N/A")*$F$14:$F$71)))</f>
        <v/>
      </c>
      <c r="Q32" s="22">
        <f>IF(O32="SI",P32,0)</f>
        <v/>
      </c>
      <c r="R32" s="21" t="n"/>
      <c r="S32" s="22">
        <f>IF(OR($E32=0,R$78=0),0,IF(AND(R32="N/A",$G32&lt;&gt;""),0,$F32+SUMPRODUCT(($G$14:$G$71=$A32)*($E$14:$E$71=1)*(R$14:R$71="N/A")*$F$14:$F$71)))</f>
        <v/>
      </c>
      <c r="T32" s="22">
        <f>IF(R32="SI",S32,0)</f>
        <v/>
      </c>
      <c r="U32" s="21" t="n"/>
      <c r="V32" s="22">
        <f>IF(OR($E32=0,U$78=0),0,IF(AND(U32="N/A",$G32&lt;&gt;""),0,$F32+SUMPRODUCT(($G$14:$G$71=$A32)*($E$14:$E$71=1)*(U$14:U$71="N/A")*$F$14:$F$71)))</f>
        <v/>
      </c>
      <c r="W32" s="22">
        <f>IF(U32="SI",V32,0)</f>
        <v/>
      </c>
      <c r="X32" s="21" t="n"/>
      <c r="Y32" s="22">
        <f>IF(OR($E32=0,X$78=0),0,IF(AND(X32="N/A",$G32&lt;&gt;""),0,$F32+SUMPRODUCT(($G$14:$G$71=$A32)*($E$14:$E$71=1)*(X$14:X$71="N/A")*$F$14:$F$71)))</f>
        <v/>
      </c>
      <c r="Z32" s="22">
        <f>IF(X32="SI",Y32,0)</f>
        <v/>
      </c>
      <c r="AA32" s="22">
        <f>SUM(J32,M32,P32,S32,V32,Y32)</f>
        <v/>
      </c>
      <c r="AB32" s="22">
        <f>SUM(K32,N32,Q32,T32,W32,Z32)</f>
        <v/>
      </c>
      <c r="AC32" s="23">
        <f>IF(AA32=0,"",AB32/AA32)</f>
        <v/>
      </c>
      <c r="AD32" s="22">
        <f>CRITERIOS!Q20</f>
        <v/>
      </c>
      <c r="AE32" s="22">
        <f>IF(AND(E32=1,H32&lt;&gt;"X",((I32="N/A")+(L32="N/A")+(O32="N/A")+(R32="N/A")+(U32="N/A")+(X32="N/A"))&gt;0),"REVISAR","")</f>
        <v/>
      </c>
    </row>
    <row r="33">
      <c r="A33" s="24">
        <f>CRITERIOS!B21</f>
        <v/>
      </c>
      <c r="B33" s="24">
        <f>CRITERIOS!C21</f>
        <v/>
      </c>
      <c r="C33" s="25">
        <f>CRITERIOS!D21</f>
        <v/>
      </c>
      <c r="D33" s="24">
        <f>CRITERIOS!E21</f>
        <v/>
      </c>
      <c r="E33" s="24">
        <f>IFERROR(IF(AND(OR(CRITERIOS!F21="Todos",CRITERIOS!F21=$B$4),INDEX(CRITERIOS!H21:J21,MATCH($B$5,VARIABLES!$E$2:$E$4,0))=1),1,0),0)</f>
        <v/>
      </c>
      <c r="F33" s="24">
        <f>IFERROR(IF(E33=1,INDEX(CRITERIOS!K21:M21,MATCH($B$5,VARIABLES!$E$2:$E$4,0)),0),0)</f>
        <v/>
      </c>
      <c r="G33" s="24">
        <f>IF(CRITERIOS!N21="","",CRITERIOS!N21)</f>
        <v/>
      </c>
      <c r="H33" s="24">
        <f>IF(CRITERIOS!O21="","",CRITERIOS!O21)</f>
        <v/>
      </c>
      <c r="I33" s="21" t="n"/>
      <c r="J33" s="22">
        <f>IF(OR($E33=0,I$78=0),0,IF(AND(I33="N/A",$G33&lt;&gt;""),0,$F33+SUMPRODUCT(($G$14:$G$71=$A33)*($E$14:$E$71=1)*(I$14:I$71="N/A")*$F$14:$F$71)))</f>
        <v/>
      </c>
      <c r="K33" s="22">
        <f>IF(I33="SI",J33,0)</f>
        <v/>
      </c>
      <c r="L33" s="21" t="n"/>
      <c r="M33" s="22">
        <f>IF(OR($E33=0,L$78=0),0,IF(AND(L33="N/A",$G33&lt;&gt;""),0,$F33+SUMPRODUCT(($G$14:$G$71=$A33)*($E$14:$E$71=1)*(L$14:L$71="N/A")*$F$14:$F$71)))</f>
        <v/>
      </c>
      <c r="N33" s="22">
        <f>IF(L33="SI",M33,0)</f>
        <v/>
      </c>
      <c r="O33" s="21" t="n"/>
      <c r="P33" s="22">
        <f>IF(OR($E33=0,O$78=0),0,IF(AND(O33="N/A",$G33&lt;&gt;""),0,$F33+SUMPRODUCT(($G$14:$G$71=$A33)*($E$14:$E$71=1)*(O$14:O$71="N/A")*$F$14:$F$71)))</f>
        <v/>
      </c>
      <c r="Q33" s="22">
        <f>IF(O33="SI",P33,0)</f>
        <v/>
      </c>
      <c r="R33" s="21" t="n"/>
      <c r="S33" s="22">
        <f>IF(OR($E33=0,R$78=0),0,IF(AND(R33="N/A",$G33&lt;&gt;""),0,$F33+SUMPRODUCT(($G$14:$G$71=$A33)*($E$14:$E$71=1)*(R$14:R$71="N/A")*$F$14:$F$71)))</f>
        <v/>
      </c>
      <c r="T33" s="22">
        <f>IF(R33="SI",S33,0)</f>
        <v/>
      </c>
      <c r="U33" s="21" t="n"/>
      <c r="V33" s="22">
        <f>IF(OR($E33=0,U$78=0),0,IF(AND(U33="N/A",$G33&lt;&gt;""),0,$F33+SUMPRODUCT(($G$14:$G$71=$A33)*($E$14:$E$71=1)*(U$14:U$71="N/A")*$F$14:$F$71)))</f>
        <v/>
      </c>
      <c r="W33" s="22">
        <f>IF(U33="SI",V33,0)</f>
        <v/>
      </c>
      <c r="X33" s="21" t="n"/>
      <c r="Y33" s="22">
        <f>IF(OR($E33=0,X$78=0),0,IF(AND(X33="N/A",$G33&lt;&gt;""),0,$F33+SUMPRODUCT(($G$14:$G$71=$A33)*($E$14:$E$71=1)*(X$14:X$71="N/A")*$F$14:$F$71)))</f>
        <v/>
      </c>
      <c r="Z33" s="22">
        <f>IF(X33="SI",Y33,0)</f>
        <v/>
      </c>
      <c r="AA33" s="22">
        <f>SUM(J33,M33,P33,S33,V33,Y33)</f>
        <v/>
      </c>
      <c r="AB33" s="22">
        <f>SUM(K33,N33,Q33,T33,W33,Z33)</f>
        <v/>
      </c>
      <c r="AC33" s="23">
        <f>IF(AA33=0,"",AB33/AA33)</f>
        <v/>
      </c>
      <c r="AD33" s="22">
        <f>CRITERIOS!Q21</f>
        <v/>
      </c>
      <c r="AE33" s="22">
        <f>IF(AND(E33=1,H33&lt;&gt;"X",((I33="N/A")+(L33="N/A")+(O33="N/A")+(R33="N/A")+(U33="N/A")+(X33="N/A"))&gt;0),"REVISAR","")</f>
        <v/>
      </c>
    </row>
    <row r="34">
      <c r="A34" s="22">
        <f>CRITERIOS!B22</f>
        <v/>
      </c>
      <c r="B34" s="22">
        <f>CRITERIOS!C22</f>
        <v/>
      </c>
      <c r="C34" s="8">
        <f>CRITERIOS!D22</f>
        <v/>
      </c>
      <c r="D34" s="22">
        <f>CRITERIOS!E22</f>
        <v/>
      </c>
      <c r="E34" s="22">
        <f>IFERROR(IF(AND(OR(CRITERIOS!F22="Todos",CRITERIOS!F22=$B$4),INDEX(CRITERIOS!H22:J22,MATCH($B$5,VARIABLES!$E$2:$E$4,0))=1),1,0),0)</f>
        <v/>
      </c>
      <c r="F34" s="22">
        <f>IFERROR(IF(E34=1,INDEX(CRITERIOS!K22:M22,MATCH($B$5,VARIABLES!$E$2:$E$4,0)),0),0)</f>
        <v/>
      </c>
      <c r="G34" s="22">
        <f>IF(CRITERIOS!N22="","",CRITERIOS!N22)</f>
        <v/>
      </c>
      <c r="H34" s="22">
        <f>IF(CRITERIOS!O22="","",CRITERIOS!O22)</f>
        <v/>
      </c>
      <c r="I34" s="21" t="n"/>
      <c r="J34" s="22">
        <f>IF(OR($E34=0,I$78=0),0,IF(AND(I34="N/A",$G34&lt;&gt;""),0,$F34+SUMPRODUCT(($G$14:$G$71=$A34)*($E$14:$E$71=1)*(I$14:I$71="N/A")*$F$14:$F$71)))</f>
        <v/>
      </c>
      <c r="K34" s="22">
        <f>IF(I34="SI",J34,0)</f>
        <v/>
      </c>
      <c r="L34" s="21" t="n"/>
      <c r="M34" s="22">
        <f>IF(OR($E34=0,L$78=0),0,IF(AND(L34="N/A",$G34&lt;&gt;""),0,$F34+SUMPRODUCT(($G$14:$G$71=$A34)*($E$14:$E$71=1)*(L$14:L$71="N/A")*$F$14:$F$71)))</f>
        <v/>
      </c>
      <c r="N34" s="22">
        <f>IF(L34="SI",M34,0)</f>
        <v/>
      </c>
      <c r="O34" s="21" t="n"/>
      <c r="P34" s="22">
        <f>IF(OR($E34=0,O$78=0),0,IF(AND(O34="N/A",$G34&lt;&gt;""),0,$F34+SUMPRODUCT(($G$14:$G$71=$A34)*($E$14:$E$71=1)*(O$14:O$71="N/A")*$F$14:$F$71)))</f>
        <v/>
      </c>
      <c r="Q34" s="22">
        <f>IF(O34="SI",P34,0)</f>
        <v/>
      </c>
      <c r="R34" s="21" t="n"/>
      <c r="S34" s="22">
        <f>IF(OR($E34=0,R$78=0),0,IF(AND(R34="N/A",$G34&lt;&gt;""),0,$F34+SUMPRODUCT(($G$14:$G$71=$A34)*($E$14:$E$71=1)*(R$14:R$71="N/A")*$F$14:$F$71)))</f>
        <v/>
      </c>
      <c r="T34" s="22">
        <f>IF(R34="SI",S34,0)</f>
        <v/>
      </c>
      <c r="U34" s="21" t="n"/>
      <c r="V34" s="22">
        <f>IF(OR($E34=0,U$78=0),0,IF(AND(U34="N/A",$G34&lt;&gt;""),0,$F34+SUMPRODUCT(($G$14:$G$71=$A34)*($E$14:$E$71=1)*(U$14:U$71="N/A")*$F$14:$F$71)))</f>
        <v/>
      </c>
      <c r="W34" s="22">
        <f>IF(U34="SI",V34,0)</f>
        <v/>
      </c>
      <c r="X34" s="21" t="n"/>
      <c r="Y34" s="22">
        <f>IF(OR($E34=0,X$78=0),0,IF(AND(X34="N/A",$G34&lt;&gt;""),0,$F34+SUMPRODUCT(($G$14:$G$71=$A34)*($E$14:$E$71=1)*(X$14:X$71="N/A")*$F$14:$F$71)))</f>
        <v/>
      </c>
      <c r="Z34" s="22">
        <f>IF(X34="SI",Y34,0)</f>
        <v/>
      </c>
      <c r="AA34" s="22">
        <f>SUM(J34,M34,P34,S34,V34,Y34)</f>
        <v/>
      </c>
      <c r="AB34" s="22">
        <f>SUM(K34,N34,Q34,T34,W34,Z34)</f>
        <v/>
      </c>
      <c r="AC34" s="23">
        <f>IF(AA34=0,"",AB34/AA34)</f>
        <v/>
      </c>
      <c r="AD34" s="22">
        <f>CRITERIOS!Q22</f>
        <v/>
      </c>
      <c r="AE34" s="22">
        <f>IF(AND(E34=1,H34&lt;&gt;"X",((I34="N/A")+(L34="N/A")+(O34="N/A")+(R34="N/A")+(U34="N/A")+(X34="N/A"))&gt;0),"REVISAR","")</f>
        <v/>
      </c>
    </row>
    <row r="35">
      <c r="A35" s="22">
        <f>CRITERIOS!B23</f>
        <v/>
      </c>
      <c r="B35" s="22">
        <f>CRITERIOS!C23</f>
        <v/>
      </c>
      <c r="C35" s="8">
        <f>CRITERIOS!D23</f>
        <v/>
      </c>
      <c r="D35" s="22">
        <f>CRITERIOS!E23</f>
        <v/>
      </c>
      <c r="E35" s="22">
        <f>IFERROR(IF(AND(OR(CRITERIOS!F23="Todos",CRITERIOS!F23=$B$4),INDEX(CRITERIOS!H23:J23,MATCH($B$5,VARIABLES!$E$2:$E$4,0))=1),1,0),0)</f>
        <v/>
      </c>
      <c r="F35" s="22">
        <f>IFERROR(IF(E35=1,INDEX(CRITERIOS!K23:M23,MATCH($B$5,VARIABLES!$E$2:$E$4,0)),0),0)</f>
        <v/>
      </c>
      <c r="G35" s="22">
        <f>IF(CRITERIOS!N23="","",CRITERIOS!N23)</f>
        <v/>
      </c>
      <c r="H35" s="22">
        <f>IF(CRITERIOS!O23="","",CRITERIOS!O23)</f>
        <v/>
      </c>
      <c r="I35" s="21" t="n"/>
      <c r="J35" s="22">
        <f>IF(OR($E35=0,I$78=0),0,IF(AND(I35="N/A",$G35&lt;&gt;""),0,$F35+SUMPRODUCT(($G$14:$G$71=$A35)*($E$14:$E$71=1)*(I$14:I$71="N/A")*$F$14:$F$71)))</f>
        <v/>
      </c>
      <c r="K35" s="22">
        <f>IF(I35="SI",J35,0)</f>
        <v/>
      </c>
      <c r="L35" s="21" t="n"/>
      <c r="M35" s="22">
        <f>IF(OR($E35=0,L$78=0),0,IF(AND(L35="N/A",$G35&lt;&gt;""),0,$F35+SUMPRODUCT(($G$14:$G$71=$A35)*($E$14:$E$71=1)*(L$14:L$71="N/A")*$F$14:$F$71)))</f>
        <v/>
      </c>
      <c r="N35" s="22">
        <f>IF(L35="SI",M35,0)</f>
        <v/>
      </c>
      <c r="O35" s="21" t="n"/>
      <c r="P35" s="22">
        <f>IF(OR($E35=0,O$78=0),0,IF(AND(O35="N/A",$G35&lt;&gt;""),0,$F35+SUMPRODUCT(($G$14:$G$71=$A35)*($E$14:$E$71=1)*(O$14:O$71="N/A")*$F$14:$F$71)))</f>
        <v/>
      </c>
      <c r="Q35" s="22">
        <f>IF(O35="SI",P35,0)</f>
        <v/>
      </c>
      <c r="R35" s="21" t="n"/>
      <c r="S35" s="22">
        <f>IF(OR($E35=0,R$78=0),0,IF(AND(R35="N/A",$G35&lt;&gt;""),0,$F35+SUMPRODUCT(($G$14:$G$71=$A35)*($E$14:$E$71=1)*(R$14:R$71="N/A")*$F$14:$F$71)))</f>
        <v/>
      </c>
      <c r="T35" s="22">
        <f>IF(R35="SI",S35,0)</f>
        <v/>
      </c>
      <c r="U35" s="21" t="n"/>
      <c r="V35" s="22">
        <f>IF(OR($E35=0,U$78=0),0,IF(AND(U35="N/A",$G35&lt;&gt;""),0,$F35+SUMPRODUCT(($G$14:$G$71=$A35)*($E$14:$E$71=1)*(U$14:U$71="N/A")*$F$14:$F$71)))</f>
        <v/>
      </c>
      <c r="W35" s="22">
        <f>IF(U35="SI",V35,0)</f>
        <v/>
      </c>
      <c r="X35" s="21" t="n"/>
      <c r="Y35" s="22">
        <f>IF(OR($E35=0,X$78=0),0,IF(AND(X35="N/A",$G35&lt;&gt;""),0,$F35+SUMPRODUCT(($G$14:$G$71=$A35)*($E$14:$E$71=1)*(X$14:X$71="N/A")*$F$14:$F$71)))</f>
        <v/>
      </c>
      <c r="Z35" s="22">
        <f>IF(X35="SI",Y35,0)</f>
        <v/>
      </c>
      <c r="AA35" s="22">
        <f>SUM(J35,M35,P35,S35,V35,Y35)</f>
        <v/>
      </c>
      <c r="AB35" s="22">
        <f>SUM(K35,N35,Q35,T35,W35,Z35)</f>
        <v/>
      </c>
      <c r="AC35" s="23">
        <f>IF(AA35=0,"",AB35/AA35)</f>
        <v/>
      </c>
      <c r="AD35" s="22">
        <f>CRITERIOS!Q23</f>
        <v/>
      </c>
      <c r="AE35" s="22">
        <f>IF(AND(E35=1,H35&lt;&gt;"X",((I35="N/A")+(L35="N/A")+(O35="N/A")+(R35="N/A")+(U35="N/A")+(X35="N/A"))&gt;0),"REVISAR","")</f>
        <v/>
      </c>
    </row>
    <row r="36">
      <c r="A36" s="22">
        <f>CRITERIOS!B24</f>
        <v/>
      </c>
      <c r="B36" s="22">
        <f>CRITERIOS!C24</f>
        <v/>
      </c>
      <c r="C36" s="8">
        <f>CRITERIOS!D24</f>
        <v/>
      </c>
      <c r="D36" s="22">
        <f>CRITERIOS!E24</f>
        <v/>
      </c>
      <c r="E36" s="22">
        <f>IFERROR(IF(AND(OR(CRITERIOS!F24="Todos",CRITERIOS!F24=$B$4),INDEX(CRITERIOS!H24:J24,MATCH($B$5,VARIABLES!$E$2:$E$4,0))=1),1,0),0)</f>
        <v/>
      </c>
      <c r="F36" s="22">
        <f>IFERROR(IF(E36=1,INDEX(CRITERIOS!K24:M24,MATCH($B$5,VARIABLES!$E$2:$E$4,0)),0),0)</f>
        <v/>
      </c>
      <c r="G36" s="22">
        <f>IF(CRITERIOS!N24="","",CRITERIOS!N24)</f>
        <v/>
      </c>
      <c r="H36" s="22">
        <f>IF(CRITERIOS!O24="","",CRITERIOS!O24)</f>
        <v/>
      </c>
      <c r="I36" s="21" t="n"/>
      <c r="J36" s="22">
        <f>IF(OR($E36=0,I$78=0),0,IF(AND(I36="N/A",$G36&lt;&gt;""),0,$F36+SUMPRODUCT(($G$14:$G$71=$A36)*($E$14:$E$71=1)*(I$14:I$71="N/A")*$F$14:$F$71)))</f>
        <v/>
      </c>
      <c r="K36" s="22">
        <f>IF(I36="SI",J36,0)</f>
        <v/>
      </c>
      <c r="L36" s="21" t="n"/>
      <c r="M36" s="22">
        <f>IF(OR($E36=0,L$78=0),0,IF(AND(L36="N/A",$G36&lt;&gt;""),0,$F36+SUMPRODUCT(($G$14:$G$71=$A36)*($E$14:$E$71=1)*(L$14:L$71="N/A")*$F$14:$F$71)))</f>
        <v/>
      </c>
      <c r="N36" s="22">
        <f>IF(L36="SI",M36,0)</f>
        <v/>
      </c>
      <c r="O36" s="21" t="n"/>
      <c r="P36" s="22">
        <f>IF(OR($E36=0,O$78=0),0,IF(AND(O36="N/A",$G36&lt;&gt;""),0,$F36+SUMPRODUCT(($G$14:$G$71=$A36)*($E$14:$E$71=1)*(O$14:O$71="N/A")*$F$14:$F$71)))</f>
        <v/>
      </c>
      <c r="Q36" s="22">
        <f>IF(O36="SI",P36,0)</f>
        <v/>
      </c>
      <c r="R36" s="21" t="n"/>
      <c r="S36" s="22">
        <f>IF(OR($E36=0,R$78=0),0,IF(AND(R36="N/A",$G36&lt;&gt;""),0,$F36+SUMPRODUCT(($G$14:$G$71=$A36)*($E$14:$E$71=1)*(R$14:R$71="N/A")*$F$14:$F$71)))</f>
        <v/>
      </c>
      <c r="T36" s="22">
        <f>IF(R36="SI",S36,0)</f>
        <v/>
      </c>
      <c r="U36" s="21" t="n"/>
      <c r="V36" s="22">
        <f>IF(OR($E36=0,U$78=0),0,IF(AND(U36="N/A",$G36&lt;&gt;""),0,$F36+SUMPRODUCT(($G$14:$G$71=$A36)*($E$14:$E$71=1)*(U$14:U$71="N/A")*$F$14:$F$71)))</f>
        <v/>
      </c>
      <c r="W36" s="22">
        <f>IF(U36="SI",V36,0)</f>
        <v/>
      </c>
      <c r="X36" s="21" t="n"/>
      <c r="Y36" s="22">
        <f>IF(OR($E36=0,X$78=0),0,IF(AND(X36="N/A",$G36&lt;&gt;""),0,$F36+SUMPRODUCT(($G$14:$G$71=$A36)*($E$14:$E$71=1)*(X$14:X$71="N/A")*$F$14:$F$71)))</f>
        <v/>
      </c>
      <c r="Z36" s="22">
        <f>IF(X36="SI",Y36,0)</f>
        <v/>
      </c>
      <c r="AA36" s="22">
        <f>SUM(J36,M36,P36,S36,V36,Y36)</f>
        <v/>
      </c>
      <c r="AB36" s="22">
        <f>SUM(K36,N36,Q36,T36,W36,Z36)</f>
        <v/>
      </c>
      <c r="AC36" s="23">
        <f>IF(AA36=0,"",AB36/AA36)</f>
        <v/>
      </c>
      <c r="AD36" s="22">
        <f>CRITERIOS!Q24</f>
        <v/>
      </c>
      <c r="AE36" s="22">
        <f>IF(AND(E36=1,H36&lt;&gt;"X",((I36="N/A")+(L36="N/A")+(O36="N/A")+(R36="N/A")+(U36="N/A")+(X36="N/A"))&gt;0),"REVISAR","")</f>
        <v/>
      </c>
    </row>
    <row r="37">
      <c r="A37" s="22">
        <f>CRITERIOS!B25</f>
        <v/>
      </c>
      <c r="B37" s="22">
        <f>CRITERIOS!C25</f>
        <v/>
      </c>
      <c r="C37" s="8">
        <f>CRITERIOS!D25</f>
        <v/>
      </c>
      <c r="D37" s="22">
        <f>CRITERIOS!E25</f>
        <v/>
      </c>
      <c r="E37" s="22">
        <f>IFERROR(IF(AND(OR(CRITERIOS!F25="Todos",CRITERIOS!F25=$B$4),INDEX(CRITERIOS!H25:J25,MATCH($B$5,VARIABLES!$E$2:$E$4,0))=1),1,0),0)</f>
        <v/>
      </c>
      <c r="F37" s="22">
        <f>IFERROR(IF(E37=1,INDEX(CRITERIOS!K25:M25,MATCH($B$5,VARIABLES!$E$2:$E$4,0)),0),0)</f>
        <v/>
      </c>
      <c r="G37" s="22">
        <f>IF(CRITERIOS!N25="","",CRITERIOS!N25)</f>
        <v/>
      </c>
      <c r="H37" s="22">
        <f>IF(CRITERIOS!O25="","",CRITERIOS!O25)</f>
        <v/>
      </c>
      <c r="I37" s="21" t="n"/>
      <c r="J37" s="22">
        <f>IF(OR($E37=0,I$78=0),0,IF(AND(I37="N/A",$G37&lt;&gt;""),0,$F37+SUMPRODUCT(($G$14:$G$71=$A37)*($E$14:$E$71=1)*(I$14:I$71="N/A")*$F$14:$F$71)))</f>
        <v/>
      </c>
      <c r="K37" s="22">
        <f>IF(I37="SI",J37,0)</f>
        <v/>
      </c>
      <c r="L37" s="21" t="n"/>
      <c r="M37" s="22">
        <f>IF(OR($E37=0,L$78=0),0,IF(AND(L37="N/A",$G37&lt;&gt;""),0,$F37+SUMPRODUCT(($G$14:$G$71=$A37)*($E$14:$E$71=1)*(L$14:L$71="N/A")*$F$14:$F$71)))</f>
        <v/>
      </c>
      <c r="N37" s="22">
        <f>IF(L37="SI",M37,0)</f>
        <v/>
      </c>
      <c r="O37" s="21" t="n"/>
      <c r="P37" s="22">
        <f>IF(OR($E37=0,O$78=0),0,IF(AND(O37="N/A",$G37&lt;&gt;""),0,$F37+SUMPRODUCT(($G$14:$G$71=$A37)*($E$14:$E$71=1)*(O$14:O$71="N/A")*$F$14:$F$71)))</f>
        <v/>
      </c>
      <c r="Q37" s="22">
        <f>IF(O37="SI",P37,0)</f>
        <v/>
      </c>
      <c r="R37" s="21" t="n"/>
      <c r="S37" s="22">
        <f>IF(OR($E37=0,R$78=0),0,IF(AND(R37="N/A",$G37&lt;&gt;""),0,$F37+SUMPRODUCT(($G$14:$G$71=$A37)*($E$14:$E$71=1)*(R$14:R$71="N/A")*$F$14:$F$71)))</f>
        <v/>
      </c>
      <c r="T37" s="22">
        <f>IF(R37="SI",S37,0)</f>
        <v/>
      </c>
      <c r="U37" s="21" t="n"/>
      <c r="V37" s="22">
        <f>IF(OR($E37=0,U$78=0),0,IF(AND(U37="N/A",$G37&lt;&gt;""),0,$F37+SUMPRODUCT(($G$14:$G$71=$A37)*($E$14:$E$71=1)*(U$14:U$71="N/A")*$F$14:$F$71)))</f>
        <v/>
      </c>
      <c r="W37" s="22">
        <f>IF(U37="SI",V37,0)</f>
        <v/>
      </c>
      <c r="X37" s="21" t="n"/>
      <c r="Y37" s="22">
        <f>IF(OR($E37=0,X$78=0),0,IF(AND(X37="N/A",$G37&lt;&gt;""),0,$F37+SUMPRODUCT(($G$14:$G$71=$A37)*($E$14:$E$71=1)*(X$14:X$71="N/A")*$F$14:$F$71)))</f>
        <v/>
      </c>
      <c r="Z37" s="22">
        <f>IF(X37="SI",Y37,0)</f>
        <v/>
      </c>
      <c r="AA37" s="22">
        <f>SUM(J37,M37,P37,S37,V37,Y37)</f>
        <v/>
      </c>
      <c r="AB37" s="22">
        <f>SUM(K37,N37,Q37,T37,W37,Z37)</f>
        <v/>
      </c>
      <c r="AC37" s="23">
        <f>IF(AA37=0,"",AB37/AA37)</f>
        <v/>
      </c>
      <c r="AD37" s="22">
        <f>CRITERIOS!Q25</f>
        <v/>
      </c>
      <c r="AE37" s="22">
        <f>IF(AND(E37=1,H37&lt;&gt;"X",((I37="N/A")+(L37="N/A")+(O37="N/A")+(R37="N/A")+(U37="N/A")+(X37="N/A"))&gt;0),"REVISAR","")</f>
        <v/>
      </c>
    </row>
    <row r="38">
      <c r="A38" s="22">
        <f>CRITERIOS!B26</f>
        <v/>
      </c>
      <c r="B38" s="22">
        <f>CRITERIOS!C26</f>
        <v/>
      </c>
      <c r="C38" s="8">
        <f>CRITERIOS!D26</f>
        <v/>
      </c>
      <c r="D38" s="22">
        <f>CRITERIOS!E26</f>
        <v/>
      </c>
      <c r="E38" s="22">
        <f>IFERROR(IF(AND(OR(CRITERIOS!F26="Todos",CRITERIOS!F26=$B$4),INDEX(CRITERIOS!H26:J26,MATCH($B$5,VARIABLES!$E$2:$E$4,0))=1),1,0),0)</f>
        <v/>
      </c>
      <c r="F38" s="22">
        <f>IFERROR(IF(E38=1,INDEX(CRITERIOS!K26:M26,MATCH($B$5,VARIABLES!$E$2:$E$4,0)),0),0)</f>
        <v/>
      </c>
      <c r="G38" s="22">
        <f>IF(CRITERIOS!N26="","",CRITERIOS!N26)</f>
        <v/>
      </c>
      <c r="H38" s="22">
        <f>IF(CRITERIOS!O26="","",CRITERIOS!O26)</f>
        <v/>
      </c>
      <c r="I38" s="21" t="n"/>
      <c r="J38" s="22">
        <f>IF(OR($E38=0,I$78=0),0,IF(AND(I38="N/A",$G38&lt;&gt;""),0,$F38+SUMPRODUCT(($G$14:$G$71=$A38)*($E$14:$E$71=1)*(I$14:I$71="N/A")*$F$14:$F$71)))</f>
        <v/>
      </c>
      <c r="K38" s="22">
        <f>IF(I38="SI",J38,0)</f>
        <v/>
      </c>
      <c r="L38" s="21" t="n"/>
      <c r="M38" s="22">
        <f>IF(OR($E38=0,L$78=0),0,IF(AND(L38="N/A",$G38&lt;&gt;""),0,$F38+SUMPRODUCT(($G$14:$G$71=$A38)*($E$14:$E$71=1)*(L$14:L$71="N/A")*$F$14:$F$71)))</f>
        <v/>
      </c>
      <c r="N38" s="22">
        <f>IF(L38="SI",M38,0)</f>
        <v/>
      </c>
      <c r="O38" s="21" t="n"/>
      <c r="P38" s="22">
        <f>IF(OR($E38=0,O$78=0),0,IF(AND(O38="N/A",$G38&lt;&gt;""),0,$F38+SUMPRODUCT(($G$14:$G$71=$A38)*($E$14:$E$71=1)*(O$14:O$71="N/A")*$F$14:$F$71)))</f>
        <v/>
      </c>
      <c r="Q38" s="22">
        <f>IF(O38="SI",P38,0)</f>
        <v/>
      </c>
      <c r="R38" s="21" t="n"/>
      <c r="S38" s="22">
        <f>IF(OR($E38=0,R$78=0),0,IF(AND(R38="N/A",$G38&lt;&gt;""),0,$F38+SUMPRODUCT(($G$14:$G$71=$A38)*($E$14:$E$71=1)*(R$14:R$71="N/A")*$F$14:$F$71)))</f>
        <v/>
      </c>
      <c r="T38" s="22">
        <f>IF(R38="SI",S38,0)</f>
        <v/>
      </c>
      <c r="U38" s="21" t="n"/>
      <c r="V38" s="22">
        <f>IF(OR($E38=0,U$78=0),0,IF(AND(U38="N/A",$G38&lt;&gt;""),0,$F38+SUMPRODUCT(($G$14:$G$71=$A38)*($E$14:$E$71=1)*(U$14:U$71="N/A")*$F$14:$F$71)))</f>
        <v/>
      </c>
      <c r="W38" s="22">
        <f>IF(U38="SI",V38,0)</f>
        <v/>
      </c>
      <c r="X38" s="21" t="n"/>
      <c r="Y38" s="22">
        <f>IF(OR($E38=0,X$78=0),0,IF(AND(X38="N/A",$G38&lt;&gt;""),0,$F38+SUMPRODUCT(($G$14:$G$71=$A38)*($E$14:$E$71=1)*(X$14:X$71="N/A")*$F$14:$F$71)))</f>
        <v/>
      </c>
      <c r="Z38" s="22">
        <f>IF(X38="SI",Y38,0)</f>
        <v/>
      </c>
      <c r="AA38" s="22">
        <f>SUM(J38,M38,P38,S38,V38,Y38)</f>
        <v/>
      </c>
      <c r="AB38" s="22">
        <f>SUM(K38,N38,Q38,T38,W38,Z38)</f>
        <v/>
      </c>
      <c r="AC38" s="23">
        <f>IF(AA38=0,"",AB38/AA38)</f>
        <v/>
      </c>
      <c r="AD38" s="22">
        <f>CRITERIOS!Q26</f>
        <v/>
      </c>
      <c r="AE38" s="22">
        <f>IF(AND(E38=1,H38&lt;&gt;"X",((I38="N/A")+(L38="N/A")+(O38="N/A")+(R38="N/A")+(U38="N/A")+(X38="N/A"))&gt;0),"REVISAR","")</f>
        <v/>
      </c>
    </row>
    <row r="39">
      <c r="A39" s="22">
        <f>CRITERIOS!B27</f>
        <v/>
      </c>
      <c r="B39" s="22">
        <f>CRITERIOS!C27</f>
        <v/>
      </c>
      <c r="C39" s="8">
        <f>CRITERIOS!D27</f>
        <v/>
      </c>
      <c r="D39" s="22">
        <f>CRITERIOS!E27</f>
        <v/>
      </c>
      <c r="E39" s="22">
        <f>IFERROR(IF(AND(OR(CRITERIOS!F27="Todos",CRITERIOS!F27=$B$4),INDEX(CRITERIOS!H27:J27,MATCH($B$5,VARIABLES!$E$2:$E$4,0))=1),1,0),0)</f>
        <v/>
      </c>
      <c r="F39" s="22">
        <f>IFERROR(IF(E39=1,INDEX(CRITERIOS!K27:M27,MATCH($B$5,VARIABLES!$E$2:$E$4,0)),0),0)</f>
        <v/>
      </c>
      <c r="G39" s="22">
        <f>IF(CRITERIOS!N27="","",CRITERIOS!N27)</f>
        <v/>
      </c>
      <c r="H39" s="22">
        <f>IF(CRITERIOS!O27="","",CRITERIOS!O27)</f>
        <v/>
      </c>
      <c r="I39" s="21" t="n"/>
      <c r="J39" s="22">
        <f>IF(OR($E39=0,I$78=0),0,IF(AND(I39="N/A",$G39&lt;&gt;""),0,$F39+SUMPRODUCT(($G$14:$G$71=$A39)*($E$14:$E$71=1)*(I$14:I$71="N/A")*$F$14:$F$71)))</f>
        <v/>
      </c>
      <c r="K39" s="22">
        <f>IF(I39="SI",J39,0)</f>
        <v/>
      </c>
      <c r="L39" s="21" t="n"/>
      <c r="M39" s="22">
        <f>IF(OR($E39=0,L$78=0),0,IF(AND(L39="N/A",$G39&lt;&gt;""),0,$F39+SUMPRODUCT(($G$14:$G$71=$A39)*($E$14:$E$71=1)*(L$14:L$71="N/A")*$F$14:$F$71)))</f>
        <v/>
      </c>
      <c r="N39" s="22">
        <f>IF(L39="SI",M39,0)</f>
        <v/>
      </c>
      <c r="O39" s="21" t="n"/>
      <c r="P39" s="22">
        <f>IF(OR($E39=0,O$78=0),0,IF(AND(O39="N/A",$G39&lt;&gt;""),0,$F39+SUMPRODUCT(($G$14:$G$71=$A39)*($E$14:$E$71=1)*(O$14:O$71="N/A")*$F$14:$F$71)))</f>
        <v/>
      </c>
      <c r="Q39" s="22">
        <f>IF(O39="SI",P39,0)</f>
        <v/>
      </c>
      <c r="R39" s="21" t="n"/>
      <c r="S39" s="22">
        <f>IF(OR($E39=0,R$78=0),0,IF(AND(R39="N/A",$G39&lt;&gt;""),0,$F39+SUMPRODUCT(($G$14:$G$71=$A39)*($E$14:$E$71=1)*(R$14:R$71="N/A")*$F$14:$F$71)))</f>
        <v/>
      </c>
      <c r="T39" s="22">
        <f>IF(R39="SI",S39,0)</f>
        <v/>
      </c>
      <c r="U39" s="21" t="n"/>
      <c r="V39" s="22">
        <f>IF(OR($E39=0,U$78=0),0,IF(AND(U39="N/A",$G39&lt;&gt;""),0,$F39+SUMPRODUCT(($G$14:$G$71=$A39)*($E$14:$E$71=1)*(U$14:U$71="N/A")*$F$14:$F$71)))</f>
        <v/>
      </c>
      <c r="W39" s="22">
        <f>IF(U39="SI",V39,0)</f>
        <v/>
      </c>
      <c r="X39" s="21" t="n"/>
      <c r="Y39" s="22">
        <f>IF(OR($E39=0,X$78=0),0,IF(AND(X39="N/A",$G39&lt;&gt;""),0,$F39+SUMPRODUCT(($G$14:$G$71=$A39)*($E$14:$E$71=1)*(X$14:X$71="N/A")*$F$14:$F$71)))</f>
        <v/>
      </c>
      <c r="Z39" s="22">
        <f>IF(X39="SI",Y39,0)</f>
        <v/>
      </c>
      <c r="AA39" s="22">
        <f>SUM(J39,M39,P39,S39,V39,Y39)</f>
        <v/>
      </c>
      <c r="AB39" s="22">
        <f>SUM(K39,N39,Q39,T39,W39,Z39)</f>
        <v/>
      </c>
      <c r="AC39" s="23">
        <f>IF(AA39=0,"",AB39/AA39)</f>
        <v/>
      </c>
      <c r="AD39" s="22">
        <f>CRITERIOS!Q27</f>
        <v/>
      </c>
      <c r="AE39" s="22">
        <f>IF(AND(E39=1,H39&lt;&gt;"X",((I39="N/A")+(L39="N/A")+(O39="N/A")+(R39="N/A")+(U39="N/A")+(X39="N/A"))&gt;0),"REVISAR","")</f>
        <v/>
      </c>
    </row>
    <row r="40">
      <c r="A40" s="22">
        <f>CRITERIOS!B28</f>
        <v/>
      </c>
      <c r="B40" s="22">
        <f>CRITERIOS!C28</f>
        <v/>
      </c>
      <c r="C40" s="8">
        <f>CRITERIOS!D28</f>
        <v/>
      </c>
      <c r="D40" s="22">
        <f>CRITERIOS!E28</f>
        <v/>
      </c>
      <c r="E40" s="22">
        <f>IFERROR(IF(AND(OR(CRITERIOS!F28="Todos",CRITERIOS!F28=$B$4),INDEX(CRITERIOS!H28:J28,MATCH($B$5,VARIABLES!$E$2:$E$4,0))=1),1,0),0)</f>
        <v/>
      </c>
      <c r="F40" s="22">
        <f>IFERROR(IF(E40=1,INDEX(CRITERIOS!K28:M28,MATCH($B$5,VARIABLES!$E$2:$E$4,0)),0),0)</f>
        <v/>
      </c>
      <c r="G40" s="22">
        <f>IF(CRITERIOS!N28="","",CRITERIOS!N28)</f>
        <v/>
      </c>
      <c r="H40" s="22">
        <f>IF(CRITERIOS!O28="","",CRITERIOS!O28)</f>
        <v/>
      </c>
      <c r="I40" s="21" t="n"/>
      <c r="J40" s="22">
        <f>IF(OR($E40=0,I$78=0),0,IF(AND(I40="N/A",$G40&lt;&gt;""),0,$F40+SUMPRODUCT(($G$14:$G$71=$A40)*($E$14:$E$71=1)*(I$14:I$71="N/A")*$F$14:$F$71)))</f>
        <v/>
      </c>
      <c r="K40" s="22">
        <f>IF(I40="SI",J40,0)</f>
        <v/>
      </c>
      <c r="L40" s="21" t="n"/>
      <c r="M40" s="22">
        <f>IF(OR($E40=0,L$78=0),0,IF(AND(L40="N/A",$G40&lt;&gt;""),0,$F40+SUMPRODUCT(($G$14:$G$71=$A40)*($E$14:$E$71=1)*(L$14:L$71="N/A")*$F$14:$F$71)))</f>
        <v/>
      </c>
      <c r="N40" s="22">
        <f>IF(L40="SI",M40,0)</f>
        <v/>
      </c>
      <c r="O40" s="21" t="n"/>
      <c r="P40" s="22">
        <f>IF(OR($E40=0,O$78=0),0,IF(AND(O40="N/A",$G40&lt;&gt;""),0,$F40+SUMPRODUCT(($G$14:$G$71=$A40)*($E$14:$E$71=1)*(O$14:O$71="N/A")*$F$14:$F$71)))</f>
        <v/>
      </c>
      <c r="Q40" s="22">
        <f>IF(O40="SI",P40,0)</f>
        <v/>
      </c>
      <c r="R40" s="21" t="n"/>
      <c r="S40" s="22">
        <f>IF(OR($E40=0,R$78=0),0,IF(AND(R40="N/A",$G40&lt;&gt;""),0,$F40+SUMPRODUCT(($G$14:$G$71=$A40)*($E$14:$E$71=1)*(R$14:R$71="N/A")*$F$14:$F$71)))</f>
        <v/>
      </c>
      <c r="T40" s="22">
        <f>IF(R40="SI",S40,0)</f>
        <v/>
      </c>
      <c r="U40" s="21" t="n"/>
      <c r="V40" s="22">
        <f>IF(OR($E40=0,U$78=0),0,IF(AND(U40="N/A",$G40&lt;&gt;""),0,$F40+SUMPRODUCT(($G$14:$G$71=$A40)*($E$14:$E$71=1)*(U$14:U$71="N/A")*$F$14:$F$71)))</f>
        <v/>
      </c>
      <c r="W40" s="22">
        <f>IF(U40="SI",V40,0)</f>
        <v/>
      </c>
      <c r="X40" s="21" t="n"/>
      <c r="Y40" s="22">
        <f>IF(OR($E40=0,X$78=0),0,IF(AND(X40="N/A",$G40&lt;&gt;""),0,$F40+SUMPRODUCT(($G$14:$G$71=$A40)*($E$14:$E$71=1)*(X$14:X$71="N/A")*$F$14:$F$71)))</f>
        <v/>
      </c>
      <c r="Z40" s="22">
        <f>IF(X40="SI",Y40,0)</f>
        <v/>
      </c>
      <c r="AA40" s="22">
        <f>SUM(J40,M40,P40,S40,V40,Y40)</f>
        <v/>
      </c>
      <c r="AB40" s="22">
        <f>SUM(K40,N40,Q40,T40,W40,Z40)</f>
        <v/>
      </c>
      <c r="AC40" s="23">
        <f>IF(AA40=0,"",AB40/AA40)</f>
        <v/>
      </c>
      <c r="AD40" s="22">
        <f>CRITERIOS!Q28</f>
        <v/>
      </c>
      <c r="AE40" s="22">
        <f>IF(AND(E40=1,H40&lt;&gt;"X",((I40="N/A")+(L40="N/A")+(O40="N/A")+(R40="N/A")+(U40="N/A")+(X40="N/A"))&gt;0),"REVISAR","")</f>
        <v/>
      </c>
    </row>
    <row r="41">
      <c r="A41" s="22">
        <f>CRITERIOS!B29</f>
        <v/>
      </c>
      <c r="B41" s="22">
        <f>CRITERIOS!C29</f>
        <v/>
      </c>
      <c r="C41" s="8">
        <f>CRITERIOS!D29</f>
        <v/>
      </c>
      <c r="D41" s="22">
        <f>CRITERIOS!E29</f>
        <v/>
      </c>
      <c r="E41" s="22">
        <f>IFERROR(IF(AND(OR(CRITERIOS!F29="Todos",CRITERIOS!F29=$B$4),INDEX(CRITERIOS!H29:J29,MATCH($B$5,VARIABLES!$E$2:$E$4,0))=1),1,0),0)</f>
        <v/>
      </c>
      <c r="F41" s="22">
        <f>IFERROR(IF(E41=1,INDEX(CRITERIOS!K29:M29,MATCH($B$5,VARIABLES!$E$2:$E$4,0)),0),0)</f>
        <v/>
      </c>
      <c r="G41" s="22">
        <f>IF(CRITERIOS!N29="","",CRITERIOS!N29)</f>
        <v/>
      </c>
      <c r="H41" s="22">
        <f>IF(CRITERIOS!O29="","",CRITERIOS!O29)</f>
        <v/>
      </c>
      <c r="I41" s="21" t="n"/>
      <c r="J41" s="22">
        <f>IF(OR($E41=0,I$78=0),0,IF(AND(I41="N/A",$G41&lt;&gt;""),0,$F41+SUMPRODUCT(($G$14:$G$71=$A41)*($E$14:$E$71=1)*(I$14:I$71="N/A")*$F$14:$F$71)))</f>
        <v/>
      </c>
      <c r="K41" s="22">
        <f>IF(I41="SI",J41,0)</f>
        <v/>
      </c>
      <c r="L41" s="21" t="n"/>
      <c r="M41" s="22">
        <f>IF(OR($E41=0,L$78=0),0,IF(AND(L41="N/A",$G41&lt;&gt;""),0,$F41+SUMPRODUCT(($G$14:$G$71=$A41)*($E$14:$E$71=1)*(L$14:L$71="N/A")*$F$14:$F$71)))</f>
        <v/>
      </c>
      <c r="N41" s="22">
        <f>IF(L41="SI",M41,0)</f>
        <v/>
      </c>
      <c r="O41" s="21" t="n"/>
      <c r="P41" s="22">
        <f>IF(OR($E41=0,O$78=0),0,IF(AND(O41="N/A",$G41&lt;&gt;""),0,$F41+SUMPRODUCT(($G$14:$G$71=$A41)*($E$14:$E$71=1)*(O$14:O$71="N/A")*$F$14:$F$71)))</f>
        <v/>
      </c>
      <c r="Q41" s="22">
        <f>IF(O41="SI",P41,0)</f>
        <v/>
      </c>
      <c r="R41" s="21" t="n"/>
      <c r="S41" s="22">
        <f>IF(OR($E41=0,R$78=0),0,IF(AND(R41="N/A",$G41&lt;&gt;""),0,$F41+SUMPRODUCT(($G$14:$G$71=$A41)*($E$14:$E$71=1)*(R$14:R$71="N/A")*$F$14:$F$71)))</f>
        <v/>
      </c>
      <c r="T41" s="22">
        <f>IF(R41="SI",S41,0)</f>
        <v/>
      </c>
      <c r="U41" s="21" t="n"/>
      <c r="V41" s="22">
        <f>IF(OR($E41=0,U$78=0),0,IF(AND(U41="N/A",$G41&lt;&gt;""),0,$F41+SUMPRODUCT(($G$14:$G$71=$A41)*($E$14:$E$71=1)*(U$14:U$71="N/A")*$F$14:$F$71)))</f>
        <v/>
      </c>
      <c r="W41" s="22">
        <f>IF(U41="SI",V41,0)</f>
        <v/>
      </c>
      <c r="X41" s="21" t="n"/>
      <c r="Y41" s="22">
        <f>IF(OR($E41=0,X$78=0),0,IF(AND(X41="N/A",$G41&lt;&gt;""),0,$F41+SUMPRODUCT(($G$14:$G$71=$A41)*($E$14:$E$71=1)*(X$14:X$71="N/A")*$F$14:$F$71)))</f>
        <v/>
      </c>
      <c r="Z41" s="22">
        <f>IF(X41="SI",Y41,0)</f>
        <v/>
      </c>
      <c r="AA41" s="22">
        <f>SUM(J41,M41,P41,S41,V41,Y41)</f>
        <v/>
      </c>
      <c r="AB41" s="22">
        <f>SUM(K41,N41,Q41,T41,W41,Z41)</f>
        <v/>
      </c>
      <c r="AC41" s="23">
        <f>IF(AA41=0,"",AB41/AA41)</f>
        <v/>
      </c>
      <c r="AD41" s="22">
        <f>CRITERIOS!Q29</f>
        <v/>
      </c>
      <c r="AE41" s="22">
        <f>IF(AND(E41=1,H41&lt;&gt;"X",((I41="N/A")+(L41="N/A")+(O41="N/A")+(R41="N/A")+(U41="N/A")+(X41="N/A"))&gt;0),"REVISAR","")</f>
        <v/>
      </c>
    </row>
    <row r="42">
      <c r="A42" s="24">
        <f>CRITERIOS!B30</f>
        <v/>
      </c>
      <c r="B42" s="24">
        <f>CRITERIOS!C30</f>
        <v/>
      </c>
      <c r="C42" s="25">
        <f>CRITERIOS!D30</f>
        <v/>
      </c>
      <c r="D42" s="24">
        <f>CRITERIOS!E30</f>
        <v/>
      </c>
      <c r="E42" s="24">
        <f>IFERROR(IF(AND(OR(CRITERIOS!F30="Todos",CRITERIOS!F30=$B$4),INDEX(CRITERIOS!H30:J30,MATCH($B$5,VARIABLES!$E$2:$E$4,0))=1),1,0),0)</f>
        <v/>
      </c>
      <c r="F42" s="24">
        <f>IFERROR(IF(E42=1,INDEX(CRITERIOS!K30:M30,MATCH($B$5,VARIABLES!$E$2:$E$4,0)),0),0)</f>
        <v/>
      </c>
      <c r="G42" s="24">
        <f>IF(CRITERIOS!N30="","",CRITERIOS!N30)</f>
        <v/>
      </c>
      <c r="H42" s="24">
        <f>IF(CRITERIOS!O30="","",CRITERIOS!O30)</f>
        <v/>
      </c>
      <c r="I42" s="21" t="n"/>
      <c r="J42" s="22">
        <f>IF(OR($E42=0,I$78=0),0,IF(AND(I42="N/A",$G42&lt;&gt;""),0,$F42+SUMPRODUCT(($G$14:$G$71=$A42)*($E$14:$E$71=1)*(I$14:I$71="N/A")*$F$14:$F$71)))</f>
        <v/>
      </c>
      <c r="K42" s="22">
        <f>IF(I42="SI",J42,0)</f>
        <v/>
      </c>
      <c r="L42" s="21" t="n"/>
      <c r="M42" s="22">
        <f>IF(OR($E42=0,L$78=0),0,IF(AND(L42="N/A",$G42&lt;&gt;""),0,$F42+SUMPRODUCT(($G$14:$G$71=$A42)*($E$14:$E$71=1)*(L$14:L$71="N/A")*$F$14:$F$71)))</f>
        <v/>
      </c>
      <c r="N42" s="22">
        <f>IF(L42="SI",M42,0)</f>
        <v/>
      </c>
      <c r="O42" s="21" t="n"/>
      <c r="P42" s="22">
        <f>IF(OR($E42=0,O$78=0),0,IF(AND(O42="N/A",$G42&lt;&gt;""),0,$F42+SUMPRODUCT(($G$14:$G$71=$A42)*($E$14:$E$71=1)*(O$14:O$71="N/A")*$F$14:$F$71)))</f>
        <v/>
      </c>
      <c r="Q42" s="22">
        <f>IF(O42="SI",P42,0)</f>
        <v/>
      </c>
      <c r="R42" s="21" t="n"/>
      <c r="S42" s="22">
        <f>IF(OR($E42=0,R$78=0),0,IF(AND(R42="N/A",$G42&lt;&gt;""),0,$F42+SUMPRODUCT(($G$14:$G$71=$A42)*($E$14:$E$71=1)*(R$14:R$71="N/A")*$F$14:$F$71)))</f>
        <v/>
      </c>
      <c r="T42" s="22">
        <f>IF(R42="SI",S42,0)</f>
        <v/>
      </c>
      <c r="U42" s="21" t="n"/>
      <c r="V42" s="22">
        <f>IF(OR($E42=0,U$78=0),0,IF(AND(U42="N/A",$G42&lt;&gt;""),0,$F42+SUMPRODUCT(($G$14:$G$71=$A42)*($E$14:$E$71=1)*(U$14:U$71="N/A")*$F$14:$F$71)))</f>
        <v/>
      </c>
      <c r="W42" s="22">
        <f>IF(U42="SI",V42,0)</f>
        <v/>
      </c>
      <c r="X42" s="21" t="n"/>
      <c r="Y42" s="22">
        <f>IF(OR($E42=0,X$78=0),0,IF(AND(X42="N/A",$G42&lt;&gt;""),0,$F42+SUMPRODUCT(($G$14:$G$71=$A42)*($E$14:$E$71=1)*(X$14:X$71="N/A")*$F$14:$F$71)))</f>
        <v/>
      </c>
      <c r="Z42" s="22">
        <f>IF(X42="SI",Y42,0)</f>
        <v/>
      </c>
      <c r="AA42" s="22">
        <f>SUM(J42,M42,P42,S42,V42,Y42)</f>
        <v/>
      </c>
      <c r="AB42" s="22">
        <f>SUM(K42,N42,Q42,T42,W42,Z42)</f>
        <v/>
      </c>
      <c r="AC42" s="23">
        <f>IF(AA42=0,"",AB42/AA42)</f>
        <v/>
      </c>
      <c r="AD42" s="22">
        <f>CRITERIOS!Q30</f>
        <v/>
      </c>
      <c r="AE42" s="22">
        <f>IF(AND(E42=1,H42&lt;&gt;"X",((I42="N/A")+(L42="N/A")+(O42="N/A")+(R42="N/A")+(U42="N/A")+(X42="N/A"))&gt;0),"REVISAR","")</f>
        <v/>
      </c>
    </row>
    <row r="43">
      <c r="A43" s="22">
        <f>CRITERIOS!B31</f>
        <v/>
      </c>
      <c r="B43" s="22">
        <f>CRITERIOS!C31</f>
        <v/>
      </c>
      <c r="C43" s="8">
        <f>CRITERIOS!D31</f>
        <v/>
      </c>
      <c r="D43" s="22">
        <f>CRITERIOS!E31</f>
        <v/>
      </c>
      <c r="E43" s="22">
        <f>IFERROR(IF(AND(OR(CRITERIOS!F31="Todos",CRITERIOS!F31=$B$4),INDEX(CRITERIOS!H31:J31,MATCH($B$5,VARIABLES!$E$2:$E$4,0))=1),1,0),0)</f>
        <v/>
      </c>
      <c r="F43" s="22">
        <f>IFERROR(IF(E43=1,INDEX(CRITERIOS!K31:M31,MATCH($B$5,VARIABLES!$E$2:$E$4,0)),0),0)</f>
        <v/>
      </c>
      <c r="G43" s="22">
        <f>IF(CRITERIOS!N31="","",CRITERIOS!N31)</f>
        <v/>
      </c>
      <c r="H43" s="22">
        <f>IF(CRITERIOS!O31="","",CRITERIOS!O31)</f>
        <v/>
      </c>
      <c r="I43" s="21" t="n"/>
      <c r="J43" s="22">
        <f>IF(OR($E43=0,I$78=0),0,IF(AND(I43="N/A",$G43&lt;&gt;""),0,$F43+SUMPRODUCT(($G$14:$G$71=$A43)*($E$14:$E$71=1)*(I$14:I$71="N/A")*$F$14:$F$71)))</f>
        <v/>
      </c>
      <c r="K43" s="22">
        <f>IF(I43="SI",J43,0)</f>
        <v/>
      </c>
      <c r="L43" s="21" t="n"/>
      <c r="M43" s="22">
        <f>IF(OR($E43=0,L$78=0),0,IF(AND(L43="N/A",$G43&lt;&gt;""),0,$F43+SUMPRODUCT(($G$14:$G$71=$A43)*($E$14:$E$71=1)*(L$14:L$71="N/A")*$F$14:$F$71)))</f>
        <v/>
      </c>
      <c r="N43" s="22">
        <f>IF(L43="SI",M43,0)</f>
        <v/>
      </c>
      <c r="O43" s="21" t="n"/>
      <c r="P43" s="22">
        <f>IF(OR($E43=0,O$78=0),0,IF(AND(O43="N/A",$G43&lt;&gt;""),0,$F43+SUMPRODUCT(($G$14:$G$71=$A43)*($E$14:$E$71=1)*(O$14:O$71="N/A")*$F$14:$F$71)))</f>
        <v/>
      </c>
      <c r="Q43" s="22">
        <f>IF(O43="SI",P43,0)</f>
        <v/>
      </c>
      <c r="R43" s="21" t="n"/>
      <c r="S43" s="22">
        <f>IF(OR($E43=0,R$78=0),0,IF(AND(R43="N/A",$G43&lt;&gt;""),0,$F43+SUMPRODUCT(($G$14:$G$71=$A43)*($E$14:$E$71=1)*(R$14:R$71="N/A")*$F$14:$F$71)))</f>
        <v/>
      </c>
      <c r="T43" s="22">
        <f>IF(R43="SI",S43,0)</f>
        <v/>
      </c>
      <c r="U43" s="21" t="n"/>
      <c r="V43" s="22">
        <f>IF(OR($E43=0,U$78=0),0,IF(AND(U43="N/A",$G43&lt;&gt;""),0,$F43+SUMPRODUCT(($G$14:$G$71=$A43)*($E$14:$E$71=1)*(U$14:U$71="N/A")*$F$14:$F$71)))</f>
        <v/>
      </c>
      <c r="W43" s="22">
        <f>IF(U43="SI",V43,0)</f>
        <v/>
      </c>
      <c r="X43" s="21" t="n"/>
      <c r="Y43" s="22">
        <f>IF(OR($E43=0,X$78=0),0,IF(AND(X43="N/A",$G43&lt;&gt;""),0,$F43+SUMPRODUCT(($G$14:$G$71=$A43)*($E$14:$E$71=1)*(X$14:X$71="N/A")*$F$14:$F$71)))</f>
        <v/>
      </c>
      <c r="Z43" s="22">
        <f>IF(X43="SI",Y43,0)</f>
        <v/>
      </c>
      <c r="AA43" s="22">
        <f>SUM(J43,M43,P43,S43,V43,Y43)</f>
        <v/>
      </c>
      <c r="AB43" s="22">
        <f>SUM(K43,N43,Q43,T43,W43,Z43)</f>
        <v/>
      </c>
      <c r="AC43" s="23">
        <f>IF(AA43=0,"",AB43/AA43)</f>
        <v/>
      </c>
      <c r="AD43" s="22">
        <f>CRITERIOS!Q31</f>
        <v/>
      </c>
      <c r="AE43" s="22">
        <f>IF(AND(E43=1,H43&lt;&gt;"X",((I43="N/A")+(L43="N/A")+(O43="N/A")+(R43="N/A")+(U43="N/A")+(X43="N/A"))&gt;0),"REVISAR","")</f>
        <v/>
      </c>
    </row>
    <row r="44">
      <c r="A44" s="24">
        <f>CRITERIOS!B32</f>
        <v/>
      </c>
      <c r="B44" s="24">
        <f>CRITERIOS!C32</f>
        <v/>
      </c>
      <c r="C44" s="25">
        <f>CRITERIOS!D32</f>
        <v/>
      </c>
      <c r="D44" s="24">
        <f>CRITERIOS!E32</f>
        <v/>
      </c>
      <c r="E44" s="24">
        <f>IFERROR(IF(AND(OR(CRITERIOS!F32="Todos",CRITERIOS!F32=$B$4),INDEX(CRITERIOS!H32:J32,MATCH($B$5,VARIABLES!$E$2:$E$4,0))=1),1,0),0)</f>
        <v/>
      </c>
      <c r="F44" s="24">
        <f>IFERROR(IF(E44=1,INDEX(CRITERIOS!K32:M32,MATCH($B$5,VARIABLES!$E$2:$E$4,0)),0),0)</f>
        <v/>
      </c>
      <c r="G44" s="24">
        <f>IF(CRITERIOS!N32="","",CRITERIOS!N32)</f>
        <v/>
      </c>
      <c r="H44" s="24">
        <f>IF(CRITERIOS!O32="","",CRITERIOS!O32)</f>
        <v/>
      </c>
      <c r="I44" s="21" t="n"/>
      <c r="J44" s="22">
        <f>IF(OR($E44=0,I$78=0),0,IF(AND(I44="N/A",$G44&lt;&gt;""),0,$F44+SUMPRODUCT(($G$14:$G$71=$A44)*($E$14:$E$71=1)*(I$14:I$71="N/A")*$F$14:$F$71)))</f>
        <v/>
      </c>
      <c r="K44" s="22">
        <f>IF(I44="SI",J44,0)</f>
        <v/>
      </c>
      <c r="L44" s="21" t="n"/>
      <c r="M44" s="22">
        <f>IF(OR($E44=0,L$78=0),0,IF(AND(L44="N/A",$G44&lt;&gt;""),0,$F44+SUMPRODUCT(($G$14:$G$71=$A44)*($E$14:$E$71=1)*(L$14:L$71="N/A")*$F$14:$F$71)))</f>
        <v/>
      </c>
      <c r="N44" s="22">
        <f>IF(L44="SI",M44,0)</f>
        <v/>
      </c>
      <c r="O44" s="21" t="n"/>
      <c r="P44" s="22">
        <f>IF(OR($E44=0,O$78=0),0,IF(AND(O44="N/A",$G44&lt;&gt;""),0,$F44+SUMPRODUCT(($G$14:$G$71=$A44)*($E$14:$E$71=1)*(O$14:O$71="N/A")*$F$14:$F$71)))</f>
        <v/>
      </c>
      <c r="Q44" s="22">
        <f>IF(O44="SI",P44,0)</f>
        <v/>
      </c>
      <c r="R44" s="21" t="n"/>
      <c r="S44" s="22">
        <f>IF(OR($E44=0,R$78=0),0,IF(AND(R44="N/A",$G44&lt;&gt;""),0,$F44+SUMPRODUCT(($G$14:$G$71=$A44)*($E$14:$E$71=1)*(R$14:R$71="N/A")*$F$14:$F$71)))</f>
        <v/>
      </c>
      <c r="T44" s="22">
        <f>IF(R44="SI",S44,0)</f>
        <v/>
      </c>
      <c r="U44" s="21" t="n"/>
      <c r="V44" s="22">
        <f>IF(OR($E44=0,U$78=0),0,IF(AND(U44="N/A",$G44&lt;&gt;""),0,$F44+SUMPRODUCT(($G$14:$G$71=$A44)*($E$14:$E$71=1)*(U$14:U$71="N/A")*$F$14:$F$71)))</f>
        <v/>
      </c>
      <c r="W44" s="22">
        <f>IF(U44="SI",V44,0)</f>
        <v/>
      </c>
      <c r="X44" s="21" t="n"/>
      <c r="Y44" s="22">
        <f>IF(OR($E44=0,X$78=0),0,IF(AND(X44="N/A",$G44&lt;&gt;""),0,$F44+SUMPRODUCT(($G$14:$G$71=$A44)*($E$14:$E$71=1)*(X$14:X$71="N/A")*$F$14:$F$71)))</f>
        <v/>
      </c>
      <c r="Z44" s="22">
        <f>IF(X44="SI",Y44,0)</f>
        <v/>
      </c>
      <c r="AA44" s="22">
        <f>SUM(J44,M44,P44,S44,V44,Y44)</f>
        <v/>
      </c>
      <c r="AB44" s="22">
        <f>SUM(K44,N44,Q44,T44,W44,Z44)</f>
        <v/>
      </c>
      <c r="AC44" s="23">
        <f>IF(AA44=0,"",AB44/AA44)</f>
        <v/>
      </c>
      <c r="AD44" s="22">
        <f>CRITERIOS!Q32</f>
        <v/>
      </c>
      <c r="AE44" s="22">
        <f>IF(AND(E44=1,H44&lt;&gt;"X",((I44="N/A")+(L44="N/A")+(O44="N/A")+(R44="N/A")+(U44="N/A")+(X44="N/A"))&gt;0),"REVISAR","")</f>
        <v/>
      </c>
    </row>
    <row r="45">
      <c r="A45" s="22">
        <f>CRITERIOS!B33</f>
        <v/>
      </c>
      <c r="B45" s="22">
        <f>CRITERIOS!C33</f>
        <v/>
      </c>
      <c r="C45" s="8">
        <f>CRITERIOS!D33</f>
        <v/>
      </c>
      <c r="D45" s="22">
        <f>CRITERIOS!E33</f>
        <v/>
      </c>
      <c r="E45" s="22">
        <f>IFERROR(IF(AND(OR(CRITERIOS!F33="Todos",CRITERIOS!F33=$B$4),INDEX(CRITERIOS!H33:J33,MATCH($B$5,VARIABLES!$E$2:$E$4,0))=1),1,0),0)</f>
        <v/>
      </c>
      <c r="F45" s="22">
        <f>IFERROR(IF(E45=1,INDEX(CRITERIOS!K33:M33,MATCH($B$5,VARIABLES!$E$2:$E$4,0)),0),0)</f>
        <v/>
      </c>
      <c r="G45" s="22">
        <f>IF(CRITERIOS!N33="","",CRITERIOS!N33)</f>
        <v/>
      </c>
      <c r="H45" s="22">
        <f>IF(CRITERIOS!O33="","",CRITERIOS!O33)</f>
        <v/>
      </c>
      <c r="I45" s="21" t="n"/>
      <c r="J45" s="22">
        <f>IF(OR($E45=0,I$78=0),0,IF(AND(I45="N/A",$G45&lt;&gt;""),0,$F45+SUMPRODUCT(($G$14:$G$71=$A45)*($E$14:$E$71=1)*(I$14:I$71="N/A")*$F$14:$F$71)))</f>
        <v/>
      </c>
      <c r="K45" s="22">
        <f>IF(I45="SI",J45,0)</f>
        <v/>
      </c>
      <c r="L45" s="21" t="n"/>
      <c r="M45" s="22">
        <f>IF(OR($E45=0,L$78=0),0,IF(AND(L45="N/A",$G45&lt;&gt;""),0,$F45+SUMPRODUCT(($G$14:$G$71=$A45)*($E$14:$E$71=1)*(L$14:L$71="N/A")*$F$14:$F$71)))</f>
        <v/>
      </c>
      <c r="N45" s="22">
        <f>IF(L45="SI",M45,0)</f>
        <v/>
      </c>
      <c r="O45" s="21" t="n"/>
      <c r="P45" s="22">
        <f>IF(OR($E45=0,O$78=0),0,IF(AND(O45="N/A",$G45&lt;&gt;""),0,$F45+SUMPRODUCT(($G$14:$G$71=$A45)*($E$14:$E$71=1)*(O$14:O$71="N/A")*$F$14:$F$71)))</f>
        <v/>
      </c>
      <c r="Q45" s="22">
        <f>IF(O45="SI",P45,0)</f>
        <v/>
      </c>
      <c r="R45" s="21" t="n"/>
      <c r="S45" s="22">
        <f>IF(OR($E45=0,R$78=0),0,IF(AND(R45="N/A",$G45&lt;&gt;""),0,$F45+SUMPRODUCT(($G$14:$G$71=$A45)*($E$14:$E$71=1)*(R$14:R$71="N/A")*$F$14:$F$71)))</f>
        <v/>
      </c>
      <c r="T45" s="22">
        <f>IF(R45="SI",S45,0)</f>
        <v/>
      </c>
      <c r="U45" s="21" t="n"/>
      <c r="V45" s="22">
        <f>IF(OR($E45=0,U$78=0),0,IF(AND(U45="N/A",$G45&lt;&gt;""),0,$F45+SUMPRODUCT(($G$14:$G$71=$A45)*($E$14:$E$71=1)*(U$14:U$71="N/A")*$F$14:$F$71)))</f>
        <v/>
      </c>
      <c r="W45" s="22">
        <f>IF(U45="SI",V45,0)</f>
        <v/>
      </c>
      <c r="X45" s="21" t="n"/>
      <c r="Y45" s="22">
        <f>IF(OR($E45=0,X$78=0),0,IF(AND(X45="N/A",$G45&lt;&gt;""),0,$F45+SUMPRODUCT(($G$14:$G$71=$A45)*($E$14:$E$71=1)*(X$14:X$71="N/A")*$F$14:$F$71)))</f>
        <v/>
      </c>
      <c r="Z45" s="22">
        <f>IF(X45="SI",Y45,0)</f>
        <v/>
      </c>
      <c r="AA45" s="22">
        <f>SUM(J45,M45,P45,S45,V45,Y45)</f>
        <v/>
      </c>
      <c r="AB45" s="22">
        <f>SUM(K45,N45,Q45,T45,W45,Z45)</f>
        <v/>
      </c>
      <c r="AC45" s="23">
        <f>IF(AA45=0,"",AB45/AA45)</f>
        <v/>
      </c>
      <c r="AD45" s="22">
        <f>CRITERIOS!Q33</f>
        <v/>
      </c>
      <c r="AE45" s="22">
        <f>IF(AND(E45=1,H45&lt;&gt;"X",((I45="N/A")+(L45="N/A")+(O45="N/A")+(R45="N/A")+(U45="N/A")+(X45="N/A"))&gt;0),"REVISAR","")</f>
        <v/>
      </c>
    </row>
    <row r="46">
      <c r="A46" s="24">
        <f>CRITERIOS!B34</f>
        <v/>
      </c>
      <c r="B46" s="24">
        <f>CRITERIOS!C34</f>
        <v/>
      </c>
      <c r="C46" s="25">
        <f>CRITERIOS!D34</f>
        <v/>
      </c>
      <c r="D46" s="24">
        <f>CRITERIOS!E34</f>
        <v/>
      </c>
      <c r="E46" s="24">
        <f>IFERROR(IF(AND(OR(CRITERIOS!F34="Todos",CRITERIOS!F34=$B$4),INDEX(CRITERIOS!H34:J34,MATCH($B$5,VARIABLES!$E$2:$E$4,0))=1),1,0),0)</f>
        <v/>
      </c>
      <c r="F46" s="24">
        <f>IFERROR(IF(E46=1,INDEX(CRITERIOS!K34:M34,MATCH($B$5,VARIABLES!$E$2:$E$4,0)),0),0)</f>
        <v/>
      </c>
      <c r="G46" s="24">
        <f>IF(CRITERIOS!N34="","",CRITERIOS!N34)</f>
        <v/>
      </c>
      <c r="H46" s="24">
        <f>IF(CRITERIOS!O34="","",CRITERIOS!O34)</f>
        <v/>
      </c>
      <c r="I46" s="21" t="n"/>
      <c r="J46" s="22">
        <f>IF(OR($E46=0,I$78=0),0,IF(AND(I46="N/A",$G46&lt;&gt;""),0,$F46+SUMPRODUCT(($G$14:$G$71=$A46)*($E$14:$E$71=1)*(I$14:I$71="N/A")*$F$14:$F$71)))</f>
        <v/>
      </c>
      <c r="K46" s="22">
        <f>IF(I46="SI",J46,0)</f>
        <v/>
      </c>
      <c r="L46" s="21" t="n"/>
      <c r="M46" s="22">
        <f>IF(OR($E46=0,L$78=0),0,IF(AND(L46="N/A",$G46&lt;&gt;""),0,$F46+SUMPRODUCT(($G$14:$G$71=$A46)*($E$14:$E$71=1)*(L$14:L$71="N/A")*$F$14:$F$71)))</f>
        <v/>
      </c>
      <c r="N46" s="22">
        <f>IF(L46="SI",M46,0)</f>
        <v/>
      </c>
      <c r="O46" s="21" t="n"/>
      <c r="P46" s="22">
        <f>IF(OR($E46=0,O$78=0),0,IF(AND(O46="N/A",$G46&lt;&gt;""),0,$F46+SUMPRODUCT(($G$14:$G$71=$A46)*($E$14:$E$71=1)*(O$14:O$71="N/A")*$F$14:$F$71)))</f>
        <v/>
      </c>
      <c r="Q46" s="22">
        <f>IF(O46="SI",P46,0)</f>
        <v/>
      </c>
      <c r="R46" s="21" t="n"/>
      <c r="S46" s="22">
        <f>IF(OR($E46=0,R$78=0),0,IF(AND(R46="N/A",$G46&lt;&gt;""),0,$F46+SUMPRODUCT(($G$14:$G$71=$A46)*($E$14:$E$71=1)*(R$14:R$71="N/A")*$F$14:$F$71)))</f>
        <v/>
      </c>
      <c r="T46" s="22">
        <f>IF(R46="SI",S46,0)</f>
        <v/>
      </c>
      <c r="U46" s="21" t="n"/>
      <c r="V46" s="22">
        <f>IF(OR($E46=0,U$78=0),0,IF(AND(U46="N/A",$G46&lt;&gt;""),0,$F46+SUMPRODUCT(($G$14:$G$71=$A46)*($E$14:$E$71=1)*(U$14:U$71="N/A")*$F$14:$F$71)))</f>
        <v/>
      </c>
      <c r="W46" s="22">
        <f>IF(U46="SI",V46,0)</f>
        <v/>
      </c>
      <c r="X46" s="21" t="n"/>
      <c r="Y46" s="22">
        <f>IF(OR($E46=0,X$78=0),0,IF(AND(X46="N/A",$G46&lt;&gt;""),0,$F46+SUMPRODUCT(($G$14:$G$71=$A46)*($E$14:$E$71=1)*(X$14:X$71="N/A")*$F$14:$F$71)))</f>
        <v/>
      </c>
      <c r="Z46" s="22">
        <f>IF(X46="SI",Y46,0)</f>
        <v/>
      </c>
      <c r="AA46" s="22">
        <f>SUM(J46,M46,P46,S46,V46,Y46)</f>
        <v/>
      </c>
      <c r="AB46" s="22">
        <f>SUM(K46,N46,Q46,T46,W46,Z46)</f>
        <v/>
      </c>
      <c r="AC46" s="23">
        <f>IF(AA46=0,"",AB46/AA46)</f>
        <v/>
      </c>
      <c r="AD46" s="22">
        <f>CRITERIOS!Q34</f>
        <v/>
      </c>
      <c r="AE46" s="22">
        <f>IF(AND(E46=1,H46&lt;&gt;"X",((I46="N/A")+(L46="N/A")+(O46="N/A")+(R46="N/A")+(U46="N/A")+(X46="N/A"))&gt;0),"REVISAR","")</f>
        <v/>
      </c>
    </row>
    <row r="47">
      <c r="A47" s="22">
        <f>CRITERIOS!B35</f>
        <v/>
      </c>
      <c r="B47" s="22">
        <f>CRITERIOS!C35</f>
        <v/>
      </c>
      <c r="C47" s="8">
        <f>CRITERIOS!D35</f>
        <v/>
      </c>
      <c r="D47" s="22">
        <f>CRITERIOS!E35</f>
        <v/>
      </c>
      <c r="E47" s="22">
        <f>IFERROR(IF(AND(OR(CRITERIOS!F35="Todos",CRITERIOS!F35=$B$4),INDEX(CRITERIOS!H35:J35,MATCH($B$5,VARIABLES!$E$2:$E$4,0))=1),1,0),0)</f>
        <v/>
      </c>
      <c r="F47" s="22">
        <f>IFERROR(IF(E47=1,INDEX(CRITERIOS!K35:M35,MATCH($B$5,VARIABLES!$E$2:$E$4,0)),0),0)</f>
        <v/>
      </c>
      <c r="G47" s="22">
        <f>IF(CRITERIOS!N35="","",CRITERIOS!N35)</f>
        <v/>
      </c>
      <c r="H47" s="22">
        <f>IF(CRITERIOS!O35="","",CRITERIOS!O35)</f>
        <v/>
      </c>
      <c r="I47" s="21" t="n"/>
      <c r="J47" s="22">
        <f>IF(OR($E47=0,I$78=0),0,IF(AND(I47="N/A",$G47&lt;&gt;""),0,$F47+SUMPRODUCT(($G$14:$G$71=$A47)*($E$14:$E$71=1)*(I$14:I$71="N/A")*$F$14:$F$71)))</f>
        <v/>
      </c>
      <c r="K47" s="22">
        <f>IF(I47="SI",J47,0)</f>
        <v/>
      </c>
      <c r="L47" s="21" t="n"/>
      <c r="M47" s="22">
        <f>IF(OR($E47=0,L$78=0),0,IF(AND(L47="N/A",$G47&lt;&gt;""),0,$F47+SUMPRODUCT(($G$14:$G$71=$A47)*($E$14:$E$71=1)*(L$14:L$71="N/A")*$F$14:$F$71)))</f>
        <v/>
      </c>
      <c r="N47" s="22">
        <f>IF(L47="SI",M47,0)</f>
        <v/>
      </c>
      <c r="O47" s="21" t="n"/>
      <c r="P47" s="22">
        <f>IF(OR($E47=0,O$78=0),0,IF(AND(O47="N/A",$G47&lt;&gt;""),0,$F47+SUMPRODUCT(($G$14:$G$71=$A47)*($E$14:$E$71=1)*(O$14:O$71="N/A")*$F$14:$F$71)))</f>
        <v/>
      </c>
      <c r="Q47" s="22">
        <f>IF(O47="SI",P47,0)</f>
        <v/>
      </c>
      <c r="R47" s="21" t="n"/>
      <c r="S47" s="22">
        <f>IF(OR($E47=0,R$78=0),0,IF(AND(R47="N/A",$G47&lt;&gt;""),0,$F47+SUMPRODUCT(($G$14:$G$71=$A47)*($E$14:$E$71=1)*(R$14:R$71="N/A")*$F$14:$F$71)))</f>
        <v/>
      </c>
      <c r="T47" s="22">
        <f>IF(R47="SI",S47,0)</f>
        <v/>
      </c>
      <c r="U47" s="21" t="n"/>
      <c r="V47" s="22">
        <f>IF(OR($E47=0,U$78=0),0,IF(AND(U47="N/A",$G47&lt;&gt;""),0,$F47+SUMPRODUCT(($G$14:$G$71=$A47)*($E$14:$E$71=1)*(U$14:U$71="N/A")*$F$14:$F$71)))</f>
        <v/>
      </c>
      <c r="W47" s="22">
        <f>IF(U47="SI",V47,0)</f>
        <v/>
      </c>
      <c r="X47" s="21" t="n"/>
      <c r="Y47" s="22">
        <f>IF(OR($E47=0,X$78=0),0,IF(AND(X47="N/A",$G47&lt;&gt;""),0,$F47+SUMPRODUCT(($G$14:$G$71=$A47)*($E$14:$E$71=1)*(X$14:X$71="N/A")*$F$14:$F$71)))</f>
        <v/>
      </c>
      <c r="Z47" s="22">
        <f>IF(X47="SI",Y47,0)</f>
        <v/>
      </c>
      <c r="AA47" s="22">
        <f>SUM(J47,M47,P47,S47,V47,Y47)</f>
        <v/>
      </c>
      <c r="AB47" s="22">
        <f>SUM(K47,N47,Q47,T47,W47,Z47)</f>
        <v/>
      </c>
      <c r="AC47" s="23">
        <f>IF(AA47=0,"",AB47/AA47)</f>
        <v/>
      </c>
      <c r="AD47" s="22">
        <f>CRITERIOS!Q35</f>
        <v/>
      </c>
      <c r="AE47" s="22">
        <f>IF(AND(E47=1,H47&lt;&gt;"X",((I47="N/A")+(L47="N/A")+(O47="N/A")+(R47="N/A")+(U47="N/A")+(X47="N/A"))&gt;0),"REVISAR","")</f>
        <v/>
      </c>
    </row>
    <row r="48">
      <c r="A48" s="24">
        <f>CRITERIOS!B36</f>
        <v/>
      </c>
      <c r="B48" s="24">
        <f>CRITERIOS!C36</f>
        <v/>
      </c>
      <c r="C48" s="25">
        <f>CRITERIOS!D36</f>
        <v/>
      </c>
      <c r="D48" s="24">
        <f>CRITERIOS!E36</f>
        <v/>
      </c>
      <c r="E48" s="24">
        <f>IFERROR(IF(AND(OR(CRITERIOS!F36="Todos",CRITERIOS!F36=$B$4),INDEX(CRITERIOS!H36:J36,MATCH($B$5,VARIABLES!$E$2:$E$4,0))=1),1,0),0)</f>
        <v/>
      </c>
      <c r="F48" s="24">
        <f>IFERROR(IF(E48=1,INDEX(CRITERIOS!K36:M36,MATCH($B$5,VARIABLES!$E$2:$E$4,0)),0),0)</f>
        <v/>
      </c>
      <c r="G48" s="24">
        <f>IF(CRITERIOS!N36="","",CRITERIOS!N36)</f>
        <v/>
      </c>
      <c r="H48" s="24">
        <f>IF(CRITERIOS!O36="","",CRITERIOS!O36)</f>
        <v/>
      </c>
      <c r="I48" s="21" t="n"/>
      <c r="J48" s="22">
        <f>IF(OR($E48=0,I$78=0),0,IF(AND(I48="N/A",$G48&lt;&gt;""),0,$F48+SUMPRODUCT(($G$14:$G$71=$A48)*($E$14:$E$71=1)*(I$14:I$71="N/A")*$F$14:$F$71)))</f>
        <v/>
      </c>
      <c r="K48" s="22">
        <f>IF(I48="SI",J48,0)</f>
        <v/>
      </c>
      <c r="L48" s="21" t="n"/>
      <c r="M48" s="22">
        <f>IF(OR($E48=0,L$78=0),0,IF(AND(L48="N/A",$G48&lt;&gt;""),0,$F48+SUMPRODUCT(($G$14:$G$71=$A48)*($E$14:$E$71=1)*(L$14:L$71="N/A")*$F$14:$F$71)))</f>
        <v/>
      </c>
      <c r="N48" s="22">
        <f>IF(L48="SI",M48,0)</f>
        <v/>
      </c>
      <c r="O48" s="21" t="n"/>
      <c r="P48" s="22">
        <f>IF(OR($E48=0,O$78=0),0,IF(AND(O48="N/A",$G48&lt;&gt;""),0,$F48+SUMPRODUCT(($G$14:$G$71=$A48)*($E$14:$E$71=1)*(O$14:O$71="N/A")*$F$14:$F$71)))</f>
        <v/>
      </c>
      <c r="Q48" s="22">
        <f>IF(O48="SI",P48,0)</f>
        <v/>
      </c>
      <c r="R48" s="21" t="n"/>
      <c r="S48" s="22">
        <f>IF(OR($E48=0,R$78=0),0,IF(AND(R48="N/A",$G48&lt;&gt;""),0,$F48+SUMPRODUCT(($G$14:$G$71=$A48)*($E$14:$E$71=1)*(R$14:R$71="N/A")*$F$14:$F$71)))</f>
        <v/>
      </c>
      <c r="T48" s="22">
        <f>IF(R48="SI",S48,0)</f>
        <v/>
      </c>
      <c r="U48" s="21" t="n"/>
      <c r="V48" s="22">
        <f>IF(OR($E48=0,U$78=0),0,IF(AND(U48="N/A",$G48&lt;&gt;""),0,$F48+SUMPRODUCT(($G$14:$G$71=$A48)*($E$14:$E$71=1)*(U$14:U$71="N/A")*$F$14:$F$71)))</f>
        <v/>
      </c>
      <c r="W48" s="22">
        <f>IF(U48="SI",V48,0)</f>
        <v/>
      </c>
      <c r="X48" s="21" t="n"/>
      <c r="Y48" s="22">
        <f>IF(OR($E48=0,X$78=0),0,IF(AND(X48="N/A",$G48&lt;&gt;""),0,$F48+SUMPRODUCT(($G$14:$G$71=$A48)*($E$14:$E$71=1)*(X$14:X$71="N/A")*$F$14:$F$71)))</f>
        <v/>
      </c>
      <c r="Z48" s="22">
        <f>IF(X48="SI",Y48,0)</f>
        <v/>
      </c>
      <c r="AA48" s="22">
        <f>SUM(J48,M48,P48,S48,V48,Y48)</f>
        <v/>
      </c>
      <c r="AB48" s="22">
        <f>SUM(K48,N48,Q48,T48,W48,Z48)</f>
        <v/>
      </c>
      <c r="AC48" s="23">
        <f>IF(AA48=0,"",AB48/AA48)</f>
        <v/>
      </c>
      <c r="AD48" s="22">
        <f>CRITERIOS!Q36</f>
        <v/>
      </c>
      <c r="AE48" s="22">
        <f>IF(AND(E48=1,H48&lt;&gt;"X",((I48="N/A")+(L48="N/A")+(O48="N/A")+(R48="N/A")+(U48="N/A")+(X48="N/A"))&gt;0),"REVISAR","")</f>
        <v/>
      </c>
    </row>
    <row r="49">
      <c r="A49" s="24">
        <f>CRITERIOS!B37</f>
        <v/>
      </c>
      <c r="B49" s="24">
        <f>CRITERIOS!C37</f>
        <v/>
      </c>
      <c r="C49" s="25">
        <f>CRITERIOS!D37</f>
        <v/>
      </c>
      <c r="D49" s="24">
        <f>CRITERIOS!E37</f>
        <v/>
      </c>
      <c r="E49" s="24">
        <f>IFERROR(IF(AND(OR(CRITERIOS!F37="Todos",CRITERIOS!F37=$B$4),INDEX(CRITERIOS!H37:J37,MATCH($B$5,VARIABLES!$E$2:$E$4,0))=1),1,0),0)</f>
        <v/>
      </c>
      <c r="F49" s="24">
        <f>IFERROR(IF(E49=1,INDEX(CRITERIOS!K37:M37,MATCH($B$5,VARIABLES!$E$2:$E$4,0)),0),0)</f>
        <v/>
      </c>
      <c r="G49" s="24">
        <f>IF(CRITERIOS!N37="","",CRITERIOS!N37)</f>
        <v/>
      </c>
      <c r="H49" s="24">
        <f>IF(CRITERIOS!O37="","",CRITERIOS!O37)</f>
        <v/>
      </c>
      <c r="I49" s="21" t="n"/>
      <c r="J49" s="22">
        <f>IF(OR($E49=0,I$78=0),0,IF(AND(I49="N/A",$G49&lt;&gt;""),0,$F49+SUMPRODUCT(($G$14:$G$71=$A49)*($E$14:$E$71=1)*(I$14:I$71="N/A")*$F$14:$F$71)))</f>
        <v/>
      </c>
      <c r="K49" s="22">
        <f>IF(I49="SI",J49,0)</f>
        <v/>
      </c>
      <c r="L49" s="21" t="n"/>
      <c r="M49" s="22">
        <f>IF(OR($E49=0,L$78=0),0,IF(AND(L49="N/A",$G49&lt;&gt;""),0,$F49+SUMPRODUCT(($G$14:$G$71=$A49)*($E$14:$E$71=1)*(L$14:L$71="N/A")*$F$14:$F$71)))</f>
        <v/>
      </c>
      <c r="N49" s="22">
        <f>IF(L49="SI",M49,0)</f>
        <v/>
      </c>
      <c r="O49" s="21" t="n"/>
      <c r="P49" s="22">
        <f>IF(OR($E49=0,O$78=0),0,IF(AND(O49="N/A",$G49&lt;&gt;""),0,$F49+SUMPRODUCT(($G$14:$G$71=$A49)*($E$14:$E$71=1)*(O$14:O$71="N/A")*$F$14:$F$71)))</f>
        <v/>
      </c>
      <c r="Q49" s="22">
        <f>IF(O49="SI",P49,0)</f>
        <v/>
      </c>
      <c r="R49" s="21" t="n"/>
      <c r="S49" s="22">
        <f>IF(OR($E49=0,R$78=0),0,IF(AND(R49="N/A",$G49&lt;&gt;""),0,$F49+SUMPRODUCT(($G$14:$G$71=$A49)*($E$14:$E$71=1)*(R$14:R$71="N/A")*$F$14:$F$71)))</f>
        <v/>
      </c>
      <c r="T49" s="22">
        <f>IF(R49="SI",S49,0)</f>
        <v/>
      </c>
      <c r="U49" s="21" t="n"/>
      <c r="V49" s="22">
        <f>IF(OR($E49=0,U$78=0),0,IF(AND(U49="N/A",$G49&lt;&gt;""),0,$F49+SUMPRODUCT(($G$14:$G$71=$A49)*($E$14:$E$71=1)*(U$14:U$71="N/A")*$F$14:$F$71)))</f>
        <v/>
      </c>
      <c r="W49" s="22">
        <f>IF(U49="SI",V49,0)</f>
        <v/>
      </c>
      <c r="X49" s="21" t="n"/>
      <c r="Y49" s="22">
        <f>IF(OR($E49=0,X$78=0),0,IF(AND(X49="N/A",$G49&lt;&gt;""),0,$F49+SUMPRODUCT(($G$14:$G$71=$A49)*($E$14:$E$71=1)*(X$14:X$71="N/A")*$F$14:$F$71)))</f>
        <v/>
      </c>
      <c r="Z49" s="22">
        <f>IF(X49="SI",Y49,0)</f>
        <v/>
      </c>
      <c r="AA49" s="22">
        <f>SUM(J49,M49,P49,S49,V49,Y49)</f>
        <v/>
      </c>
      <c r="AB49" s="22">
        <f>SUM(K49,N49,Q49,T49,W49,Z49)</f>
        <v/>
      </c>
      <c r="AC49" s="23">
        <f>IF(AA49=0,"",AB49/AA49)</f>
        <v/>
      </c>
      <c r="AD49" s="22">
        <f>CRITERIOS!Q37</f>
        <v/>
      </c>
      <c r="AE49" s="22">
        <f>IF(AND(E49=1,H49&lt;&gt;"X",((I49="N/A")+(L49="N/A")+(O49="N/A")+(R49="N/A")+(U49="N/A")+(X49="N/A"))&gt;0),"REVISAR","")</f>
        <v/>
      </c>
    </row>
    <row r="50">
      <c r="A50" s="24">
        <f>CRITERIOS!B38</f>
        <v/>
      </c>
      <c r="B50" s="24">
        <f>CRITERIOS!C38</f>
        <v/>
      </c>
      <c r="C50" s="25">
        <f>CRITERIOS!D38</f>
        <v/>
      </c>
      <c r="D50" s="24">
        <f>CRITERIOS!E38</f>
        <v/>
      </c>
      <c r="E50" s="24">
        <f>IFERROR(IF(AND(OR(CRITERIOS!F38="Todos",CRITERIOS!F38=$B$4),INDEX(CRITERIOS!H38:J38,MATCH($B$5,VARIABLES!$E$2:$E$4,0))=1),1,0),0)</f>
        <v/>
      </c>
      <c r="F50" s="24">
        <f>IFERROR(IF(E50=1,INDEX(CRITERIOS!K38:M38,MATCH($B$5,VARIABLES!$E$2:$E$4,0)),0),0)</f>
        <v/>
      </c>
      <c r="G50" s="24">
        <f>IF(CRITERIOS!N38="","",CRITERIOS!N38)</f>
        <v/>
      </c>
      <c r="H50" s="24">
        <f>IF(CRITERIOS!O38="","",CRITERIOS!O38)</f>
        <v/>
      </c>
      <c r="I50" s="21" t="n"/>
      <c r="J50" s="22">
        <f>IF(OR($E50=0,I$78=0),0,IF(AND(I50="N/A",$G50&lt;&gt;""),0,$F50+SUMPRODUCT(($G$14:$G$71=$A50)*($E$14:$E$71=1)*(I$14:I$71="N/A")*$F$14:$F$71)))</f>
        <v/>
      </c>
      <c r="K50" s="22">
        <f>IF(I50="SI",J50,0)</f>
        <v/>
      </c>
      <c r="L50" s="21" t="n"/>
      <c r="M50" s="22">
        <f>IF(OR($E50=0,L$78=0),0,IF(AND(L50="N/A",$G50&lt;&gt;""),0,$F50+SUMPRODUCT(($G$14:$G$71=$A50)*($E$14:$E$71=1)*(L$14:L$71="N/A")*$F$14:$F$71)))</f>
        <v/>
      </c>
      <c r="N50" s="22">
        <f>IF(L50="SI",M50,0)</f>
        <v/>
      </c>
      <c r="O50" s="21" t="n"/>
      <c r="P50" s="22">
        <f>IF(OR($E50=0,O$78=0),0,IF(AND(O50="N/A",$G50&lt;&gt;""),0,$F50+SUMPRODUCT(($G$14:$G$71=$A50)*($E$14:$E$71=1)*(O$14:O$71="N/A")*$F$14:$F$71)))</f>
        <v/>
      </c>
      <c r="Q50" s="22">
        <f>IF(O50="SI",P50,0)</f>
        <v/>
      </c>
      <c r="R50" s="21" t="n"/>
      <c r="S50" s="22">
        <f>IF(OR($E50=0,R$78=0),0,IF(AND(R50="N/A",$G50&lt;&gt;""),0,$F50+SUMPRODUCT(($G$14:$G$71=$A50)*($E$14:$E$71=1)*(R$14:R$71="N/A")*$F$14:$F$71)))</f>
        <v/>
      </c>
      <c r="T50" s="22">
        <f>IF(R50="SI",S50,0)</f>
        <v/>
      </c>
      <c r="U50" s="21" t="n"/>
      <c r="V50" s="22">
        <f>IF(OR($E50=0,U$78=0),0,IF(AND(U50="N/A",$G50&lt;&gt;""),0,$F50+SUMPRODUCT(($G$14:$G$71=$A50)*($E$14:$E$71=1)*(U$14:U$71="N/A")*$F$14:$F$71)))</f>
        <v/>
      </c>
      <c r="W50" s="22">
        <f>IF(U50="SI",V50,0)</f>
        <v/>
      </c>
      <c r="X50" s="21" t="n"/>
      <c r="Y50" s="22">
        <f>IF(OR($E50=0,X$78=0),0,IF(AND(X50="N/A",$G50&lt;&gt;""),0,$F50+SUMPRODUCT(($G$14:$G$71=$A50)*($E$14:$E$71=1)*(X$14:X$71="N/A")*$F$14:$F$71)))</f>
        <v/>
      </c>
      <c r="Z50" s="22">
        <f>IF(X50="SI",Y50,0)</f>
        <v/>
      </c>
      <c r="AA50" s="22">
        <f>SUM(J50,M50,P50,S50,V50,Y50)</f>
        <v/>
      </c>
      <c r="AB50" s="22">
        <f>SUM(K50,N50,Q50,T50,W50,Z50)</f>
        <v/>
      </c>
      <c r="AC50" s="23">
        <f>IF(AA50=0,"",AB50/AA50)</f>
        <v/>
      </c>
      <c r="AD50" s="22">
        <f>CRITERIOS!Q38</f>
        <v/>
      </c>
      <c r="AE50" s="22">
        <f>IF(AND(E50=1,H50&lt;&gt;"X",((I50="N/A")+(L50="N/A")+(O50="N/A")+(R50="N/A")+(U50="N/A")+(X50="N/A"))&gt;0),"REVISAR","")</f>
        <v/>
      </c>
    </row>
    <row r="51">
      <c r="A51" s="24">
        <f>CRITERIOS!B39</f>
        <v/>
      </c>
      <c r="B51" s="24">
        <f>CRITERIOS!C39</f>
        <v/>
      </c>
      <c r="C51" s="25">
        <f>CRITERIOS!D39</f>
        <v/>
      </c>
      <c r="D51" s="24">
        <f>CRITERIOS!E39</f>
        <v/>
      </c>
      <c r="E51" s="24">
        <f>IFERROR(IF(AND(OR(CRITERIOS!F39="Todos",CRITERIOS!F39=$B$4),INDEX(CRITERIOS!H39:J39,MATCH($B$5,VARIABLES!$E$2:$E$4,0))=1),1,0),0)</f>
        <v/>
      </c>
      <c r="F51" s="24">
        <f>IFERROR(IF(E51=1,INDEX(CRITERIOS!K39:M39,MATCH($B$5,VARIABLES!$E$2:$E$4,0)),0),0)</f>
        <v/>
      </c>
      <c r="G51" s="24">
        <f>IF(CRITERIOS!N39="","",CRITERIOS!N39)</f>
        <v/>
      </c>
      <c r="H51" s="24">
        <f>IF(CRITERIOS!O39="","",CRITERIOS!O39)</f>
        <v/>
      </c>
      <c r="I51" s="21" t="n"/>
      <c r="J51" s="22">
        <f>IF(OR($E51=0,I$78=0),0,IF(AND(I51="N/A",$G51&lt;&gt;""),0,$F51+SUMPRODUCT(($G$14:$G$71=$A51)*($E$14:$E$71=1)*(I$14:I$71="N/A")*$F$14:$F$71)))</f>
        <v/>
      </c>
      <c r="K51" s="22">
        <f>IF(I51="SI",J51,0)</f>
        <v/>
      </c>
      <c r="L51" s="21" t="n"/>
      <c r="M51" s="22">
        <f>IF(OR($E51=0,L$78=0),0,IF(AND(L51="N/A",$G51&lt;&gt;""),0,$F51+SUMPRODUCT(($G$14:$G$71=$A51)*($E$14:$E$71=1)*(L$14:L$71="N/A")*$F$14:$F$71)))</f>
        <v/>
      </c>
      <c r="N51" s="22">
        <f>IF(L51="SI",M51,0)</f>
        <v/>
      </c>
      <c r="O51" s="21" t="n"/>
      <c r="P51" s="22">
        <f>IF(OR($E51=0,O$78=0),0,IF(AND(O51="N/A",$G51&lt;&gt;""),0,$F51+SUMPRODUCT(($G$14:$G$71=$A51)*($E$14:$E$71=1)*(O$14:O$71="N/A")*$F$14:$F$71)))</f>
        <v/>
      </c>
      <c r="Q51" s="22">
        <f>IF(O51="SI",P51,0)</f>
        <v/>
      </c>
      <c r="R51" s="21" t="n"/>
      <c r="S51" s="22">
        <f>IF(OR($E51=0,R$78=0),0,IF(AND(R51="N/A",$G51&lt;&gt;""),0,$F51+SUMPRODUCT(($G$14:$G$71=$A51)*($E$14:$E$71=1)*(R$14:R$71="N/A")*$F$14:$F$71)))</f>
        <v/>
      </c>
      <c r="T51" s="22">
        <f>IF(R51="SI",S51,0)</f>
        <v/>
      </c>
      <c r="U51" s="21" t="n"/>
      <c r="V51" s="22">
        <f>IF(OR($E51=0,U$78=0),0,IF(AND(U51="N/A",$G51&lt;&gt;""),0,$F51+SUMPRODUCT(($G$14:$G$71=$A51)*($E$14:$E$71=1)*(U$14:U$71="N/A")*$F$14:$F$71)))</f>
        <v/>
      </c>
      <c r="W51" s="22">
        <f>IF(U51="SI",V51,0)</f>
        <v/>
      </c>
      <c r="X51" s="21" t="n"/>
      <c r="Y51" s="22">
        <f>IF(OR($E51=0,X$78=0),0,IF(AND(X51="N/A",$G51&lt;&gt;""),0,$F51+SUMPRODUCT(($G$14:$G$71=$A51)*($E$14:$E$71=1)*(X$14:X$71="N/A")*$F$14:$F$71)))</f>
        <v/>
      </c>
      <c r="Z51" s="22">
        <f>IF(X51="SI",Y51,0)</f>
        <v/>
      </c>
      <c r="AA51" s="22">
        <f>SUM(J51,M51,P51,S51,V51,Y51)</f>
        <v/>
      </c>
      <c r="AB51" s="22">
        <f>SUM(K51,N51,Q51,T51,W51,Z51)</f>
        <v/>
      </c>
      <c r="AC51" s="23">
        <f>IF(AA51=0,"",AB51/AA51)</f>
        <v/>
      </c>
      <c r="AD51" s="22">
        <f>CRITERIOS!Q39</f>
        <v/>
      </c>
      <c r="AE51" s="22">
        <f>IF(AND(E51=1,H51&lt;&gt;"X",((I51="N/A")+(L51="N/A")+(O51="N/A")+(R51="N/A")+(U51="N/A")+(X51="N/A"))&gt;0),"REVISAR","")</f>
        <v/>
      </c>
    </row>
    <row r="52">
      <c r="A52" s="24">
        <f>CRITERIOS!B40</f>
        <v/>
      </c>
      <c r="B52" s="24">
        <f>CRITERIOS!C40</f>
        <v/>
      </c>
      <c r="C52" s="25">
        <f>CRITERIOS!D40</f>
        <v/>
      </c>
      <c r="D52" s="24">
        <f>CRITERIOS!E40</f>
        <v/>
      </c>
      <c r="E52" s="24">
        <f>IFERROR(IF(AND(OR(CRITERIOS!F40="Todos",CRITERIOS!F40=$B$4),INDEX(CRITERIOS!H40:J40,MATCH($B$5,VARIABLES!$E$2:$E$4,0))=1),1,0),0)</f>
        <v/>
      </c>
      <c r="F52" s="24">
        <f>IFERROR(IF(E52=1,INDEX(CRITERIOS!K40:M40,MATCH($B$5,VARIABLES!$E$2:$E$4,0)),0),0)</f>
        <v/>
      </c>
      <c r="G52" s="24">
        <f>IF(CRITERIOS!N40="","",CRITERIOS!N40)</f>
        <v/>
      </c>
      <c r="H52" s="24">
        <f>IF(CRITERIOS!O40="","",CRITERIOS!O40)</f>
        <v/>
      </c>
      <c r="I52" s="21" t="n"/>
      <c r="J52" s="22">
        <f>IF(OR($E52=0,I$78=0),0,IF(AND(I52="N/A",$G52&lt;&gt;""),0,$F52+SUMPRODUCT(($G$14:$G$71=$A52)*($E$14:$E$71=1)*(I$14:I$71="N/A")*$F$14:$F$71)))</f>
        <v/>
      </c>
      <c r="K52" s="22">
        <f>IF(I52="SI",J52,0)</f>
        <v/>
      </c>
      <c r="L52" s="21" t="n"/>
      <c r="M52" s="22">
        <f>IF(OR($E52=0,L$78=0),0,IF(AND(L52="N/A",$G52&lt;&gt;""),0,$F52+SUMPRODUCT(($G$14:$G$71=$A52)*($E$14:$E$71=1)*(L$14:L$71="N/A")*$F$14:$F$71)))</f>
        <v/>
      </c>
      <c r="N52" s="22">
        <f>IF(L52="SI",M52,0)</f>
        <v/>
      </c>
      <c r="O52" s="21" t="n"/>
      <c r="P52" s="22">
        <f>IF(OR($E52=0,O$78=0),0,IF(AND(O52="N/A",$G52&lt;&gt;""),0,$F52+SUMPRODUCT(($G$14:$G$71=$A52)*($E$14:$E$71=1)*(O$14:O$71="N/A")*$F$14:$F$71)))</f>
        <v/>
      </c>
      <c r="Q52" s="22">
        <f>IF(O52="SI",P52,0)</f>
        <v/>
      </c>
      <c r="R52" s="21" t="n"/>
      <c r="S52" s="22">
        <f>IF(OR($E52=0,R$78=0),0,IF(AND(R52="N/A",$G52&lt;&gt;""),0,$F52+SUMPRODUCT(($G$14:$G$71=$A52)*($E$14:$E$71=1)*(R$14:R$71="N/A")*$F$14:$F$71)))</f>
        <v/>
      </c>
      <c r="T52" s="22">
        <f>IF(R52="SI",S52,0)</f>
        <v/>
      </c>
      <c r="U52" s="21" t="n"/>
      <c r="V52" s="22">
        <f>IF(OR($E52=0,U$78=0),0,IF(AND(U52="N/A",$G52&lt;&gt;""),0,$F52+SUMPRODUCT(($G$14:$G$71=$A52)*($E$14:$E$71=1)*(U$14:U$71="N/A")*$F$14:$F$71)))</f>
        <v/>
      </c>
      <c r="W52" s="22">
        <f>IF(U52="SI",V52,0)</f>
        <v/>
      </c>
      <c r="X52" s="21" t="n"/>
      <c r="Y52" s="22">
        <f>IF(OR($E52=0,X$78=0),0,IF(AND(X52="N/A",$G52&lt;&gt;""),0,$F52+SUMPRODUCT(($G$14:$G$71=$A52)*($E$14:$E$71=1)*(X$14:X$71="N/A")*$F$14:$F$71)))</f>
        <v/>
      </c>
      <c r="Z52" s="22">
        <f>IF(X52="SI",Y52,0)</f>
        <v/>
      </c>
      <c r="AA52" s="22">
        <f>SUM(J52,M52,P52,S52,V52,Y52)</f>
        <v/>
      </c>
      <c r="AB52" s="22">
        <f>SUM(K52,N52,Q52,T52,W52,Z52)</f>
        <v/>
      </c>
      <c r="AC52" s="23">
        <f>IF(AA52=0,"",AB52/AA52)</f>
        <v/>
      </c>
      <c r="AD52" s="22">
        <f>CRITERIOS!Q40</f>
        <v/>
      </c>
      <c r="AE52" s="22">
        <f>IF(AND(E52=1,H52&lt;&gt;"X",((I52="N/A")+(L52="N/A")+(O52="N/A")+(R52="N/A")+(U52="N/A")+(X52="N/A"))&gt;0),"REVISAR","")</f>
        <v/>
      </c>
    </row>
    <row r="53">
      <c r="A53" s="22">
        <f>CRITERIOS!B41</f>
        <v/>
      </c>
      <c r="B53" s="22">
        <f>CRITERIOS!C41</f>
        <v/>
      </c>
      <c r="C53" s="8">
        <f>CRITERIOS!D41</f>
        <v/>
      </c>
      <c r="D53" s="22">
        <f>CRITERIOS!E41</f>
        <v/>
      </c>
      <c r="E53" s="22">
        <f>IFERROR(IF(AND(OR(CRITERIOS!F41="Todos",CRITERIOS!F41=$B$4),INDEX(CRITERIOS!H41:J41,MATCH($B$5,VARIABLES!$E$2:$E$4,0))=1),1,0),0)</f>
        <v/>
      </c>
      <c r="F53" s="22">
        <f>IFERROR(IF(E53=1,INDEX(CRITERIOS!K41:M41,MATCH($B$5,VARIABLES!$E$2:$E$4,0)),0),0)</f>
        <v/>
      </c>
      <c r="G53" s="22">
        <f>IF(CRITERIOS!N41="","",CRITERIOS!N41)</f>
        <v/>
      </c>
      <c r="H53" s="22">
        <f>IF(CRITERIOS!O41="","",CRITERIOS!O41)</f>
        <v/>
      </c>
      <c r="I53" s="21" t="n"/>
      <c r="J53" s="22">
        <f>IF(OR($E53=0,I$78=0),0,IF(AND(I53="N/A",$G53&lt;&gt;""),0,$F53+SUMPRODUCT(($G$14:$G$71=$A53)*($E$14:$E$71=1)*(I$14:I$71="N/A")*$F$14:$F$71)))</f>
        <v/>
      </c>
      <c r="K53" s="22">
        <f>IF(I53="SI",J53,0)</f>
        <v/>
      </c>
      <c r="L53" s="21" t="n"/>
      <c r="M53" s="22">
        <f>IF(OR($E53=0,L$78=0),0,IF(AND(L53="N/A",$G53&lt;&gt;""),0,$F53+SUMPRODUCT(($G$14:$G$71=$A53)*($E$14:$E$71=1)*(L$14:L$71="N/A")*$F$14:$F$71)))</f>
        <v/>
      </c>
      <c r="N53" s="22">
        <f>IF(L53="SI",M53,0)</f>
        <v/>
      </c>
      <c r="O53" s="21" t="n"/>
      <c r="P53" s="22">
        <f>IF(OR($E53=0,O$78=0),0,IF(AND(O53="N/A",$G53&lt;&gt;""),0,$F53+SUMPRODUCT(($G$14:$G$71=$A53)*($E$14:$E$71=1)*(O$14:O$71="N/A")*$F$14:$F$71)))</f>
        <v/>
      </c>
      <c r="Q53" s="22">
        <f>IF(O53="SI",P53,0)</f>
        <v/>
      </c>
      <c r="R53" s="21" t="n"/>
      <c r="S53" s="22">
        <f>IF(OR($E53=0,R$78=0),0,IF(AND(R53="N/A",$G53&lt;&gt;""),0,$F53+SUMPRODUCT(($G$14:$G$71=$A53)*($E$14:$E$71=1)*(R$14:R$71="N/A")*$F$14:$F$71)))</f>
        <v/>
      </c>
      <c r="T53" s="22">
        <f>IF(R53="SI",S53,0)</f>
        <v/>
      </c>
      <c r="U53" s="21" t="n"/>
      <c r="V53" s="22">
        <f>IF(OR($E53=0,U$78=0),0,IF(AND(U53="N/A",$G53&lt;&gt;""),0,$F53+SUMPRODUCT(($G$14:$G$71=$A53)*($E$14:$E$71=1)*(U$14:U$71="N/A")*$F$14:$F$71)))</f>
        <v/>
      </c>
      <c r="W53" s="22">
        <f>IF(U53="SI",V53,0)</f>
        <v/>
      </c>
      <c r="X53" s="21" t="n"/>
      <c r="Y53" s="22">
        <f>IF(OR($E53=0,X$78=0),0,IF(AND(X53="N/A",$G53&lt;&gt;""),0,$F53+SUMPRODUCT(($G$14:$G$71=$A53)*($E$14:$E$71=1)*(X$14:X$71="N/A")*$F$14:$F$71)))</f>
        <v/>
      </c>
      <c r="Z53" s="22">
        <f>IF(X53="SI",Y53,0)</f>
        <v/>
      </c>
      <c r="AA53" s="22">
        <f>SUM(J53,M53,P53,S53,V53,Y53)</f>
        <v/>
      </c>
      <c r="AB53" s="22">
        <f>SUM(K53,N53,Q53,T53,W53,Z53)</f>
        <v/>
      </c>
      <c r="AC53" s="23">
        <f>IF(AA53=0,"",AB53/AA53)</f>
        <v/>
      </c>
      <c r="AD53" s="22">
        <f>CRITERIOS!Q41</f>
        <v/>
      </c>
      <c r="AE53" s="22">
        <f>IF(AND(E53=1,H53&lt;&gt;"X",((I53="N/A")+(L53="N/A")+(O53="N/A")+(R53="N/A")+(U53="N/A")+(X53="N/A"))&gt;0),"REVISAR","")</f>
        <v/>
      </c>
    </row>
    <row r="54">
      <c r="A54" s="22">
        <f>CRITERIOS!B42</f>
        <v/>
      </c>
      <c r="B54" s="22">
        <f>CRITERIOS!C42</f>
        <v/>
      </c>
      <c r="C54" s="8">
        <f>CRITERIOS!D42</f>
        <v/>
      </c>
      <c r="D54" s="22">
        <f>CRITERIOS!E42</f>
        <v/>
      </c>
      <c r="E54" s="22">
        <f>IFERROR(IF(AND(OR(CRITERIOS!F42="Todos",CRITERIOS!F42=$B$4),INDEX(CRITERIOS!H42:J42,MATCH($B$5,VARIABLES!$E$2:$E$4,0))=1),1,0),0)</f>
        <v/>
      </c>
      <c r="F54" s="22">
        <f>IFERROR(IF(E54=1,INDEX(CRITERIOS!K42:M42,MATCH($B$5,VARIABLES!$E$2:$E$4,0)),0),0)</f>
        <v/>
      </c>
      <c r="G54" s="22">
        <f>IF(CRITERIOS!N42="","",CRITERIOS!N42)</f>
        <v/>
      </c>
      <c r="H54" s="22">
        <f>IF(CRITERIOS!O42="","",CRITERIOS!O42)</f>
        <v/>
      </c>
      <c r="I54" s="21" t="n"/>
      <c r="J54" s="22">
        <f>IF(OR($E54=0,I$78=0),0,IF(AND(I54="N/A",$G54&lt;&gt;""),0,$F54+SUMPRODUCT(($G$14:$G$71=$A54)*($E$14:$E$71=1)*(I$14:I$71="N/A")*$F$14:$F$71)))</f>
        <v/>
      </c>
      <c r="K54" s="22">
        <f>IF(I54="SI",J54,0)</f>
        <v/>
      </c>
      <c r="L54" s="21" t="n"/>
      <c r="M54" s="22">
        <f>IF(OR($E54=0,L$78=0),0,IF(AND(L54="N/A",$G54&lt;&gt;""),0,$F54+SUMPRODUCT(($G$14:$G$71=$A54)*($E$14:$E$71=1)*(L$14:L$71="N/A")*$F$14:$F$71)))</f>
        <v/>
      </c>
      <c r="N54" s="22">
        <f>IF(L54="SI",M54,0)</f>
        <v/>
      </c>
      <c r="O54" s="21" t="n"/>
      <c r="P54" s="22">
        <f>IF(OR($E54=0,O$78=0),0,IF(AND(O54="N/A",$G54&lt;&gt;""),0,$F54+SUMPRODUCT(($G$14:$G$71=$A54)*($E$14:$E$71=1)*(O$14:O$71="N/A")*$F$14:$F$71)))</f>
        <v/>
      </c>
      <c r="Q54" s="22">
        <f>IF(O54="SI",P54,0)</f>
        <v/>
      </c>
      <c r="R54" s="21" t="n"/>
      <c r="S54" s="22">
        <f>IF(OR($E54=0,R$78=0),0,IF(AND(R54="N/A",$G54&lt;&gt;""),0,$F54+SUMPRODUCT(($G$14:$G$71=$A54)*($E$14:$E$71=1)*(R$14:R$71="N/A")*$F$14:$F$71)))</f>
        <v/>
      </c>
      <c r="T54" s="22">
        <f>IF(R54="SI",S54,0)</f>
        <v/>
      </c>
      <c r="U54" s="21" t="n"/>
      <c r="V54" s="22">
        <f>IF(OR($E54=0,U$78=0),0,IF(AND(U54="N/A",$G54&lt;&gt;""),0,$F54+SUMPRODUCT(($G$14:$G$71=$A54)*($E$14:$E$71=1)*(U$14:U$71="N/A")*$F$14:$F$71)))</f>
        <v/>
      </c>
      <c r="W54" s="22">
        <f>IF(U54="SI",V54,0)</f>
        <v/>
      </c>
      <c r="X54" s="21" t="n"/>
      <c r="Y54" s="22">
        <f>IF(OR($E54=0,X$78=0),0,IF(AND(X54="N/A",$G54&lt;&gt;""),0,$F54+SUMPRODUCT(($G$14:$G$71=$A54)*($E$14:$E$71=1)*(X$14:X$71="N/A")*$F$14:$F$71)))</f>
        <v/>
      </c>
      <c r="Z54" s="22">
        <f>IF(X54="SI",Y54,0)</f>
        <v/>
      </c>
      <c r="AA54" s="22">
        <f>SUM(J54,M54,P54,S54,V54,Y54)</f>
        <v/>
      </c>
      <c r="AB54" s="22">
        <f>SUM(K54,N54,Q54,T54,W54,Z54)</f>
        <v/>
      </c>
      <c r="AC54" s="23">
        <f>IF(AA54=0,"",AB54/AA54)</f>
        <v/>
      </c>
      <c r="AD54" s="22">
        <f>CRITERIOS!Q42</f>
        <v/>
      </c>
      <c r="AE54" s="22">
        <f>IF(AND(E54=1,H54&lt;&gt;"X",((I54="N/A")+(L54="N/A")+(O54="N/A")+(R54="N/A")+(U54="N/A")+(X54="N/A"))&gt;0),"REVISAR","")</f>
        <v/>
      </c>
    </row>
    <row r="55">
      <c r="A55" s="24">
        <f>CRITERIOS!B43</f>
        <v/>
      </c>
      <c r="B55" s="24">
        <f>CRITERIOS!C43</f>
        <v/>
      </c>
      <c r="C55" s="25">
        <f>CRITERIOS!D43</f>
        <v/>
      </c>
      <c r="D55" s="24">
        <f>CRITERIOS!E43</f>
        <v/>
      </c>
      <c r="E55" s="24">
        <f>IFERROR(IF(AND(OR(CRITERIOS!F43="Todos",CRITERIOS!F43=$B$4),INDEX(CRITERIOS!H43:J43,MATCH($B$5,VARIABLES!$E$2:$E$4,0))=1),1,0),0)</f>
        <v/>
      </c>
      <c r="F55" s="24">
        <f>IFERROR(IF(E55=1,INDEX(CRITERIOS!K43:M43,MATCH($B$5,VARIABLES!$E$2:$E$4,0)),0),0)</f>
        <v/>
      </c>
      <c r="G55" s="24">
        <f>IF(CRITERIOS!N43="","",CRITERIOS!N43)</f>
        <v/>
      </c>
      <c r="H55" s="24">
        <f>IF(CRITERIOS!O43="","",CRITERIOS!O43)</f>
        <v/>
      </c>
      <c r="I55" s="21" t="n"/>
      <c r="J55" s="22">
        <f>IF(OR($E55=0,I$78=0),0,IF(AND(I55="N/A",$G55&lt;&gt;""),0,$F55+SUMPRODUCT(($G$14:$G$71=$A55)*($E$14:$E$71=1)*(I$14:I$71="N/A")*$F$14:$F$71)))</f>
        <v/>
      </c>
      <c r="K55" s="22">
        <f>IF(I55="SI",J55,0)</f>
        <v/>
      </c>
      <c r="L55" s="21" t="n"/>
      <c r="M55" s="22">
        <f>IF(OR($E55=0,L$78=0),0,IF(AND(L55="N/A",$G55&lt;&gt;""),0,$F55+SUMPRODUCT(($G$14:$G$71=$A55)*($E$14:$E$71=1)*(L$14:L$71="N/A")*$F$14:$F$71)))</f>
        <v/>
      </c>
      <c r="N55" s="22">
        <f>IF(L55="SI",M55,0)</f>
        <v/>
      </c>
      <c r="O55" s="21" t="n"/>
      <c r="P55" s="22">
        <f>IF(OR($E55=0,O$78=0),0,IF(AND(O55="N/A",$G55&lt;&gt;""),0,$F55+SUMPRODUCT(($G$14:$G$71=$A55)*($E$14:$E$71=1)*(O$14:O$71="N/A")*$F$14:$F$71)))</f>
        <v/>
      </c>
      <c r="Q55" s="22">
        <f>IF(O55="SI",P55,0)</f>
        <v/>
      </c>
      <c r="R55" s="21" t="n"/>
      <c r="S55" s="22">
        <f>IF(OR($E55=0,R$78=0),0,IF(AND(R55="N/A",$G55&lt;&gt;""),0,$F55+SUMPRODUCT(($G$14:$G$71=$A55)*($E$14:$E$71=1)*(R$14:R$71="N/A")*$F$14:$F$71)))</f>
        <v/>
      </c>
      <c r="T55" s="22">
        <f>IF(R55="SI",S55,0)</f>
        <v/>
      </c>
      <c r="U55" s="21" t="n"/>
      <c r="V55" s="22">
        <f>IF(OR($E55=0,U$78=0),0,IF(AND(U55="N/A",$G55&lt;&gt;""),0,$F55+SUMPRODUCT(($G$14:$G$71=$A55)*($E$14:$E$71=1)*(U$14:U$71="N/A")*$F$14:$F$71)))</f>
        <v/>
      </c>
      <c r="W55" s="22">
        <f>IF(U55="SI",V55,0)</f>
        <v/>
      </c>
      <c r="X55" s="21" t="n"/>
      <c r="Y55" s="22">
        <f>IF(OR($E55=0,X$78=0),0,IF(AND(X55="N/A",$G55&lt;&gt;""),0,$F55+SUMPRODUCT(($G$14:$G$71=$A55)*($E$14:$E$71=1)*(X$14:X$71="N/A")*$F$14:$F$71)))</f>
        <v/>
      </c>
      <c r="Z55" s="22">
        <f>IF(X55="SI",Y55,0)</f>
        <v/>
      </c>
      <c r="AA55" s="22">
        <f>SUM(J55,M55,P55,S55,V55,Y55)</f>
        <v/>
      </c>
      <c r="AB55" s="22">
        <f>SUM(K55,N55,Q55,T55,W55,Z55)</f>
        <v/>
      </c>
      <c r="AC55" s="23">
        <f>IF(AA55=0,"",AB55/AA55)</f>
        <v/>
      </c>
      <c r="AD55" s="22">
        <f>CRITERIOS!Q43</f>
        <v/>
      </c>
      <c r="AE55" s="22">
        <f>IF(AND(E55=1,H55&lt;&gt;"X",((I55="N/A")+(L55="N/A")+(O55="N/A")+(R55="N/A")+(U55="N/A")+(X55="N/A"))&gt;0),"REVISAR","")</f>
        <v/>
      </c>
    </row>
    <row r="56">
      <c r="A56" s="24">
        <f>CRITERIOS!B44</f>
        <v/>
      </c>
      <c r="B56" s="24">
        <f>CRITERIOS!C44</f>
        <v/>
      </c>
      <c r="C56" s="25">
        <f>CRITERIOS!D44</f>
        <v/>
      </c>
      <c r="D56" s="24">
        <f>CRITERIOS!E44</f>
        <v/>
      </c>
      <c r="E56" s="24">
        <f>IFERROR(IF(AND(OR(CRITERIOS!F44="Todos",CRITERIOS!F44=$B$4),INDEX(CRITERIOS!H44:J44,MATCH($B$5,VARIABLES!$E$2:$E$4,0))=1),1,0),0)</f>
        <v/>
      </c>
      <c r="F56" s="24">
        <f>IFERROR(IF(E56=1,INDEX(CRITERIOS!K44:M44,MATCH($B$5,VARIABLES!$E$2:$E$4,0)),0),0)</f>
        <v/>
      </c>
      <c r="G56" s="24">
        <f>IF(CRITERIOS!N44="","",CRITERIOS!N44)</f>
        <v/>
      </c>
      <c r="H56" s="24">
        <f>IF(CRITERIOS!O44="","",CRITERIOS!O44)</f>
        <v/>
      </c>
      <c r="I56" s="21" t="n"/>
      <c r="J56" s="22">
        <f>IF(OR($E56=0,I$78=0),0,IF(AND(I56="N/A",$G56&lt;&gt;""),0,$F56+SUMPRODUCT(($G$14:$G$71=$A56)*($E$14:$E$71=1)*(I$14:I$71="N/A")*$F$14:$F$71)))</f>
        <v/>
      </c>
      <c r="K56" s="22">
        <f>IF(I56="SI",J56,0)</f>
        <v/>
      </c>
      <c r="L56" s="21" t="n"/>
      <c r="M56" s="22">
        <f>IF(OR($E56=0,L$78=0),0,IF(AND(L56="N/A",$G56&lt;&gt;""),0,$F56+SUMPRODUCT(($G$14:$G$71=$A56)*($E$14:$E$71=1)*(L$14:L$71="N/A")*$F$14:$F$71)))</f>
        <v/>
      </c>
      <c r="N56" s="22">
        <f>IF(L56="SI",M56,0)</f>
        <v/>
      </c>
      <c r="O56" s="21" t="n"/>
      <c r="P56" s="22">
        <f>IF(OR($E56=0,O$78=0),0,IF(AND(O56="N/A",$G56&lt;&gt;""),0,$F56+SUMPRODUCT(($G$14:$G$71=$A56)*($E$14:$E$71=1)*(O$14:O$71="N/A")*$F$14:$F$71)))</f>
        <v/>
      </c>
      <c r="Q56" s="22">
        <f>IF(O56="SI",P56,0)</f>
        <v/>
      </c>
      <c r="R56" s="21" t="n"/>
      <c r="S56" s="22">
        <f>IF(OR($E56=0,R$78=0),0,IF(AND(R56="N/A",$G56&lt;&gt;""),0,$F56+SUMPRODUCT(($G$14:$G$71=$A56)*($E$14:$E$71=1)*(R$14:R$71="N/A")*$F$14:$F$71)))</f>
        <v/>
      </c>
      <c r="T56" s="22">
        <f>IF(R56="SI",S56,0)</f>
        <v/>
      </c>
      <c r="U56" s="21" t="n"/>
      <c r="V56" s="22">
        <f>IF(OR($E56=0,U$78=0),0,IF(AND(U56="N/A",$G56&lt;&gt;""),0,$F56+SUMPRODUCT(($G$14:$G$71=$A56)*($E$14:$E$71=1)*(U$14:U$71="N/A")*$F$14:$F$71)))</f>
        <v/>
      </c>
      <c r="W56" s="22">
        <f>IF(U56="SI",V56,0)</f>
        <v/>
      </c>
      <c r="X56" s="21" t="n"/>
      <c r="Y56" s="22">
        <f>IF(OR($E56=0,X$78=0),0,IF(AND(X56="N/A",$G56&lt;&gt;""),0,$F56+SUMPRODUCT(($G$14:$G$71=$A56)*($E$14:$E$71=1)*(X$14:X$71="N/A")*$F$14:$F$71)))</f>
        <v/>
      </c>
      <c r="Z56" s="22">
        <f>IF(X56="SI",Y56,0)</f>
        <v/>
      </c>
      <c r="AA56" s="22">
        <f>SUM(J56,M56,P56,S56,V56,Y56)</f>
        <v/>
      </c>
      <c r="AB56" s="22">
        <f>SUM(K56,N56,Q56,T56,W56,Z56)</f>
        <v/>
      </c>
      <c r="AC56" s="23">
        <f>IF(AA56=0,"",AB56/AA56)</f>
        <v/>
      </c>
      <c r="AD56" s="22">
        <f>CRITERIOS!Q44</f>
        <v/>
      </c>
      <c r="AE56" s="22">
        <f>IF(AND(E56=1,H56&lt;&gt;"X",((I56="N/A")+(L56="N/A")+(O56="N/A")+(R56="N/A")+(U56="N/A")+(X56="N/A"))&gt;0),"REVISAR","")</f>
        <v/>
      </c>
    </row>
    <row r="57">
      <c r="A57" s="24">
        <f>CRITERIOS!B45</f>
        <v/>
      </c>
      <c r="B57" s="24">
        <f>CRITERIOS!C45</f>
        <v/>
      </c>
      <c r="C57" s="25">
        <f>CRITERIOS!D45</f>
        <v/>
      </c>
      <c r="D57" s="24">
        <f>CRITERIOS!E45</f>
        <v/>
      </c>
      <c r="E57" s="24">
        <f>IFERROR(IF(AND(OR(CRITERIOS!F45="Todos",CRITERIOS!F45=$B$4),INDEX(CRITERIOS!H45:J45,MATCH($B$5,VARIABLES!$E$2:$E$4,0))=1),1,0),0)</f>
        <v/>
      </c>
      <c r="F57" s="24">
        <f>IFERROR(IF(E57=1,INDEX(CRITERIOS!K45:M45,MATCH($B$5,VARIABLES!$E$2:$E$4,0)),0),0)</f>
        <v/>
      </c>
      <c r="G57" s="24">
        <f>IF(CRITERIOS!N45="","",CRITERIOS!N45)</f>
        <v/>
      </c>
      <c r="H57" s="24">
        <f>IF(CRITERIOS!O45="","",CRITERIOS!O45)</f>
        <v/>
      </c>
      <c r="I57" s="21" t="n"/>
      <c r="J57" s="22">
        <f>IF(OR($E57=0,I$78=0),0,IF(AND(I57="N/A",$G57&lt;&gt;""),0,$F57+SUMPRODUCT(($G$14:$G$71=$A57)*($E$14:$E$71=1)*(I$14:I$71="N/A")*$F$14:$F$71)))</f>
        <v/>
      </c>
      <c r="K57" s="22">
        <f>IF(I57="SI",J57,0)</f>
        <v/>
      </c>
      <c r="L57" s="21" t="n"/>
      <c r="M57" s="22">
        <f>IF(OR($E57=0,L$78=0),0,IF(AND(L57="N/A",$G57&lt;&gt;""),0,$F57+SUMPRODUCT(($G$14:$G$71=$A57)*($E$14:$E$71=1)*(L$14:L$71="N/A")*$F$14:$F$71)))</f>
        <v/>
      </c>
      <c r="N57" s="22">
        <f>IF(L57="SI",M57,0)</f>
        <v/>
      </c>
      <c r="O57" s="21" t="n"/>
      <c r="P57" s="22">
        <f>IF(OR($E57=0,O$78=0),0,IF(AND(O57="N/A",$G57&lt;&gt;""),0,$F57+SUMPRODUCT(($G$14:$G$71=$A57)*($E$14:$E$71=1)*(O$14:O$71="N/A")*$F$14:$F$71)))</f>
        <v/>
      </c>
      <c r="Q57" s="22">
        <f>IF(O57="SI",P57,0)</f>
        <v/>
      </c>
      <c r="R57" s="21" t="n"/>
      <c r="S57" s="22">
        <f>IF(OR($E57=0,R$78=0),0,IF(AND(R57="N/A",$G57&lt;&gt;""),0,$F57+SUMPRODUCT(($G$14:$G$71=$A57)*($E$14:$E$71=1)*(R$14:R$71="N/A")*$F$14:$F$71)))</f>
        <v/>
      </c>
      <c r="T57" s="22">
        <f>IF(R57="SI",S57,0)</f>
        <v/>
      </c>
      <c r="U57" s="21" t="n"/>
      <c r="V57" s="22">
        <f>IF(OR($E57=0,U$78=0),0,IF(AND(U57="N/A",$G57&lt;&gt;""),0,$F57+SUMPRODUCT(($G$14:$G$71=$A57)*($E$14:$E$71=1)*(U$14:U$71="N/A")*$F$14:$F$71)))</f>
        <v/>
      </c>
      <c r="W57" s="22">
        <f>IF(U57="SI",V57,0)</f>
        <v/>
      </c>
      <c r="X57" s="21" t="n"/>
      <c r="Y57" s="22">
        <f>IF(OR($E57=0,X$78=0),0,IF(AND(X57="N/A",$G57&lt;&gt;""),0,$F57+SUMPRODUCT(($G$14:$G$71=$A57)*($E$14:$E$71=1)*(X$14:X$71="N/A")*$F$14:$F$71)))</f>
        <v/>
      </c>
      <c r="Z57" s="22">
        <f>IF(X57="SI",Y57,0)</f>
        <v/>
      </c>
      <c r="AA57" s="22">
        <f>SUM(J57,M57,P57,S57,V57,Y57)</f>
        <v/>
      </c>
      <c r="AB57" s="22">
        <f>SUM(K57,N57,Q57,T57,W57,Z57)</f>
        <v/>
      </c>
      <c r="AC57" s="23">
        <f>IF(AA57=0,"",AB57/AA57)</f>
        <v/>
      </c>
      <c r="AD57" s="22">
        <f>CRITERIOS!Q45</f>
        <v/>
      </c>
      <c r="AE57" s="22">
        <f>IF(AND(E57=1,H57&lt;&gt;"X",((I57="N/A")+(L57="N/A")+(O57="N/A")+(R57="N/A")+(U57="N/A")+(X57="N/A"))&gt;0),"REVISAR","")</f>
        <v/>
      </c>
    </row>
    <row r="58">
      <c r="A58" s="24">
        <f>CRITERIOS!B46</f>
        <v/>
      </c>
      <c r="B58" s="24">
        <f>CRITERIOS!C46</f>
        <v/>
      </c>
      <c r="C58" s="25">
        <f>CRITERIOS!D46</f>
        <v/>
      </c>
      <c r="D58" s="24">
        <f>CRITERIOS!E46</f>
        <v/>
      </c>
      <c r="E58" s="24">
        <f>IFERROR(IF(AND(OR(CRITERIOS!F46="Todos",CRITERIOS!F46=$B$4),INDEX(CRITERIOS!H46:J46,MATCH($B$5,VARIABLES!$E$2:$E$4,0))=1),1,0),0)</f>
        <v/>
      </c>
      <c r="F58" s="24">
        <f>IFERROR(IF(E58=1,INDEX(CRITERIOS!K46:M46,MATCH($B$5,VARIABLES!$E$2:$E$4,0)),0),0)</f>
        <v/>
      </c>
      <c r="G58" s="24">
        <f>IF(CRITERIOS!N46="","",CRITERIOS!N46)</f>
        <v/>
      </c>
      <c r="H58" s="24">
        <f>IF(CRITERIOS!O46="","",CRITERIOS!O46)</f>
        <v/>
      </c>
      <c r="I58" s="21" t="n"/>
      <c r="J58" s="22">
        <f>IF(OR($E58=0,I$78=0),0,IF(AND(I58="N/A",$G58&lt;&gt;""),0,$F58+SUMPRODUCT(($G$14:$G$71=$A58)*($E$14:$E$71=1)*(I$14:I$71="N/A")*$F$14:$F$71)))</f>
        <v/>
      </c>
      <c r="K58" s="22">
        <f>IF(I58="SI",J58,0)</f>
        <v/>
      </c>
      <c r="L58" s="21" t="n"/>
      <c r="M58" s="22">
        <f>IF(OR($E58=0,L$78=0),0,IF(AND(L58="N/A",$G58&lt;&gt;""),0,$F58+SUMPRODUCT(($G$14:$G$71=$A58)*($E$14:$E$71=1)*(L$14:L$71="N/A")*$F$14:$F$71)))</f>
        <v/>
      </c>
      <c r="N58" s="22">
        <f>IF(L58="SI",M58,0)</f>
        <v/>
      </c>
      <c r="O58" s="21" t="n"/>
      <c r="P58" s="22">
        <f>IF(OR($E58=0,O$78=0),0,IF(AND(O58="N/A",$G58&lt;&gt;""),0,$F58+SUMPRODUCT(($G$14:$G$71=$A58)*($E$14:$E$71=1)*(O$14:O$71="N/A")*$F$14:$F$71)))</f>
        <v/>
      </c>
      <c r="Q58" s="22">
        <f>IF(O58="SI",P58,0)</f>
        <v/>
      </c>
      <c r="R58" s="21" t="n"/>
      <c r="S58" s="22">
        <f>IF(OR($E58=0,R$78=0),0,IF(AND(R58="N/A",$G58&lt;&gt;""),0,$F58+SUMPRODUCT(($G$14:$G$71=$A58)*($E$14:$E$71=1)*(R$14:R$71="N/A")*$F$14:$F$71)))</f>
        <v/>
      </c>
      <c r="T58" s="22">
        <f>IF(R58="SI",S58,0)</f>
        <v/>
      </c>
      <c r="U58" s="21" t="n"/>
      <c r="V58" s="22">
        <f>IF(OR($E58=0,U$78=0),0,IF(AND(U58="N/A",$G58&lt;&gt;""),0,$F58+SUMPRODUCT(($G$14:$G$71=$A58)*($E$14:$E$71=1)*(U$14:U$71="N/A")*$F$14:$F$71)))</f>
        <v/>
      </c>
      <c r="W58" s="22">
        <f>IF(U58="SI",V58,0)</f>
        <v/>
      </c>
      <c r="X58" s="21" t="n"/>
      <c r="Y58" s="22">
        <f>IF(OR($E58=0,X$78=0),0,IF(AND(X58="N/A",$G58&lt;&gt;""),0,$F58+SUMPRODUCT(($G$14:$G$71=$A58)*($E$14:$E$71=1)*(X$14:X$71="N/A")*$F$14:$F$71)))</f>
        <v/>
      </c>
      <c r="Z58" s="22">
        <f>IF(X58="SI",Y58,0)</f>
        <v/>
      </c>
      <c r="AA58" s="22">
        <f>SUM(J58,M58,P58,S58,V58,Y58)</f>
        <v/>
      </c>
      <c r="AB58" s="22">
        <f>SUM(K58,N58,Q58,T58,W58,Z58)</f>
        <v/>
      </c>
      <c r="AC58" s="23">
        <f>IF(AA58=0,"",AB58/AA58)</f>
        <v/>
      </c>
      <c r="AD58" s="22">
        <f>CRITERIOS!Q46</f>
        <v/>
      </c>
      <c r="AE58" s="22">
        <f>IF(AND(E58=1,H58&lt;&gt;"X",((I58="N/A")+(L58="N/A")+(O58="N/A")+(R58="N/A")+(U58="N/A")+(X58="N/A"))&gt;0),"REVISAR","")</f>
        <v/>
      </c>
    </row>
    <row r="59">
      <c r="A59" s="24">
        <f>CRITERIOS!B47</f>
        <v/>
      </c>
      <c r="B59" s="24">
        <f>CRITERIOS!C47</f>
        <v/>
      </c>
      <c r="C59" s="25">
        <f>CRITERIOS!D47</f>
        <v/>
      </c>
      <c r="D59" s="24">
        <f>CRITERIOS!E47</f>
        <v/>
      </c>
      <c r="E59" s="24">
        <f>IFERROR(IF(AND(OR(CRITERIOS!F47="Todos",CRITERIOS!F47=$B$4),INDEX(CRITERIOS!H47:J47,MATCH($B$5,VARIABLES!$E$2:$E$4,0))=1),1,0),0)</f>
        <v/>
      </c>
      <c r="F59" s="24">
        <f>IFERROR(IF(E59=1,INDEX(CRITERIOS!K47:M47,MATCH($B$5,VARIABLES!$E$2:$E$4,0)),0),0)</f>
        <v/>
      </c>
      <c r="G59" s="24">
        <f>IF(CRITERIOS!N47="","",CRITERIOS!N47)</f>
        <v/>
      </c>
      <c r="H59" s="24">
        <f>IF(CRITERIOS!O47="","",CRITERIOS!O47)</f>
        <v/>
      </c>
      <c r="I59" s="21" t="n"/>
      <c r="J59" s="22">
        <f>IF(OR($E59=0,I$78=0),0,IF(AND(I59="N/A",$G59&lt;&gt;""),0,$F59+SUMPRODUCT(($G$14:$G$71=$A59)*($E$14:$E$71=1)*(I$14:I$71="N/A")*$F$14:$F$71)))</f>
        <v/>
      </c>
      <c r="K59" s="22">
        <f>IF(I59="SI",J59,0)</f>
        <v/>
      </c>
      <c r="L59" s="21" t="n"/>
      <c r="M59" s="22">
        <f>IF(OR($E59=0,L$78=0),0,IF(AND(L59="N/A",$G59&lt;&gt;""),0,$F59+SUMPRODUCT(($G$14:$G$71=$A59)*($E$14:$E$71=1)*(L$14:L$71="N/A")*$F$14:$F$71)))</f>
        <v/>
      </c>
      <c r="N59" s="22">
        <f>IF(L59="SI",M59,0)</f>
        <v/>
      </c>
      <c r="O59" s="21" t="n"/>
      <c r="P59" s="22">
        <f>IF(OR($E59=0,O$78=0),0,IF(AND(O59="N/A",$G59&lt;&gt;""),0,$F59+SUMPRODUCT(($G$14:$G$71=$A59)*($E$14:$E$71=1)*(O$14:O$71="N/A")*$F$14:$F$71)))</f>
        <v/>
      </c>
      <c r="Q59" s="22">
        <f>IF(O59="SI",P59,0)</f>
        <v/>
      </c>
      <c r="R59" s="21" t="n"/>
      <c r="S59" s="22">
        <f>IF(OR($E59=0,R$78=0),0,IF(AND(R59="N/A",$G59&lt;&gt;""),0,$F59+SUMPRODUCT(($G$14:$G$71=$A59)*($E$14:$E$71=1)*(R$14:R$71="N/A")*$F$14:$F$71)))</f>
        <v/>
      </c>
      <c r="T59" s="22">
        <f>IF(R59="SI",S59,0)</f>
        <v/>
      </c>
      <c r="U59" s="21" t="n"/>
      <c r="V59" s="22">
        <f>IF(OR($E59=0,U$78=0),0,IF(AND(U59="N/A",$G59&lt;&gt;""),0,$F59+SUMPRODUCT(($G$14:$G$71=$A59)*($E$14:$E$71=1)*(U$14:U$71="N/A")*$F$14:$F$71)))</f>
        <v/>
      </c>
      <c r="W59" s="22">
        <f>IF(U59="SI",V59,0)</f>
        <v/>
      </c>
      <c r="X59" s="21" t="n"/>
      <c r="Y59" s="22">
        <f>IF(OR($E59=0,X$78=0),0,IF(AND(X59="N/A",$G59&lt;&gt;""),0,$F59+SUMPRODUCT(($G$14:$G$71=$A59)*($E$14:$E$71=1)*(X$14:X$71="N/A")*$F$14:$F$71)))</f>
        <v/>
      </c>
      <c r="Z59" s="22">
        <f>IF(X59="SI",Y59,0)</f>
        <v/>
      </c>
      <c r="AA59" s="22">
        <f>SUM(J59,M59,P59,S59,V59,Y59)</f>
        <v/>
      </c>
      <c r="AB59" s="22">
        <f>SUM(K59,N59,Q59,T59,W59,Z59)</f>
        <v/>
      </c>
      <c r="AC59" s="23">
        <f>IF(AA59=0,"",AB59/AA59)</f>
        <v/>
      </c>
      <c r="AD59" s="22">
        <f>CRITERIOS!Q47</f>
        <v/>
      </c>
      <c r="AE59" s="22">
        <f>IF(AND(E59=1,H59&lt;&gt;"X",((I59="N/A")+(L59="N/A")+(O59="N/A")+(R59="N/A")+(U59="N/A")+(X59="N/A"))&gt;0),"REVISAR","")</f>
        <v/>
      </c>
    </row>
    <row r="60">
      <c r="A60" s="24">
        <f>CRITERIOS!B48</f>
        <v/>
      </c>
      <c r="B60" s="24">
        <f>CRITERIOS!C48</f>
        <v/>
      </c>
      <c r="C60" s="25">
        <f>CRITERIOS!D48</f>
        <v/>
      </c>
      <c r="D60" s="24">
        <f>CRITERIOS!E48</f>
        <v/>
      </c>
      <c r="E60" s="24">
        <f>IFERROR(IF(AND(OR(CRITERIOS!F48="Todos",CRITERIOS!F48=$B$4),INDEX(CRITERIOS!H48:J48,MATCH($B$5,VARIABLES!$E$2:$E$4,0))=1),1,0),0)</f>
        <v/>
      </c>
      <c r="F60" s="24">
        <f>IFERROR(IF(E60=1,INDEX(CRITERIOS!K48:M48,MATCH($B$5,VARIABLES!$E$2:$E$4,0)),0),0)</f>
        <v/>
      </c>
      <c r="G60" s="24">
        <f>IF(CRITERIOS!N48="","",CRITERIOS!N48)</f>
        <v/>
      </c>
      <c r="H60" s="24">
        <f>IF(CRITERIOS!O48="","",CRITERIOS!O48)</f>
        <v/>
      </c>
      <c r="I60" s="21" t="n"/>
      <c r="J60" s="22">
        <f>IF(OR($E60=0,I$78=0),0,IF(AND(I60="N/A",$G60&lt;&gt;""),0,$F60+SUMPRODUCT(($G$14:$G$71=$A60)*($E$14:$E$71=1)*(I$14:I$71="N/A")*$F$14:$F$71)))</f>
        <v/>
      </c>
      <c r="K60" s="22">
        <f>IF(I60="SI",J60,0)</f>
        <v/>
      </c>
      <c r="L60" s="21" t="n"/>
      <c r="M60" s="22">
        <f>IF(OR($E60=0,L$78=0),0,IF(AND(L60="N/A",$G60&lt;&gt;""),0,$F60+SUMPRODUCT(($G$14:$G$71=$A60)*($E$14:$E$71=1)*(L$14:L$71="N/A")*$F$14:$F$71)))</f>
        <v/>
      </c>
      <c r="N60" s="22">
        <f>IF(L60="SI",M60,0)</f>
        <v/>
      </c>
      <c r="O60" s="21" t="n"/>
      <c r="P60" s="22">
        <f>IF(OR($E60=0,O$78=0),0,IF(AND(O60="N/A",$G60&lt;&gt;""),0,$F60+SUMPRODUCT(($G$14:$G$71=$A60)*($E$14:$E$71=1)*(O$14:O$71="N/A")*$F$14:$F$71)))</f>
        <v/>
      </c>
      <c r="Q60" s="22">
        <f>IF(O60="SI",P60,0)</f>
        <v/>
      </c>
      <c r="R60" s="21" t="n"/>
      <c r="S60" s="22">
        <f>IF(OR($E60=0,R$78=0),0,IF(AND(R60="N/A",$G60&lt;&gt;""),0,$F60+SUMPRODUCT(($G$14:$G$71=$A60)*($E$14:$E$71=1)*(R$14:R$71="N/A")*$F$14:$F$71)))</f>
        <v/>
      </c>
      <c r="T60" s="22">
        <f>IF(R60="SI",S60,0)</f>
        <v/>
      </c>
      <c r="U60" s="21" t="n"/>
      <c r="V60" s="22">
        <f>IF(OR($E60=0,U$78=0),0,IF(AND(U60="N/A",$G60&lt;&gt;""),0,$F60+SUMPRODUCT(($G$14:$G$71=$A60)*($E$14:$E$71=1)*(U$14:U$71="N/A")*$F$14:$F$71)))</f>
        <v/>
      </c>
      <c r="W60" s="22">
        <f>IF(U60="SI",V60,0)</f>
        <v/>
      </c>
      <c r="X60" s="21" t="n"/>
      <c r="Y60" s="22">
        <f>IF(OR($E60=0,X$78=0),0,IF(AND(X60="N/A",$G60&lt;&gt;""),0,$F60+SUMPRODUCT(($G$14:$G$71=$A60)*($E$14:$E$71=1)*(X$14:X$71="N/A")*$F$14:$F$71)))</f>
        <v/>
      </c>
      <c r="Z60" s="22">
        <f>IF(X60="SI",Y60,0)</f>
        <v/>
      </c>
      <c r="AA60" s="22">
        <f>SUM(J60,M60,P60,S60,V60,Y60)</f>
        <v/>
      </c>
      <c r="AB60" s="22">
        <f>SUM(K60,N60,Q60,T60,W60,Z60)</f>
        <v/>
      </c>
      <c r="AC60" s="23">
        <f>IF(AA60=0,"",AB60/AA60)</f>
        <v/>
      </c>
      <c r="AD60" s="22">
        <f>CRITERIOS!Q48</f>
        <v/>
      </c>
      <c r="AE60" s="22">
        <f>IF(AND(E60=1,H60&lt;&gt;"X",((I60="N/A")+(L60="N/A")+(O60="N/A")+(R60="N/A")+(U60="N/A")+(X60="N/A"))&gt;0),"REVISAR","")</f>
        <v/>
      </c>
    </row>
    <row r="61">
      <c r="A61" s="22">
        <f>CRITERIOS!B49</f>
        <v/>
      </c>
      <c r="B61" s="22">
        <f>CRITERIOS!C49</f>
        <v/>
      </c>
      <c r="C61" s="8">
        <f>CRITERIOS!D49</f>
        <v/>
      </c>
      <c r="D61" s="22">
        <f>CRITERIOS!E49</f>
        <v/>
      </c>
      <c r="E61" s="22">
        <f>IFERROR(IF(AND(OR(CRITERIOS!F49="Todos",CRITERIOS!F49=$B$4),INDEX(CRITERIOS!H49:J49,MATCH($B$5,VARIABLES!$E$2:$E$4,0))=1),1,0),0)</f>
        <v/>
      </c>
      <c r="F61" s="22">
        <f>IFERROR(IF(E61=1,INDEX(CRITERIOS!K49:M49,MATCH($B$5,VARIABLES!$E$2:$E$4,0)),0),0)</f>
        <v/>
      </c>
      <c r="G61" s="22">
        <f>IF(CRITERIOS!N49="","",CRITERIOS!N49)</f>
        <v/>
      </c>
      <c r="H61" s="22">
        <f>IF(CRITERIOS!O49="","",CRITERIOS!O49)</f>
        <v/>
      </c>
      <c r="I61" s="21" t="n"/>
      <c r="J61" s="22">
        <f>IF(OR($E61=0,I$78=0),0,IF(AND(I61="N/A",$G61&lt;&gt;""),0,$F61+SUMPRODUCT(($G$14:$G$71=$A61)*($E$14:$E$71=1)*(I$14:I$71="N/A")*$F$14:$F$71)))</f>
        <v/>
      </c>
      <c r="K61" s="22">
        <f>IF(I61="SI",J61,0)</f>
        <v/>
      </c>
      <c r="L61" s="21" t="n"/>
      <c r="M61" s="22">
        <f>IF(OR($E61=0,L$78=0),0,IF(AND(L61="N/A",$G61&lt;&gt;""),0,$F61+SUMPRODUCT(($G$14:$G$71=$A61)*($E$14:$E$71=1)*(L$14:L$71="N/A")*$F$14:$F$71)))</f>
        <v/>
      </c>
      <c r="N61" s="22">
        <f>IF(L61="SI",M61,0)</f>
        <v/>
      </c>
      <c r="O61" s="21" t="n"/>
      <c r="P61" s="22">
        <f>IF(OR($E61=0,O$78=0),0,IF(AND(O61="N/A",$G61&lt;&gt;""),0,$F61+SUMPRODUCT(($G$14:$G$71=$A61)*($E$14:$E$71=1)*(O$14:O$71="N/A")*$F$14:$F$71)))</f>
        <v/>
      </c>
      <c r="Q61" s="22">
        <f>IF(O61="SI",P61,0)</f>
        <v/>
      </c>
      <c r="R61" s="21" t="n"/>
      <c r="S61" s="22">
        <f>IF(OR($E61=0,R$78=0),0,IF(AND(R61="N/A",$G61&lt;&gt;""),0,$F61+SUMPRODUCT(($G$14:$G$71=$A61)*($E$14:$E$71=1)*(R$14:R$71="N/A")*$F$14:$F$71)))</f>
        <v/>
      </c>
      <c r="T61" s="22">
        <f>IF(R61="SI",S61,0)</f>
        <v/>
      </c>
      <c r="U61" s="21" t="n"/>
      <c r="V61" s="22">
        <f>IF(OR($E61=0,U$78=0),0,IF(AND(U61="N/A",$G61&lt;&gt;""),0,$F61+SUMPRODUCT(($G$14:$G$71=$A61)*($E$14:$E$71=1)*(U$14:U$71="N/A")*$F$14:$F$71)))</f>
        <v/>
      </c>
      <c r="W61" s="22">
        <f>IF(U61="SI",V61,0)</f>
        <v/>
      </c>
      <c r="X61" s="21" t="n"/>
      <c r="Y61" s="22">
        <f>IF(OR($E61=0,X$78=0),0,IF(AND(X61="N/A",$G61&lt;&gt;""),0,$F61+SUMPRODUCT(($G$14:$G$71=$A61)*($E$14:$E$71=1)*(X$14:X$71="N/A")*$F$14:$F$71)))</f>
        <v/>
      </c>
      <c r="Z61" s="22">
        <f>IF(X61="SI",Y61,0)</f>
        <v/>
      </c>
      <c r="AA61" s="22">
        <f>SUM(J61,M61,P61,S61,V61,Y61)</f>
        <v/>
      </c>
      <c r="AB61" s="22">
        <f>SUM(K61,N61,Q61,T61,W61,Z61)</f>
        <v/>
      </c>
      <c r="AC61" s="23">
        <f>IF(AA61=0,"",AB61/AA61)</f>
        <v/>
      </c>
      <c r="AD61" s="22">
        <f>CRITERIOS!Q49</f>
        <v/>
      </c>
      <c r="AE61" s="22">
        <f>IF(AND(E61=1,H61&lt;&gt;"X",((I61="N/A")+(L61="N/A")+(O61="N/A")+(R61="N/A")+(U61="N/A")+(X61="N/A"))&gt;0),"REVISAR","")</f>
        <v/>
      </c>
    </row>
    <row r="62">
      <c r="A62" s="24">
        <f>CRITERIOS!B50</f>
        <v/>
      </c>
      <c r="B62" s="24">
        <f>CRITERIOS!C50</f>
        <v/>
      </c>
      <c r="C62" s="25">
        <f>CRITERIOS!D50</f>
        <v/>
      </c>
      <c r="D62" s="24">
        <f>CRITERIOS!E50</f>
        <v/>
      </c>
      <c r="E62" s="24">
        <f>IFERROR(IF(AND(OR(CRITERIOS!F50="Todos",CRITERIOS!F50=$B$4),INDEX(CRITERIOS!H50:J50,MATCH($B$5,VARIABLES!$E$2:$E$4,0))=1),1,0),0)</f>
        <v/>
      </c>
      <c r="F62" s="24">
        <f>IFERROR(IF(E62=1,INDEX(CRITERIOS!K50:M50,MATCH($B$5,VARIABLES!$E$2:$E$4,0)),0),0)</f>
        <v/>
      </c>
      <c r="G62" s="24">
        <f>IF(CRITERIOS!N50="","",CRITERIOS!N50)</f>
        <v/>
      </c>
      <c r="H62" s="24">
        <f>IF(CRITERIOS!O50="","",CRITERIOS!O50)</f>
        <v/>
      </c>
      <c r="I62" s="21" t="n"/>
      <c r="J62" s="22">
        <f>IF(OR($E62=0,I$78=0),0,IF(AND(I62="N/A",$G62&lt;&gt;""),0,$F62+SUMPRODUCT(($G$14:$G$71=$A62)*($E$14:$E$71=1)*(I$14:I$71="N/A")*$F$14:$F$71)))</f>
        <v/>
      </c>
      <c r="K62" s="22">
        <f>IF(I62="SI",J62,0)</f>
        <v/>
      </c>
      <c r="L62" s="21" t="n"/>
      <c r="M62" s="22">
        <f>IF(OR($E62=0,L$78=0),0,IF(AND(L62="N/A",$G62&lt;&gt;""),0,$F62+SUMPRODUCT(($G$14:$G$71=$A62)*($E$14:$E$71=1)*(L$14:L$71="N/A")*$F$14:$F$71)))</f>
        <v/>
      </c>
      <c r="N62" s="22">
        <f>IF(L62="SI",M62,0)</f>
        <v/>
      </c>
      <c r="O62" s="21" t="n"/>
      <c r="P62" s="22">
        <f>IF(OR($E62=0,O$78=0),0,IF(AND(O62="N/A",$G62&lt;&gt;""),0,$F62+SUMPRODUCT(($G$14:$G$71=$A62)*($E$14:$E$71=1)*(O$14:O$71="N/A")*$F$14:$F$71)))</f>
        <v/>
      </c>
      <c r="Q62" s="22">
        <f>IF(O62="SI",P62,0)</f>
        <v/>
      </c>
      <c r="R62" s="21" t="n"/>
      <c r="S62" s="22">
        <f>IF(OR($E62=0,R$78=0),0,IF(AND(R62="N/A",$G62&lt;&gt;""),0,$F62+SUMPRODUCT(($G$14:$G$71=$A62)*($E$14:$E$71=1)*(R$14:R$71="N/A")*$F$14:$F$71)))</f>
        <v/>
      </c>
      <c r="T62" s="22">
        <f>IF(R62="SI",S62,0)</f>
        <v/>
      </c>
      <c r="U62" s="21" t="n"/>
      <c r="V62" s="22">
        <f>IF(OR($E62=0,U$78=0),0,IF(AND(U62="N/A",$G62&lt;&gt;""),0,$F62+SUMPRODUCT(($G$14:$G$71=$A62)*($E$14:$E$71=1)*(U$14:U$71="N/A")*$F$14:$F$71)))</f>
        <v/>
      </c>
      <c r="W62" s="22">
        <f>IF(U62="SI",V62,0)</f>
        <v/>
      </c>
      <c r="X62" s="21" t="n"/>
      <c r="Y62" s="22">
        <f>IF(OR($E62=0,X$78=0),0,IF(AND(X62="N/A",$G62&lt;&gt;""),0,$F62+SUMPRODUCT(($G$14:$G$71=$A62)*($E$14:$E$71=1)*(X$14:X$71="N/A")*$F$14:$F$71)))</f>
        <v/>
      </c>
      <c r="Z62" s="22">
        <f>IF(X62="SI",Y62,0)</f>
        <v/>
      </c>
      <c r="AA62" s="22">
        <f>SUM(J62,M62,P62,S62,V62,Y62)</f>
        <v/>
      </c>
      <c r="AB62" s="22">
        <f>SUM(K62,N62,Q62,T62,W62,Z62)</f>
        <v/>
      </c>
      <c r="AC62" s="23">
        <f>IF(AA62=0,"",AB62/AA62)</f>
        <v/>
      </c>
      <c r="AD62" s="22">
        <f>CRITERIOS!Q50</f>
        <v/>
      </c>
      <c r="AE62" s="22">
        <f>IF(AND(E62=1,H62&lt;&gt;"X",((I62="N/A")+(L62="N/A")+(O62="N/A")+(R62="N/A")+(U62="N/A")+(X62="N/A"))&gt;0),"REVISAR","")</f>
        <v/>
      </c>
    </row>
    <row r="63">
      <c r="A63" s="24">
        <f>CRITERIOS!B51</f>
        <v/>
      </c>
      <c r="B63" s="24">
        <f>CRITERIOS!C51</f>
        <v/>
      </c>
      <c r="C63" s="25">
        <f>CRITERIOS!D51</f>
        <v/>
      </c>
      <c r="D63" s="24">
        <f>CRITERIOS!E51</f>
        <v/>
      </c>
      <c r="E63" s="24">
        <f>IFERROR(IF(AND(OR(CRITERIOS!F51="Todos",CRITERIOS!F51=$B$4),INDEX(CRITERIOS!H51:J51,MATCH($B$5,VARIABLES!$E$2:$E$4,0))=1),1,0),0)</f>
        <v/>
      </c>
      <c r="F63" s="24">
        <f>IFERROR(IF(E63=1,INDEX(CRITERIOS!K51:M51,MATCH($B$5,VARIABLES!$E$2:$E$4,0)),0),0)</f>
        <v/>
      </c>
      <c r="G63" s="24">
        <f>IF(CRITERIOS!N51="","",CRITERIOS!N51)</f>
        <v/>
      </c>
      <c r="H63" s="24">
        <f>IF(CRITERIOS!O51="","",CRITERIOS!O51)</f>
        <v/>
      </c>
      <c r="I63" s="21" t="n"/>
      <c r="J63" s="22">
        <f>IF(OR($E63=0,I$78=0),0,IF(AND(I63="N/A",$G63&lt;&gt;""),0,$F63+SUMPRODUCT(($G$14:$G$71=$A63)*($E$14:$E$71=1)*(I$14:I$71="N/A")*$F$14:$F$71)))</f>
        <v/>
      </c>
      <c r="K63" s="22">
        <f>IF(I63="SI",J63,0)</f>
        <v/>
      </c>
      <c r="L63" s="21" t="n"/>
      <c r="M63" s="22">
        <f>IF(OR($E63=0,L$78=0),0,IF(AND(L63="N/A",$G63&lt;&gt;""),0,$F63+SUMPRODUCT(($G$14:$G$71=$A63)*($E$14:$E$71=1)*(L$14:L$71="N/A")*$F$14:$F$71)))</f>
        <v/>
      </c>
      <c r="N63" s="22">
        <f>IF(L63="SI",M63,0)</f>
        <v/>
      </c>
      <c r="O63" s="21" t="n"/>
      <c r="P63" s="22">
        <f>IF(OR($E63=0,O$78=0),0,IF(AND(O63="N/A",$G63&lt;&gt;""),0,$F63+SUMPRODUCT(($G$14:$G$71=$A63)*($E$14:$E$71=1)*(O$14:O$71="N/A")*$F$14:$F$71)))</f>
        <v/>
      </c>
      <c r="Q63" s="22">
        <f>IF(O63="SI",P63,0)</f>
        <v/>
      </c>
      <c r="R63" s="21" t="n"/>
      <c r="S63" s="22">
        <f>IF(OR($E63=0,R$78=0),0,IF(AND(R63="N/A",$G63&lt;&gt;""),0,$F63+SUMPRODUCT(($G$14:$G$71=$A63)*($E$14:$E$71=1)*(R$14:R$71="N/A")*$F$14:$F$71)))</f>
        <v/>
      </c>
      <c r="T63" s="22">
        <f>IF(R63="SI",S63,0)</f>
        <v/>
      </c>
      <c r="U63" s="21" t="n"/>
      <c r="V63" s="22">
        <f>IF(OR($E63=0,U$78=0),0,IF(AND(U63="N/A",$G63&lt;&gt;""),0,$F63+SUMPRODUCT(($G$14:$G$71=$A63)*($E$14:$E$71=1)*(U$14:U$71="N/A")*$F$14:$F$71)))</f>
        <v/>
      </c>
      <c r="W63" s="22">
        <f>IF(U63="SI",V63,0)</f>
        <v/>
      </c>
      <c r="X63" s="21" t="n"/>
      <c r="Y63" s="22">
        <f>IF(OR($E63=0,X$78=0),0,IF(AND(X63="N/A",$G63&lt;&gt;""),0,$F63+SUMPRODUCT(($G$14:$G$71=$A63)*($E$14:$E$71=1)*(X$14:X$71="N/A")*$F$14:$F$71)))</f>
        <v/>
      </c>
      <c r="Z63" s="22">
        <f>IF(X63="SI",Y63,0)</f>
        <v/>
      </c>
      <c r="AA63" s="22">
        <f>SUM(J63,M63,P63,S63,V63,Y63)</f>
        <v/>
      </c>
      <c r="AB63" s="22">
        <f>SUM(K63,N63,Q63,T63,W63,Z63)</f>
        <v/>
      </c>
      <c r="AC63" s="23">
        <f>IF(AA63=0,"",AB63/AA63)</f>
        <v/>
      </c>
      <c r="AD63" s="22">
        <f>CRITERIOS!Q51</f>
        <v/>
      </c>
      <c r="AE63" s="22">
        <f>IF(AND(E63=1,H63&lt;&gt;"X",((I63="N/A")+(L63="N/A")+(O63="N/A")+(R63="N/A")+(U63="N/A")+(X63="N/A"))&gt;0),"REVISAR","")</f>
        <v/>
      </c>
    </row>
    <row r="64">
      <c r="A64" s="22">
        <f>CRITERIOS!B52</f>
        <v/>
      </c>
      <c r="B64" s="22">
        <f>CRITERIOS!C52</f>
        <v/>
      </c>
      <c r="C64" s="8">
        <f>CRITERIOS!D52</f>
        <v/>
      </c>
      <c r="D64" s="22">
        <f>CRITERIOS!E52</f>
        <v/>
      </c>
      <c r="E64" s="22">
        <f>IFERROR(IF(AND(OR(CRITERIOS!F52="Todos",CRITERIOS!F52=$B$4),INDEX(CRITERIOS!H52:J52,MATCH($B$5,VARIABLES!$E$2:$E$4,0))=1),1,0),0)</f>
        <v/>
      </c>
      <c r="F64" s="22">
        <f>IFERROR(IF(E64=1,INDEX(CRITERIOS!K52:M52,MATCH($B$5,VARIABLES!$E$2:$E$4,0)),0),0)</f>
        <v/>
      </c>
      <c r="G64" s="22">
        <f>IF(CRITERIOS!N52="","",CRITERIOS!N52)</f>
        <v/>
      </c>
      <c r="H64" s="22">
        <f>IF(CRITERIOS!O52="","",CRITERIOS!O52)</f>
        <v/>
      </c>
      <c r="I64" s="21" t="n"/>
      <c r="J64" s="22">
        <f>IF(OR($E64=0,I$78=0),0,IF(AND(I64="N/A",$G64&lt;&gt;""),0,$F64+SUMPRODUCT(($G$14:$G$71=$A64)*($E$14:$E$71=1)*(I$14:I$71="N/A")*$F$14:$F$71)))</f>
        <v/>
      </c>
      <c r="K64" s="22">
        <f>IF(I64="SI",J64,0)</f>
        <v/>
      </c>
      <c r="L64" s="21" t="n"/>
      <c r="M64" s="22">
        <f>IF(OR($E64=0,L$78=0),0,IF(AND(L64="N/A",$G64&lt;&gt;""),0,$F64+SUMPRODUCT(($G$14:$G$71=$A64)*($E$14:$E$71=1)*(L$14:L$71="N/A")*$F$14:$F$71)))</f>
        <v/>
      </c>
      <c r="N64" s="22">
        <f>IF(L64="SI",M64,0)</f>
        <v/>
      </c>
      <c r="O64" s="21" t="n"/>
      <c r="P64" s="22">
        <f>IF(OR($E64=0,O$78=0),0,IF(AND(O64="N/A",$G64&lt;&gt;""),0,$F64+SUMPRODUCT(($G$14:$G$71=$A64)*($E$14:$E$71=1)*(O$14:O$71="N/A")*$F$14:$F$71)))</f>
        <v/>
      </c>
      <c r="Q64" s="22">
        <f>IF(O64="SI",P64,0)</f>
        <v/>
      </c>
      <c r="R64" s="21" t="n"/>
      <c r="S64" s="22">
        <f>IF(OR($E64=0,R$78=0),0,IF(AND(R64="N/A",$G64&lt;&gt;""),0,$F64+SUMPRODUCT(($G$14:$G$71=$A64)*($E$14:$E$71=1)*(R$14:R$71="N/A")*$F$14:$F$71)))</f>
        <v/>
      </c>
      <c r="T64" s="22">
        <f>IF(R64="SI",S64,0)</f>
        <v/>
      </c>
      <c r="U64" s="21" t="n"/>
      <c r="V64" s="22">
        <f>IF(OR($E64=0,U$78=0),0,IF(AND(U64="N/A",$G64&lt;&gt;""),0,$F64+SUMPRODUCT(($G$14:$G$71=$A64)*($E$14:$E$71=1)*(U$14:U$71="N/A")*$F$14:$F$71)))</f>
        <v/>
      </c>
      <c r="W64" s="22">
        <f>IF(U64="SI",V64,0)</f>
        <v/>
      </c>
      <c r="X64" s="21" t="n"/>
      <c r="Y64" s="22">
        <f>IF(OR($E64=0,X$78=0),0,IF(AND(X64="N/A",$G64&lt;&gt;""),0,$F64+SUMPRODUCT(($G$14:$G$71=$A64)*($E$14:$E$71=1)*(X$14:X$71="N/A")*$F$14:$F$71)))</f>
        <v/>
      </c>
      <c r="Z64" s="22">
        <f>IF(X64="SI",Y64,0)</f>
        <v/>
      </c>
      <c r="AA64" s="22">
        <f>SUM(J64,M64,P64,S64,V64,Y64)</f>
        <v/>
      </c>
      <c r="AB64" s="22">
        <f>SUM(K64,N64,Q64,T64,W64,Z64)</f>
        <v/>
      </c>
      <c r="AC64" s="23">
        <f>IF(AA64=0,"",AB64/AA64)</f>
        <v/>
      </c>
      <c r="AD64" s="22">
        <f>CRITERIOS!Q52</f>
        <v/>
      </c>
      <c r="AE64" s="22">
        <f>IF(AND(E64=1,H64&lt;&gt;"X",((I64="N/A")+(L64="N/A")+(O64="N/A")+(R64="N/A")+(U64="N/A")+(X64="N/A"))&gt;0),"REVISAR","")</f>
        <v/>
      </c>
    </row>
    <row r="65">
      <c r="A65" s="24">
        <f>CRITERIOS!B53</f>
        <v/>
      </c>
      <c r="B65" s="24">
        <f>CRITERIOS!C53</f>
        <v/>
      </c>
      <c r="C65" s="25">
        <f>CRITERIOS!D53</f>
        <v/>
      </c>
      <c r="D65" s="24">
        <f>CRITERIOS!E53</f>
        <v/>
      </c>
      <c r="E65" s="24">
        <f>IFERROR(IF(AND(OR(CRITERIOS!F53="Todos",CRITERIOS!F53=$B$4),INDEX(CRITERIOS!H53:J53,MATCH($B$5,VARIABLES!$E$2:$E$4,0))=1),1,0),0)</f>
        <v/>
      </c>
      <c r="F65" s="24">
        <f>IFERROR(IF(E65=1,INDEX(CRITERIOS!K53:M53,MATCH($B$5,VARIABLES!$E$2:$E$4,0)),0),0)</f>
        <v/>
      </c>
      <c r="G65" s="24">
        <f>IF(CRITERIOS!N53="","",CRITERIOS!N53)</f>
        <v/>
      </c>
      <c r="H65" s="24">
        <f>IF(CRITERIOS!O53="","",CRITERIOS!O53)</f>
        <v/>
      </c>
      <c r="I65" s="21" t="n"/>
      <c r="J65" s="22">
        <f>IF(OR($E65=0,I$78=0),0,IF(AND(I65="N/A",$G65&lt;&gt;""),0,$F65+SUMPRODUCT(($G$14:$G$71=$A65)*($E$14:$E$71=1)*(I$14:I$71="N/A")*$F$14:$F$71)))</f>
        <v/>
      </c>
      <c r="K65" s="22">
        <f>IF(I65="SI",J65,0)</f>
        <v/>
      </c>
      <c r="L65" s="21" t="n"/>
      <c r="M65" s="22">
        <f>IF(OR($E65=0,L$78=0),0,IF(AND(L65="N/A",$G65&lt;&gt;""),0,$F65+SUMPRODUCT(($G$14:$G$71=$A65)*($E$14:$E$71=1)*(L$14:L$71="N/A")*$F$14:$F$71)))</f>
        <v/>
      </c>
      <c r="N65" s="22">
        <f>IF(L65="SI",M65,0)</f>
        <v/>
      </c>
      <c r="O65" s="21" t="n"/>
      <c r="P65" s="22">
        <f>IF(OR($E65=0,O$78=0),0,IF(AND(O65="N/A",$G65&lt;&gt;""),0,$F65+SUMPRODUCT(($G$14:$G$71=$A65)*($E$14:$E$71=1)*(O$14:O$71="N/A")*$F$14:$F$71)))</f>
        <v/>
      </c>
      <c r="Q65" s="22">
        <f>IF(O65="SI",P65,0)</f>
        <v/>
      </c>
      <c r="R65" s="21" t="n"/>
      <c r="S65" s="22">
        <f>IF(OR($E65=0,R$78=0),0,IF(AND(R65="N/A",$G65&lt;&gt;""),0,$F65+SUMPRODUCT(($G$14:$G$71=$A65)*($E$14:$E$71=1)*(R$14:R$71="N/A")*$F$14:$F$71)))</f>
        <v/>
      </c>
      <c r="T65" s="22">
        <f>IF(R65="SI",S65,0)</f>
        <v/>
      </c>
      <c r="U65" s="21" t="n"/>
      <c r="V65" s="22">
        <f>IF(OR($E65=0,U$78=0),0,IF(AND(U65="N/A",$G65&lt;&gt;""),0,$F65+SUMPRODUCT(($G$14:$G$71=$A65)*($E$14:$E$71=1)*(U$14:U$71="N/A")*$F$14:$F$71)))</f>
        <v/>
      </c>
      <c r="W65" s="22">
        <f>IF(U65="SI",V65,0)</f>
        <v/>
      </c>
      <c r="X65" s="21" t="n"/>
      <c r="Y65" s="22">
        <f>IF(OR($E65=0,X$78=0),0,IF(AND(X65="N/A",$G65&lt;&gt;""),0,$F65+SUMPRODUCT(($G$14:$G$71=$A65)*($E$14:$E$71=1)*(X$14:X$71="N/A")*$F$14:$F$71)))</f>
        <v/>
      </c>
      <c r="Z65" s="22">
        <f>IF(X65="SI",Y65,0)</f>
        <v/>
      </c>
      <c r="AA65" s="22">
        <f>SUM(J65,M65,P65,S65,V65,Y65)</f>
        <v/>
      </c>
      <c r="AB65" s="22">
        <f>SUM(K65,N65,Q65,T65,W65,Z65)</f>
        <v/>
      </c>
      <c r="AC65" s="23">
        <f>IF(AA65=0,"",AB65/AA65)</f>
        <v/>
      </c>
      <c r="AD65" s="22">
        <f>CRITERIOS!Q53</f>
        <v/>
      </c>
      <c r="AE65" s="22">
        <f>IF(AND(E65=1,H65&lt;&gt;"X",((I65="N/A")+(L65="N/A")+(O65="N/A")+(R65="N/A")+(U65="N/A")+(X65="N/A"))&gt;0),"REVISAR","")</f>
        <v/>
      </c>
    </row>
    <row r="66">
      <c r="A66" s="24">
        <f>CRITERIOS!B54</f>
        <v/>
      </c>
      <c r="B66" s="24">
        <f>CRITERIOS!C54</f>
        <v/>
      </c>
      <c r="C66" s="25">
        <f>CRITERIOS!D54</f>
        <v/>
      </c>
      <c r="D66" s="24">
        <f>CRITERIOS!E54</f>
        <v/>
      </c>
      <c r="E66" s="24">
        <f>IFERROR(IF(AND(OR(CRITERIOS!F54="Todos",CRITERIOS!F54=$B$4),INDEX(CRITERIOS!H54:J54,MATCH($B$5,VARIABLES!$E$2:$E$4,0))=1),1,0),0)</f>
        <v/>
      </c>
      <c r="F66" s="24">
        <f>IFERROR(IF(E66=1,INDEX(CRITERIOS!K54:M54,MATCH($B$5,VARIABLES!$E$2:$E$4,0)),0),0)</f>
        <v/>
      </c>
      <c r="G66" s="24">
        <f>IF(CRITERIOS!N54="","",CRITERIOS!N54)</f>
        <v/>
      </c>
      <c r="H66" s="24">
        <f>IF(CRITERIOS!O54="","",CRITERIOS!O54)</f>
        <v/>
      </c>
      <c r="I66" s="21" t="n"/>
      <c r="J66" s="22">
        <f>IF(OR($E66=0,I$78=0),0,IF(AND(I66="N/A",$G66&lt;&gt;""),0,$F66+SUMPRODUCT(($G$14:$G$71=$A66)*($E$14:$E$71=1)*(I$14:I$71="N/A")*$F$14:$F$71)))</f>
        <v/>
      </c>
      <c r="K66" s="22">
        <f>IF(I66="SI",J66,0)</f>
        <v/>
      </c>
      <c r="L66" s="21" t="n"/>
      <c r="M66" s="22">
        <f>IF(OR($E66=0,L$78=0),0,IF(AND(L66="N/A",$G66&lt;&gt;""),0,$F66+SUMPRODUCT(($G$14:$G$71=$A66)*($E$14:$E$71=1)*(L$14:L$71="N/A")*$F$14:$F$71)))</f>
        <v/>
      </c>
      <c r="N66" s="22">
        <f>IF(L66="SI",M66,0)</f>
        <v/>
      </c>
      <c r="O66" s="21" t="n"/>
      <c r="P66" s="22">
        <f>IF(OR($E66=0,O$78=0),0,IF(AND(O66="N/A",$G66&lt;&gt;""),0,$F66+SUMPRODUCT(($G$14:$G$71=$A66)*($E$14:$E$71=1)*(O$14:O$71="N/A")*$F$14:$F$71)))</f>
        <v/>
      </c>
      <c r="Q66" s="22">
        <f>IF(O66="SI",P66,0)</f>
        <v/>
      </c>
      <c r="R66" s="21" t="n"/>
      <c r="S66" s="22">
        <f>IF(OR($E66=0,R$78=0),0,IF(AND(R66="N/A",$G66&lt;&gt;""),0,$F66+SUMPRODUCT(($G$14:$G$71=$A66)*($E$14:$E$71=1)*(R$14:R$71="N/A")*$F$14:$F$71)))</f>
        <v/>
      </c>
      <c r="T66" s="22">
        <f>IF(R66="SI",S66,0)</f>
        <v/>
      </c>
      <c r="U66" s="21" t="n"/>
      <c r="V66" s="22">
        <f>IF(OR($E66=0,U$78=0),0,IF(AND(U66="N/A",$G66&lt;&gt;""),0,$F66+SUMPRODUCT(($G$14:$G$71=$A66)*($E$14:$E$71=1)*(U$14:U$71="N/A")*$F$14:$F$71)))</f>
        <v/>
      </c>
      <c r="W66" s="22">
        <f>IF(U66="SI",V66,0)</f>
        <v/>
      </c>
      <c r="X66" s="21" t="n"/>
      <c r="Y66" s="22">
        <f>IF(OR($E66=0,X$78=0),0,IF(AND(X66="N/A",$G66&lt;&gt;""),0,$F66+SUMPRODUCT(($G$14:$G$71=$A66)*($E$14:$E$71=1)*(X$14:X$71="N/A")*$F$14:$F$71)))</f>
        <v/>
      </c>
      <c r="Z66" s="22">
        <f>IF(X66="SI",Y66,0)</f>
        <v/>
      </c>
      <c r="AA66" s="22">
        <f>SUM(J66,M66,P66,S66,V66,Y66)</f>
        <v/>
      </c>
      <c r="AB66" s="22">
        <f>SUM(K66,N66,Q66,T66,W66,Z66)</f>
        <v/>
      </c>
      <c r="AC66" s="23">
        <f>IF(AA66=0,"",AB66/AA66)</f>
        <v/>
      </c>
      <c r="AD66" s="22">
        <f>CRITERIOS!Q54</f>
        <v/>
      </c>
      <c r="AE66" s="22">
        <f>IF(AND(E66=1,H66&lt;&gt;"X",((I66="N/A")+(L66="N/A")+(O66="N/A")+(R66="N/A")+(U66="N/A")+(X66="N/A"))&gt;0),"REVISAR","")</f>
        <v/>
      </c>
    </row>
    <row r="67">
      <c r="A67" s="24">
        <f>CRITERIOS!B55</f>
        <v/>
      </c>
      <c r="B67" s="24">
        <f>CRITERIOS!C55</f>
        <v/>
      </c>
      <c r="C67" s="25">
        <f>CRITERIOS!D55</f>
        <v/>
      </c>
      <c r="D67" s="24">
        <f>CRITERIOS!E55</f>
        <v/>
      </c>
      <c r="E67" s="24">
        <f>IFERROR(IF(AND(OR(CRITERIOS!F55="Todos",CRITERIOS!F55=$B$4),INDEX(CRITERIOS!H55:J55,MATCH($B$5,VARIABLES!$E$2:$E$4,0))=1),1,0),0)</f>
        <v/>
      </c>
      <c r="F67" s="24">
        <f>IFERROR(IF(E67=1,INDEX(CRITERIOS!K55:M55,MATCH($B$5,VARIABLES!$E$2:$E$4,0)),0),0)</f>
        <v/>
      </c>
      <c r="G67" s="24">
        <f>IF(CRITERIOS!N55="","",CRITERIOS!N55)</f>
        <v/>
      </c>
      <c r="H67" s="24">
        <f>IF(CRITERIOS!O55="","",CRITERIOS!O55)</f>
        <v/>
      </c>
      <c r="I67" s="21" t="n"/>
      <c r="J67" s="22">
        <f>IF(OR($E67=0,I$78=0),0,IF(AND(I67="N/A",$G67&lt;&gt;""),0,$F67+SUMPRODUCT(($G$14:$G$71=$A67)*($E$14:$E$71=1)*(I$14:I$71="N/A")*$F$14:$F$71)))</f>
        <v/>
      </c>
      <c r="K67" s="22">
        <f>IF(I67="SI",J67,0)</f>
        <v/>
      </c>
      <c r="L67" s="21" t="n"/>
      <c r="M67" s="22">
        <f>IF(OR($E67=0,L$78=0),0,IF(AND(L67="N/A",$G67&lt;&gt;""),0,$F67+SUMPRODUCT(($G$14:$G$71=$A67)*($E$14:$E$71=1)*(L$14:L$71="N/A")*$F$14:$F$71)))</f>
        <v/>
      </c>
      <c r="N67" s="22">
        <f>IF(L67="SI",M67,0)</f>
        <v/>
      </c>
      <c r="O67" s="21" t="n"/>
      <c r="P67" s="22">
        <f>IF(OR($E67=0,O$78=0),0,IF(AND(O67="N/A",$G67&lt;&gt;""),0,$F67+SUMPRODUCT(($G$14:$G$71=$A67)*($E$14:$E$71=1)*(O$14:O$71="N/A")*$F$14:$F$71)))</f>
        <v/>
      </c>
      <c r="Q67" s="22">
        <f>IF(O67="SI",P67,0)</f>
        <v/>
      </c>
      <c r="R67" s="21" t="n"/>
      <c r="S67" s="22">
        <f>IF(OR($E67=0,R$78=0),0,IF(AND(R67="N/A",$G67&lt;&gt;""),0,$F67+SUMPRODUCT(($G$14:$G$71=$A67)*($E$14:$E$71=1)*(R$14:R$71="N/A")*$F$14:$F$71)))</f>
        <v/>
      </c>
      <c r="T67" s="22">
        <f>IF(R67="SI",S67,0)</f>
        <v/>
      </c>
      <c r="U67" s="21" t="n"/>
      <c r="V67" s="22">
        <f>IF(OR($E67=0,U$78=0),0,IF(AND(U67="N/A",$G67&lt;&gt;""),0,$F67+SUMPRODUCT(($G$14:$G$71=$A67)*($E$14:$E$71=1)*(U$14:U$71="N/A")*$F$14:$F$71)))</f>
        <v/>
      </c>
      <c r="W67" s="22">
        <f>IF(U67="SI",V67,0)</f>
        <v/>
      </c>
      <c r="X67" s="21" t="n"/>
      <c r="Y67" s="22">
        <f>IF(OR($E67=0,X$78=0),0,IF(AND(X67="N/A",$G67&lt;&gt;""),0,$F67+SUMPRODUCT(($G$14:$G$71=$A67)*($E$14:$E$71=1)*(X$14:X$71="N/A")*$F$14:$F$71)))</f>
        <v/>
      </c>
      <c r="Z67" s="22">
        <f>IF(X67="SI",Y67,0)</f>
        <v/>
      </c>
      <c r="AA67" s="22">
        <f>SUM(J67,M67,P67,S67,V67,Y67)</f>
        <v/>
      </c>
      <c r="AB67" s="22">
        <f>SUM(K67,N67,Q67,T67,W67,Z67)</f>
        <v/>
      </c>
      <c r="AC67" s="23">
        <f>IF(AA67=0,"",AB67/AA67)</f>
        <v/>
      </c>
      <c r="AD67" s="22">
        <f>CRITERIOS!Q55</f>
        <v/>
      </c>
      <c r="AE67" s="22">
        <f>IF(AND(E67=1,H67&lt;&gt;"X",((I67="N/A")+(L67="N/A")+(O67="N/A")+(R67="N/A")+(U67="N/A")+(X67="N/A"))&gt;0),"REVISAR","")</f>
        <v/>
      </c>
    </row>
    <row r="68">
      <c r="A68" s="24">
        <f>CRITERIOS!B56</f>
        <v/>
      </c>
      <c r="B68" s="24">
        <f>CRITERIOS!C56</f>
        <v/>
      </c>
      <c r="C68" s="25">
        <f>CRITERIOS!D56</f>
        <v/>
      </c>
      <c r="D68" s="24">
        <f>CRITERIOS!E56</f>
        <v/>
      </c>
      <c r="E68" s="24">
        <f>IFERROR(IF(AND(OR(CRITERIOS!F56="Todos",CRITERIOS!F56=$B$4),INDEX(CRITERIOS!H56:J56,MATCH($B$5,VARIABLES!$E$2:$E$4,0))=1),1,0),0)</f>
        <v/>
      </c>
      <c r="F68" s="24">
        <f>IFERROR(IF(E68=1,INDEX(CRITERIOS!K56:M56,MATCH($B$5,VARIABLES!$E$2:$E$4,0)),0),0)</f>
        <v/>
      </c>
      <c r="G68" s="24">
        <f>IF(CRITERIOS!N56="","",CRITERIOS!N56)</f>
        <v/>
      </c>
      <c r="H68" s="24">
        <f>IF(CRITERIOS!O56="","",CRITERIOS!O56)</f>
        <v/>
      </c>
      <c r="I68" s="21" t="n"/>
      <c r="J68" s="22">
        <f>IF(OR($E68=0,I$78=0),0,IF(AND(I68="N/A",$G68&lt;&gt;""),0,$F68+SUMPRODUCT(($G$14:$G$71=$A68)*($E$14:$E$71=1)*(I$14:I$71="N/A")*$F$14:$F$71)))</f>
        <v/>
      </c>
      <c r="K68" s="22">
        <f>IF(I68="SI",J68,0)</f>
        <v/>
      </c>
      <c r="L68" s="21" t="n"/>
      <c r="M68" s="22">
        <f>IF(OR($E68=0,L$78=0),0,IF(AND(L68="N/A",$G68&lt;&gt;""),0,$F68+SUMPRODUCT(($G$14:$G$71=$A68)*($E$14:$E$71=1)*(L$14:L$71="N/A")*$F$14:$F$71)))</f>
        <v/>
      </c>
      <c r="N68" s="22">
        <f>IF(L68="SI",M68,0)</f>
        <v/>
      </c>
      <c r="O68" s="21" t="n"/>
      <c r="P68" s="22">
        <f>IF(OR($E68=0,O$78=0),0,IF(AND(O68="N/A",$G68&lt;&gt;""),0,$F68+SUMPRODUCT(($G$14:$G$71=$A68)*($E$14:$E$71=1)*(O$14:O$71="N/A")*$F$14:$F$71)))</f>
        <v/>
      </c>
      <c r="Q68" s="22">
        <f>IF(O68="SI",P68,0)</f>
        <v/>
      </c>
      <c r="R68" s="21" t="n"/>
      <c r="S68" s="22">
        <f>IF(OR($E68=0,R$78=0),0,IF(AND(R68="N/A",$G68&lt;&gt;""),0,$F68+SUMPRODUCT(($G$14:$G$71=$A68)*($E$14:$E$71=1)*(R$14:R$71="N/A")*$F$14:$F$71)))</f>
        <v/>
      </c>
      <c r="T68" s="22">
        <f>IF(R68="SI",S68,0)</f>
        <v/>
      </c>
      <c r="U68" s="21" t="n"/>
      <c r="V68" s="22">
        <f>IF(OR($E68=0,U$78=0),0,IF(AND(U68="N/A",$G68&lt;&gt;""),0,$F68+SUMPRODUCT(($G$14:$G$71=$A68)*($E$14:$E$71=1)*(U$14:U$71="N/A")*$F$14:$F$71)))</f>
        <v/>
      </c>
      <c r="W68" s="22">
        <f>IF(U68="SI",V68,0)</f>
        <v/>
      </c>
      <c r="X68" s="21" t="n"/>
      <c r="Y68" s="22">
        <f>IF(OR($E68=0,X$78=0),0,IF(AND(X68="N/A",$G68&lt;&gt;""),0,$F68+SUMPRODUCT(($G$14:$G$71=$A68)*($E$14:$E$71=1)*(X$14:X$71="N/A")*$F$14:$F$71)))</f>
        <v/>
      </c>
      <c r="Z68" s="22">
        <f>IF(X68="SI",Y68,0)</f>
        <v/>
      </c>
      <c r="AA68" s="22">
        <f>SUM(J68,M68,P68,S68,V68,Y68)</f>
        <v/>
      </c>
      <c r="AB68" s="22">
        <f>SUM(K68,N68,Q68,T68,W68,Z68)</f>
        <v/>
      </c>
      <c r="AC68" s="23">
        <f>IF(AA68=0,"",AB68/AA68)</f>
        <v/>
      </c>
      <c r="AD68" s="22">
        <f>CRITERIOS!Q56</f>
        <v/>
      </c>
      <c r="AE68" s="22">
        <f>IF(AND(E68=1,H68&lt;&gt;"X",((I68="N/A")+(L68="N/A")+(O68="N/A")+(R68="N/A")+(U68="N/A")+(X68="N/A"))&gt;0),"REVISAR","")</f>
        <v/>
      </c>
    </row>
    <row r="69">
      <c r="A69" s="22">
        <f>CRITERIOS!B57</f>
        <v/>
      </c>
      <c r="B69" s="22">
        <f>CRITERIOS!C57</f>
        <v/>
      </c>
      <c r="C69" s="8">
        <f>CRITERIOS!D57</f>
        <v/>
      </c>
      <c r="D69" s="22">
        <f>CRITERIOS!E57</f>
        <v/>
      </c>
      <c r="E69" s="22">
        <f>IFERROR(IF(AND(OR(CRITERIOS!F57="Todos",CRITERIOS!F57=$B$4),INDEX(CRITERIOS!H57:J57,MATCH($B$5,VARIABLES!$E$2:$E$4,0))=1),1,0),0)</f>
        <v/>
      </c>
      <c r="F69" s="22">
        <f>IFERROR(IF(E69=1,INDEX(CRITERIOS!K57:M57,MATCH($B$5,VARIABLES!$E$2:$E$4,0)),0),0)</f>
        <v/>
      </c>
      <c r="G69" s="22">
        <f>IF(CRITERIOS!N57="","",CRITERIOS!N57)</f>
        <v/>
      </c>
      <c r="H69" s="22">
        <f>IF(CRITERIOS!O57="","",CRITERIOS!O57)</f>
        <v/>
      </c>
      <c r="I69" s="21" t="n"/>
      <c r="J69" s="22">
        <f>IF(OR($E69=0,I$78=0),0,IF(AND(I69="N/A",$G69&lt;&gt;""),0,$F69+SUMPRODUCT(($G$14:$G$71=$A69)*($E$14:$E$71=1)*(I$14:I$71="N/A")*$F$14:$F$71)))</f>
        <v/>
      </c>
      <c r="K69" s="22">
        <f>IF(I69="SI",J69,0)</f>
        <v/>
      </c>
      <c r="L69" s="21" t="n"/>
      <c r="M69" s="22">
        <f>IF(OR($E69=0,L$78=0),0,IF(AND(L69="N/A",$G69&lt;&gt;""),0,$F69+SUMPRODUCT(($G$14:$G$71=$A69)*($E$14:$E$71=1)*(L$14:L$71="N/A")*$F$14:$F$71)))</f>
        <v/>
      </c>
      <c r="N69" s="22">
        <f>IF(L69="SI",M69,0)</f>
        <v/>
      </c>
      <c r="O69" s="21" t="n"/>
      <c r="P69" s="22">
        <f>IF(OR($E69=0,O$78=0),0,IF(AND(O69="N/A",$G69&lt;&gt;""),0,$F69+SUMPRODUCT(($G$14:$G$71=$A69)*($E$14:$E$71=1)*(O$14:O$71="N/A")*$F$14:$F$71)))</f>
        <v/>
      </c>
      <c r="Q69" s="22">
        <f>IF(O69="SI",P69,0)</f>
        <v/>
      </c>
      <c r="R69" s="21" t="n"/>
      <c r="S69" s="22">
        <f>IF(OR($E69=0,R$78=0),0,IF(AND(R69="N/A",$G69&lt;&gt;""),0,$F69+SUMPRODUCT(($G$14:$G$71=$A69)*($E$14:$E$71=1)*(R$14:R$71="N/A")*$F$14:$F$71)))</f>
        <v/>
      </c>
      <c r="T69" s="22">
        <f>IF(R69="SI",S69,0)</f>
        <v/>
      </c>
      <c r="U69" s="21" t="n"/>
      <c r="V69" s="22">
        <f>IF(OR($E69=0,U$78=0),0,IF(AND(U69="N/A",$G69&lt;&gt;""),0,$F69+SUMPRODUCT(($G$14:$G$71=$A69)*($E$14:$E$71=1)*(U$14:U$71="N/A")*$F$14:$F$71)))</f>
        <v/>
      </c>
      <c r="W69" s="22">
        <f>IF(U69="SI",V69,0)</f>
        <v/>
      </c>
      <c r="X69" s="21" t="n"/>
      <c r="Y69" s="22">
        <f>IF(OR($E69=0,X$78=0),0,IF(AND(X69="N/A",$G69&lt;&gt;""),0,$F69+SUMPRODUCT(($G$14:$G$71=$A69)*($E$14:$E$71=1)*(X$14:X$71="N/A")*$F$14:$F$71)))</f>
        <v/>
      </c>
      <c r="Z69" s="22">
        <f>IF(X69="SI",Y69,0)</f>
        <v/>
      </c>
      <c r="AA69" s="22">
        <f>SUM(J69,M69,P69,S69,V69,Y69)</f>
        <v/>
      </c>
      <c r="AB69" s="22">
        <f>SUM(K69,N69,Q69,T69,W69,Z69)</f>
        <v/>
      </c>
      <c r="AC69" s="23">
        <f>IF(AA69=0,"",AB69/AA69)</f>
        <v/>
      </c>
      <c r="AD69" s="22">
        <f>CRITERIOS!Q57</f>
        <v/>
      </c>
      <c r="AE69" s="22">
        <f>IF(AND(E69=1,H69&lt;&gt;"X",((I69="N/A")+(L69="N/A")+(O69="N/A")+(R69="N/A")+(U69="N/A")+(X69="N/A"))&gt;0),"REVISAR","")</f>
        <v/>
      </c>
    </row>
    <row r="70">
      <c r="A70" s="22">
        <f>CRITERIOS!B58</f>
        <v/>
      </c>
      <c r="B70" s="22">
        <f>CRITERIOS!C58</f>
        <v/>
      </c>
      <c r="C70" s="8">
        <f>CRITERIOS!D58</f>
        <v/>
      </c>
      <c r="D70" s="22">
        <f>CRITERIOS!E58</f>
        <v/>
      </c>
      <c r="E70" s="22">
        <f>IFERROR(IF(AND(OR(CRITERIOS!F58="Todos",CRITERIOS!F58=$B$4),INDEX(CRITERIOS!H58:J58,MATCH($B$5,VARIABLES!$E$2:$E$4,0))=1),1,0),0)</f>
        <v/>
      </c>
      <c r="F70" s="22">
        <f>IFERROR(IF(E70=1,INDEX(CRITERIOS!K58:M58,MATCH($B$5,VARIABLES!$E$2:$E$4,0)),0),0)</f>
        <v/>
      </c>
      <c r="G70" s="22">
        <f>IF(CRITERIOS!N58="","",CRITERIOS!N58)</f>
        <v/>
      </c>
      <c r="H70" s="22">
        <f>IF(CRITERIOS!O58="","",CRITERIOS!O58)</f>
        <v/>
      </c>
      <c r="I70" s="21" t="n"/>
      <c r="J70" s="22">
        <f>IF(OR($E70=0,I$78=0),0,IF(AND(I70="N/A",$G70&lt;&gt;""),0,$F70+SUMPRODUCT(($G$14:$G$71=$A70)*($E$14:$E$71=1)*(I$14:I$71="N/A")*$F$14:$F$71)))</f>
        <v/>
      </c>
      <c r="K70" s="22">
        <f>IF(I70="SI",J70,0)</f>
        <v/>
      </c>
      <c r="L70" s="21" t="n"/>
      <c r="M70" s="22">
        <f>IF(OR($E70=0,L$78=0),0,IF(AND(L70="N/A",$G70&lt;&gt;""),0,$F70+SUMPRODUCT(($G$14:$G$71=$A70)*($E$14:$E$71=1)*(L$14:L$71="N/A")*$F$14:$F$71)))</f>
        <v/>
      </c>
      <c r="N70" s="22">
        <f>IF(L70="SI",M70,0)</f>
        <v/>
      </c>
      <c r="O70" s="21" t="n"/>
      <c r="P70" s="22">
        <f>IF(OR($E70=0,O$78=0),0,IF(AND(O70="N/A",$G70&lt;&gt;""),0,$F70+SUMPRODUCT(($G$14:$G$71=$A70)*($E$14:$E$71=1)*(O$14:O$71="N/A")*$F$14:$F$71)))</f>
        <v/>
      </c>
      <c r="Q70" s="22">
        <f>IF(O70="SI",P70,0)</f>
        <v/>
      </c>
      <c r="R70" s="21" t="n"/>
      <c r="S70" s="22">
        <f>IF(OR($E70=0,R$78=0),0,IF(AND(R70="N/A",$G70&lt;&gt;""),0,$F70+SUMPRODUCT(($G$14:$G$71=$A70)*($E$14:$E$71=1)*(R$14:R$71="N/A")*$F$14:$F$71)))</f>
        <v/>
      </c>
      <c r="T70" s="22">
        <f>IF(R70="SI",S70,0)</f>
        <v/>
      </c>
      <c r="U70" s="21" t="n"/>
      <c r="V70" s="22">
        <f>IF(OR($E70=0,U$78=0),0,IF(AND(U70="N/A",$G70&lt;&gt;""),0,$F70+SUMPRODUCT(($G$14:$G$71=$A70)*($E$14:$E$71=1)*(U$14:U$71="N/A")*$F$14:$F$71)))</f>
        <v/>
      </c>
      <c r="W70" s="22">
        <f>IF(U70="SI",V70,0)</f>
        <v/>
      </c>
      <c r="X70" s="21" t="n"/>
      <c r="Y70" s="22">
        <f>IF(OR($E70=0,X$78=0),0,IF(AND(X70="N/A",$G70&lt;&gt;""),0,$F70+SUMPRODUCT(($G$14:$G$71=$A70)*($E$14:$E$71=1)*(X$14:X$71="N/A")*$F$14:$F$71)))</f>
        <v/>
      </c>
      <c r="Z70" s="22">
        <f>IF(X70="SI",Y70,0)</f>
        <v/>
      </c>
      <c r="AA70" s="22">
        <f>SUM(J70,M70,P70,S70,V70,Y70)</f>
        <v/>
      </c>
      <c r="AB70" s="22">
        <f>SUM(K70,N70,Q70,T70,W70,Z70)</f>
        <v/>
      </c>
      <c r="AC70" s="23">
        <f>IF(AA70=0,"",AB70/AA70)</f>
        <v/>
      </c>
      <c r="AD70" s="22">
        <f>CRITERIOS!Q58</f>
        <v/>
      </c>
      <c r="AE70" s="22">
        <f>IF(AND(E70=1,H70&lt;&gt;"X",((I70="N/A")+(L70="N/A")+(O70="N/A")+(R70="N/A")+(U70="N/A")+(X70="N/A"))&gt;0),"REVISAR","")</f>
        <v/>
      </c>
    </row>
    <row r="71">
      <c r="A71" s="24">
        <f>CRITERIOS!B59</f>
        <v/>
      </c>
      <c r="B71" s="24">
        <f>CRITERIOS!C59</f>
        <v/>
      </c>
      <c r="C71" s="25">
        <f>CRITERIOS!D59</f>
        <v/>
      </c>
      <c r="D71" s="24">
        <f>CRITERIOS!E59</f>
        <v/>
      </c>
      <c r="E71" s="24">
        <f>IFERROR(IF(AND(OR(CRITERIOS!F59="Todos",CRITERIOS!F59=$B$4),INDEX(CRITERIOS!H59:J59,MATCH($B$5,VARIABLES!$E$2:$E$4,0))=1),1,0),0)</f>
        <v/>
      </c>
      <c r="F71" s="24">
        <f>IFERROR(IF(E71=1,INDEX(CRITERIOS!K59:M59,MATCH($B$5,VARIABLES!$E$2:$E$4,0)),0),0)</f>
        <v/>
      </c>
      <c r="G71" s="24">
        <f>IF(CRITERIOS!N59="","",CRITERIOS!N59)</f>
        <v/>
      </c>
      <c r="H71" s="24">
        <f>IF(CRITERIOS!O59="","",CRITERIOS!O59)</f>
        <v/>
      </c>
      <c r="I71" s="21" t="n"/>
      <c r="J71" s="22">
        <f>IF(OR($E71=0,I$78=0),0,IF(AND(I71="N/A",$G71&lt;&gt;""),0,$F71+SUMPRODUCT(($G$14:$G$71=$A71)*($E$14:$E$71=1)*(I$14:I$71="N/A")*$F$14:$F$71)))</f>
        <v/>
      </c>
      <c r="K71" s="22">
        <f>IF(I71="SI",J71,0)</f>
        <v/>
      </c>
      <c r="L71" s="21" t="n"/>
      <c r="M71" s="22">
        <f>IF(OR($E71=0,L$78=0),0,IF(AND(L71="N/A",$G71&lt;&gt;""),0,$F71+SUMPRODUCT(($G$14:$G$71=$A71)*($E$14:$E$71=1)*(L$14:L$71="N/A")*$F$14:$F$71)))</f>
        <v/>
      </c>
      <c r="N71" s="22">
        <f>IF(L71="SI",M71,0)</f>
        <v/>
      </c>
      <c r="O71" s="21" t="n"/>
      <c r="P71" s="22">
        <f>IF(OR($E71=0,O$78=0),0,IF(AND(O71="N/A",$G71&lt;&gt;""),0,$F71+SUMPRODUCT(($G$14:$G$71=$A71)*($E$14:$E$71=1)*(O$14:O$71="N/A")*$F$14:$F$71)))</f>
        <v/>
      </c>
      <c r="Q71" s="22">
        <f>IF(O71="SI",P71,0)</f>
        <v/>
      </c>
      <c r="R71" s="21" t="n"/>
      <c r="S71" s="22">
        <f>IF(OR($E71=0,R$78=0),0,IF(AND(R71="N/A",$G71&lt;&gt;""),0,$F71+SUMPRODUCT(($G$14:$G$71=$A71)*($E$14:$E$71=1)*(R$14:R$71="N/A")*$F$14:$F$71)))</f>
        <v/>
      </c>
      <c r="T71" s="22">
        <f>IF(R71="SI",S71,0)</f>
        <v/>
      </c>
      <c r="U71" s="21" t="n"/>
      <c r="V71" s="22">
        <f>IF(OR($E71=0,U$78=0),0,IF(AND(U71="N/A",$G71&lt;&gt;""),0,$F71+SUMPRODUCT(($G$14:$G$71=$A71)*($E$14:$E$71=1)*(U$14:U$71="N/A")*$F$14:$F$71)))</f>
        <v/>
      </c>
      <c r="W71" s="22">
        <f>IF(U71="SI",V71,0)</f>
        <v/>
      </c>
      <c r="X71" s="21" t="n"/>
      <c r="Y71" s="22">
        <f>IF(OR($E71=0,X$78=0),0,IF(AND(X71="N/A",$G71&lt;&gt;""),0,$F71+SUMPRODUCT(($G$14:$G$71=$A71)*($E$14:$E$71=1)*(X$14:X$71="N/A")*$F$14:$F$71)))</f>
        <v/>
      </c>
      <c r="Z71" s="22">
        <f>IF(X71="SI",Y71,0)</f>
        <v/>
      </c>
      <c r="AA71" s="22">
        <f>SUM(J71,M71,P71,S71,V71,Y71)</f>
        <v/>
      </c>
      <c r="AB71" s="22">
        <f>SUM(K71,N71,Q71,T71,W71,Z71)</f>
        <v/>
      </c>
      <c r="AC71" s="23">
        <f>IF(AA71=0,"",AB71/AA71)</f>
        <v/>
      </c>
      <c r="AD71" s="22">
        <f>CRITERIOS!Q59</f>
        <v/>
      </c>
      <c r="AE71" s="22">
        <f>IF(AND(E71=1,H71&lt;&gt;"X",((I71="N/A")+(L71="N/A")+(O71="N/A")+(R71="N/A")+(U71="N/A")+(X71="N/A"))&gt;0),"REVISAR","")</f>
        <v/>
      </c>
    </row>
    <row r="73">
      <c r="C73" s="4" t="inlineStr">
        <is>
          <t>Puntaje de la conversación (/100)</t>
        </is>
      </c>
      <c r="K73" s="26">
        <f>IF(I78=1,SUM(K14:K71),"")</f>
        <v/>
      </c>
      <c r="N73" s="26">
        <f>IF(L78=1,SUM(N14:N71),"")</f>
        <v/>
      </c>
      <c r="Q73" s="26">
        <f>IF(O78=1,SUM(Q14:Q71),"")</f>
        <v/>
      </c>
      <c r="T73" s="26">
        <f>IF(R78=1,SUM(T14:T71),"")</f>
        <v/>
      </c>
      <c r="W73" s="26">
        <f>IF(U78=1,SUM(W14:W71),"")</f>
        <v/>
      </c>
      <c r="Z73" s="26">
        <f>IF(X78=1,SUM(Z14:Z71),"")</f>
        <v/>
      </c>
    </row>
    <row r="74">
      <c r="C74" s="4" t="inlineStr">
        <is>
          <t>Fase I: HD con NO (1 = reprueba)</t>
        </is>
      </c>
      <c r="I74">
        <f>IF(I78=1,IF(COUNTIFS($D$14:$D$71,"Control HD",I14:I71,"NO")&gt;0,1,0),0)</f>
        <v/>
      </c>
      <c r="L74">
        <f>IF(L78=1,IF(COUNTIFS($D$14:$D$71,"Control HD",L14:L71,"NO")&gt;0,1,0),0)</f>
        <v/>
      </c>
      <c r="O74">
        <f>IF(O78=1,IF(COUNTIFS($D$14:$D$71,"Control HD",O14:O71,"NO")&gt;0,1,0),0)</f>
        <v/>
      </c>
      <c r="R74">
        <f>IF(R78=1,IF(COUNTIFS($D$14:$D$71,"Control HD",R14:R71,"NO")&gt;0,1,0),0)</f>
        <v/>
      </c>
      <c r="U74">
        <f>IF(U78=1,IF(COUNTIFS($D$14:$D$71,"Control HD",U14:U71,"NO")&gt;0,1,0),0)</f>
        <v/>
      </c>
      <c r="X74">
        <f>IF(X78=1,IF(COUNTIFS($D$14:$D$71,"Control HD",X14:X71,"NO")&gt;0,1,0),0)</f>
        <v/>
      </c>
    </row>
    <row r="75">
      <c r="C75" s="4" t="inlineStr">
        <is>
          <t>ECU con error (1 = sí)</t>
        </is>
      </c>
      <c r="I75">
        <f>IF(I78=1,IF(COUNTIFS($D$14:$D$71,"ECU",I14:I71,"NO")&gt;0,1,0),0)</f>
        <v/>
      </c>
      <c r="L75">
        <f>IF(L78=1,IF(COUNTIFS($D$14:$D$71,"ECU",L14:L71,"NO")&gt;0,1,0),0)</f>
        <v/>
      </c>
      <c r="O75">
        <f>IF(O78=1,IF(COUNTIFS($D$14:$D$71,"ECU",O14:O71,"NO")&gt;0,1,0),0)</f>
        <v/>
      </c>
      <c r="R75">
        <f>IF(R78=1,IF(COUNTIFS($D$14:$D$71,"ECU",R14:R71,"NO")&gt;0,1,0),0)</f>
        <v/>
      </c>
      <c r="U75">
        <f>IF(U78=1,IF(COUNTIFS($D$14:$D$71,"ECU",U14:U71,"NO")&gt;0,1,0),0)</f>
        <v/>
      </c>
      <c r="X75">
        <f>IF(X78=1,IF(COUNTIFS($D$14:$D$71,"ECU",X14:X71,"NO")&gt;0,1,0),0)</f>
        <v/>
      </c>
    </row>
    <row r="76">
      <c r="C76" s="4" t="inlineStr">
        <is>
          <t>ECN con error (1 = sí)</t>
        </is>
      </c>
      <c r="I76">
        <f>IF(I78=1,IF(COUNTIFS($D$14:$D$71,"ECN",I14:I71,"NO")&gt;0,1,0),0)</f>
        <v/>
      </c>
      <c r="L76">
        <f>IF(L78=1,IF(COUNTIFS($D$14:$D$71,"ECN",L14:L71,"NO")&gt;0,1,0),0)</f>
        <v/>
      </c>
      <c r="O76">
        <f>IF(O78=1,IF(COUNTIFS($D$14:$D$71,"ECN",O14:O71,"NO")&gt;0,1,0),0)</f>
        <v/>
      </c>
      <c r="R76">
        <f>IF(R78=1,IF(COUNTIFS($D$14:$D$71,"ECN",R14:R71,"NO")&gt;0,1,0),0)</f>
        <v/>
      </c>
      <c r="U76">
        <f>IF(U78=1,IF(COUNTIFS($D$14:$D$71,"ECN",U14:U71,"NO")&gt;0,1,0),0)</f>
        <v/>
      </c>
      <c r="X76">
        <f>IF(X78=1,IF(COUNTIFS($D$14:$D$71,"ECN",X14:X71,"NO")&gt;0,1,0),0)</f>
        <v/>
      </c>
    </row>
    <row r="77">
      <c r="C77" s="4" t="inlineStr">
        <is>
          <t>ECC con error (1 = sí)</t>
        </is>
      </c>
      <c r="I77">
        <f>IF(I78=1,IF(COUNTIFS($D$14:$D$71,"ECC",I14:I71,"NO")&gt;0,1,0),0)</f>
        <v/>
      </c>
      <c r="L77">
        <f>IF(L78=1,IF(COUNTIFS($D$14:$D$71,"ECC",L14:L71,"NO")&gt;0,1,0),0)</f>
        <v/>
      </c>
      <c r="O77">
        <f>IF(O78=1,IF(COUNTIFS($D$14:$D$71,"ECC",O14:O71,"NO")&gt;0,1,0),0)</f>
        <v/>
      </c>
      <c r="R77">
        <f>IF(R78=1,IF(COUNTIFS($D$14:$D$71,"ECC",R14:R71,"NO")&gt;0,1,0),0)</f>
        <v/>
      </c>
      <c r="U77">
        <f>IF(U78=1,IF(COUNTIFS($D$14:$D$71,"ECC",U14:U71,"NO")&gt;0,1,0),0)</f>
        <v/>
      </c>
      <c r="X77">
        <f>IF(X78=1,IF(COUNTIFS($D$14:$D$71,"ECC",X14:X71,"NO")&gt;0,1,0),0)</f>
        <v/>
      </c>
    </row>
    <row r="78">
      <c r="C78" s="4" t="inlineStr">
        <is>
          <t>Conversación evaluada (1 = sí)</t>
        </is>
      </c>
      <c r="I78">
        <f>IF(COUNTA(I14:I71)&gt;0,1,0)</f>
        <v/>
      </c>
      <c r="L78">
        <f>IF(COUNTA(L14:L71)&gt;0,1,0)</f>
        <v/>
      </c>
      <c r="O78">
        <f>IF(COUNTA(O14:O71)&gt;0,1,0)</f>
        <v/>
      </c>
      <c r="R78">
        <f>IF(COUNTA(R14:R71)&gt;0,1,0)</f>
        <v/>
      </c>
      <c r="U78">
        <f>IF(COUNTA(U14:U71)&gt;0,1,0)</f>
        <v/>
      </c>
      <c r="X78">
        <f>IF(COUNTA(X14:X71)&gt;0,1,0)</f>
        <v/>
      </c>
    </row>
    <row r="79">
      <c r="C79" s="4" t="inlineStr">
        <is>
          <t>Casillas aplicables sin diligenciar</t>
        </is>
      </c>
      <c r="I79">
        <f>IF(I78=1,SUMPRODUCT(($E$14:$E$71=1)*(I14:I71="")),0)</f>
        <v/>
      </c>
      <c r="L79">
        <f>IF(L78=1,SUMPRODUCT(($E$14:$E$71=1)*(L14:L71="")),0)</f>
        <v/>
      </c>
      <c r="O79">
        <f>IF(O78=1,SUMPRODUCT(($E$14:$E$71=1)*(O14:O71="")),0)</f>
        <v/>
      </c>
      <c r="R79">
        <f>IF(R78=1,SUMPRODUCT(($E$14:$E$71=1)*(R14:R71="")),0)</f>
        <v/>
      </c>
      <c r="U79">
        <f>IF(U78=1,SUMPRODUCT(($E$14:$E$71=1)*(U14:U71="")),0)</f>
        <v/>
      </c>
      <c r="X79">
        <f>IF(X78=1,SUMPRODUCT(($E$14:$E$71=1)*(X14:X71="")),0)</f>
        <v/>
      </c>
    </row>
  </sheetData>
  <mergeCells count="18">
    <mergeCell ref="X10:Z10"/>
    <mergeCell ref="I11:K11"/>
    <mergeCell ref="X11:Z11"/>
    <mergeCell ref="I10:K10"/>
    <mergeCell ref="L11:N11"/>
    <mergeCell ref="L10:N10"/>
    <mergeCell ref="R11:T11"/>
    <mergeCell ref="R10:T10"/>
    <mergeCell ref="X9:Z9"/>
    <mergeCell ref="U10:W10"/>
    <mergeCell ref="I9:K9"/>
    <mergeCell ref="O9:Q9"/>
    <mergeCell ref="L9:N9"/>
    <mergeCell ref="R9:T9"/>
    <mergeCell ref="U9:W9"/>
    <mergeCell ref="U11:W11"/>
    <mergeCell ref="O10:Q10"/>
    <mergeCell ref="O11:Q11"/>
  </mergeCells>
  <dataValidations count="5">
    <dataValidation sqref="I14:I71 L14:L71 O14:O71 R14:R71 U14:U71 X14:X71" showDropDown="0" showInputMessage="0" showErrorMessage="0" allowBlank="1" type="list">
      <formula1>"SI,NO,N/A"</formula1>
    </dataValidation>
    <dataValidation sqref="B4" showDropDown="0" showInputMessage="0" showErrorMessage="0" allowBlank="1" type="list">
      <formula1>VARIABLES!$D$2:$D$5</formula1>
    </dataValidation>
    <dataValidation sqref="B5" showDropDown="0" showInputMessage="0" showErrorMessage="0" allowBlank="1" type="list">
      <formula1>VARIABLES!$E$2:$E$4</formula1>
    </dataValidation>
    <dataValidation sqref="I11 L11 O11 R11 U11 X11" showDropDown="0" showInputMessage="0" showErrorMessage="0" allowBlank="1" type="list">
      <formula1>VARIABLES!$B$2:$B$3</formula1>
    </dataValidation>
    <dataValidation sqref="B6" showDropDown="0" showInputMessage="0" showErrorMessage="0" allowBlank="1" type="list">
      <formula1>VARIABLES!$C$2:$C$13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79"/>
  <sheetViews>
    <sheetView workbookViewId="0">
      <pane xSplit="3" ySplit="13" topLeftCell="D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60" customWidth="1" min="3" max="3"/>
    <col width="11" customWidth="1" min="4" max="4"/>
    <col outlineLevel="1" width="7" customWidth="1" min="5" max="5"/>
    <col outlineLevel="1" width="7" customWidth="1" min="6" max="6"/>
    <col outlineLevel="1" width="9" customWidth="1" min="7" max="7"/>
    <col outlineLevel="1" width="8" customWidth="1" min="8" max="8"/>
    <col width="11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11" customWidth="1" min="15" max="15"/>
    <col width="8" customWidth="1" min="16" max="16"/>
    <col width="8" customWidth="1" min="17" max="17"/>
    <col width="11" customWidth="1" min="18" max="18"/>
    <col width="8" customWidth="1" min="19" max="19"/>
    <col width="8" customWidth="1" min="20" max="20"/>
    <col width="11" customWidth="1" min="21" max="21"/>
    <col width="8" customWidth="1" min="22" max="22"/>
    <col width="8" customWidth="1" min="23" max="23"/>
    <col width="11" customWidth="1" min="24" max="24"/>
    <col width="8" customWidth="1" min="25" max="25"/>
    <col width="8" customWidth="1" min="26" max="26"/>
    <col outlineLevel="1" width="10" customWidth="1" min="27" max="27"/>
    <col outlineLevel="1" width="10" customWidth="1" min="28" max="28"/>
    <col width="10" customWidth="1" min="29" max="29"/>
    <col outlineLevel="1" width="10" customWidth="1" min="30" max="30"/>
    <col width="10" customWidth="1" min="31" max="31"/>
  </cols>
  <sheetData>
    <row r="1">
      <c r="A1" s="3" t="inlineStr">
        <is>
          <t>FORMATO DE MONITOREO COMERCIAL · PREVENTA Y VENTA</t>
        </is>
      </c>
    </row>
    <row r="3">
      <c r="A3" s="4" t="inlineStr">
        <is>
          <t>Asesor</t>
        </is>
      </c>
      <c r="B3" s="5" t="n"/>
      <c r="I3" s="4" t="inlineStr">
        <is>
          <t>Fase I (Habeas Data)</t>
        </is>
      </c>
      <c r="P3" s="16">
        <f>IF($B$7=0,"",IF(SUM(I74,L74,O74,R74,U74,X74)&gt;0,"Reprobada","Aprobada"))</f>
        <v/>
      </c>
      <c r="S3" s="4" t="inlineStr">
        <is>
          <t>ECU · % sin error</t>
        </is>
      </c>
      <c r="Z3" s="17">
        <f>IF($B$7=0,"",1-SUM(I75,L75,O75,R75,U75,X75)/$B$7)</f>
        <v/>
      </c>
    </row>
    <row r="4">
      <c r="A4" s="4" t="inlineStr">
        <is>
          <t>Canal</t>
        </is>
      </c>
      <c r="B4" s="5" t="n"/>
      <c r="I4" s="4" t="inlineStr">
        <is>
          <t>Nota /100</t>
        </is>
      </c>
      <c r="P4" s="18">
        <f>IF($B$7=0,"",IF(P3="Reprobada",0,AVERAGE(K73,N73,Q73,T73,W73,Z73)*1))</f>
        <v/>
      </c>
      <c r="S4" s="4" t="inlineStr">
        <is>
          <t>ECN · % sin error</t>
        </is>
      </c>
      <c r="Z4" s="17">
        <f>IF($B$7=0,"",1-SUM(I76,L76,O76,R76,U76,X76)/$B$7)</f>
        <v/>
      </c>
    </row>
    <row r="5">
      <c r="A5" s="4" t="inlineStr">
        <is>
          <t>Gestión</t>
        </is>
      </c>
      <c r="B5" s="5" t="n"/>
      <c r="I5" s="4" t="inlineStr">
        <is>
          <t>Nota /300</t>
        </is>
      </c>
      <c r="P5" s="18">
        <f>IF(P4="","",P4*3)</f>
        <v/>
      </c>
      <c r="S5" s="4" t="inlineStr">
        <is>
          <t>ECC · % sin error</t>
        </is>
      </c>
      <c r="Z5" s="17">
        <f>IF($B$7=0,"",1-SUM(I77,L77,O77,R77,U77,X77)/$B$7)</f>
        <v/>
      </c>
    </row>
    <row r="6">
      <c r="A6" s="4" t="inlineStr">
        <is>
          <t>Mes</t>
        </is>
      </c>
      <c r="B6" s="5" t="n"/>
      <c r="I6" s="4" t="inlineStr">
        <is>
          <t>Nivel</t>
        </is>
      </c>
      <c r="P6" s="16">
        <f>IF(P4="","",IF(P3="Reprobada","Crítico",LOOKUP(P4/100,'TABLA GENERAL'!$I$7:$I$10,'TABLA GENERAL'!$F$7:$F$10)))</f>
        <v/>
      </c>
      <c r="S6" s="4" t="inlineStr">
        <is>
          <t>Alerta Dirección</t>
        </is>
      </c>
      <c r="Z6" s="16">
        <f>IF($B$7=0,"",IF(SUMPRODUCT($AD$14:$AD$71*((I14:I71="NO")+(L14:L71="NO")+(O14:O71="NO")+(R14:R71="NO")+(U14:U71="NO")+(X14:X71="NO")))&gt;0,"SÍ - reportar","No"))</f>
        <v/>
      </c>
    </row>
    <row r="7">
      <c r="A7" s="4" t="inlineStr">
        <is>
          <t>Conversaciones evaluadas</t>
        </is>
      </c>
      <c r="B7">
        <f>SUM(I78,L78,O78,R78,U78,X78)</f>
        <v/>
      </c>
      <c r="I7" s="4" t="inlineStr">
        <is>
          <t>Estado</t>
        </is>
      </c>
      <c r="P7" s="16">
        <f>IF(P4="","",IF(P3="Reprobada","Reprobado",IF(P4/100&gt;='TABLA GENERAL'!$C$21,"Aprobado","Plan de acción")))</f>
        <v/>
      </c>
      <c r="S7" s="4" t="inlineStr">
        <is>
          <t>Casillas por revisar</t>
        </is>
      </c>
      <c r="Z7" s="16">
        <f>SUM(I79,L79,O79,R79,U79,X79)+COUNTIF(AE14:AE71,"REVISAR")</f>
        <v/>
      </c>
    </row>
    <row r="9">
      <c r="I9" s="6" t="inlineStr">
        <is>
          <t>Conversación 1</t>
        </is>
      </c>
      <c r="L9" s="6" t="inlineStr">
        <is>
          <t>Conversación 2</t>
        </is>
      </c>
      <c r="O9" s="6" t="inlineStr">
        <is>
          <t>Conversación 3</t>
        </is>
      </c>
      <c r="R9" s="6" t="inlineStr">
        <is>
          <t>Conversación 4</t>
        </is>
      </c>
      <c r="U9" s="6" t="inlineStr">
        <is>
          <t>Conversación 5</t>
        </is>
      </c>
      <c r="X9" s="6" t="inlineStr">
        <is>
          <t>Conversación 6</t>
        </is>
      </c>
    </row>
    <row r="10">
      <c r="C10" s="4" t="inlineStr">
        <is>
          <t>Fecha / ID de la conversación</t>
        </is>
      </c>
      <c r="I10" s="5" t="n"/>
      <c r="L10" s="5" t="n"/>
      <c r="O10" s="5" t="n"/>
      <c r="R10" s="5" t="n"/>
      <c r="U10" s="5" t="n"/>
      <c r="X10" s="5" t="n"/>
    </row>
    <row r="11">
      <c r="C11" s="4" t="inlineStr">
        <is>
          <t>Modalidad</t>
        </is>
      </c>
      <c r="I11" s="5" t="n"/>
      <c r="L11" s="5" t="n"/>
      <c r="O11" s="5" t="n"/>
      <c r="R11" s="5" t="n"/>
      <c r="U11" s="5" t="n"/>
      <c r="X11" s="5" t="n"/>
    </row>
    <row r="13" ht="32" customHeight="1">
      <c r="A13" s="6" t="inlineStr">
        <is>
          <t>Código</t>
        </is>
      </c>
      <c r="B13" s="6" t="inlineStr">
        <is>
          <t>Dimensión</t>
        </is>
      </c>
      <c r="C13" s="6" t="inlineStr">
        <is>
          <t>Descripción</t>
        </is>
      </c>
      <c r="D13" s="6" t="inlineStr">
        <is>
          <t>Tipo</t>
        </is>
      </c>
      <c r="E13" s="6" t="inlineStr">
        <is>
          <t>Aplica</t>
        </is>
      </c>
      <c r="F13" s="6" t="inlineStr">
        <is>
          <t>Peso base</t>
        </is>
      </c>
      <c r="G13" s="6" t="inlineStr">
        <is>
          <t>Receptor N/A</t>
        </is>
      </c>
      <c r="H13" s="6" t="inlineStr">
        <is>
          <t>Admite N/A</t>
        </is>
      </c>
      <c r="I13" s="6" t="inlineStr">
        <is>
          <t>Resultado</t>
        </is>
      </c>
      <c r="J13" s="6" t="inlineStr">
        <is>
          <t>Peso estab.</t>
        </is>
      </c>
      <c r="K13" s="6" t="inlineStr">
        <is>
          <t>Peso logrado</t>
        </is>
      </c>
      <c r="L13" s="6" t="inlineStr">
        <is>
          <t>Resultado</t>
        </is>
      </c>
      <c r="M13" s="6" t="inlineStr">
        <is>
          <t>Peso estab.</t>
        </is>
      </c>
      <c r="N13" s="6" t="inlineStr">
        <is>
          <t>Peso logrado</t>
        </is>
      </c>
      <c r="O13" s="6" t="inlineStr">
        <is>
          <t>Resultado</t>
        </is>
      </c>
      <c r="P13" s="6" t="inlineStr">
        <is>
          <t>Peso estab.</t>
        </is>
      </c>
      <c r="Q13" s="6" t="inlineStr">
        <is>
          <t>Peso logrado</t>
        </is>
      </c>
      <c r="R13" s="6" t="inlineStr">
        <is>
          <t>Resultado</t>
        </is>
      </c>
      <c r="S13" s="6" t="inlineStr">
        <is>
          <t>Peso estab.</t>
        </is>
      </c>
      <c r="T13" s="6" t="inlineStr">
        <is>
          <t>Peso logrado</t>
        </is>
      </c>
      <c r="U13" s="6" t="inlineStr">
        <is>
          <t>Resultado</t>
        </is>
      </c>
      <c r="V13" s="6" t="inlineStr">
        <is>
          <t>Peso estab.</t>
        </is>
      </c>
      <c r="W13" s="6" t="inlineStr">
        <is>
          <t>Peso logrado</t>
        </is>
      </c>
      <c r="X13" s="6" t="inlineStr">
        <is>
          <t>Resultado</t>
        </is>
      </c>
      <c r="Y13" s="6" t="inlineStr">
        <is>
          <t>Peso estab.</t>
        </is>
      </c>
      <c r="Z13" s="6" t="inlineStr">
        <is>
          <t>Peso logrado</t>
        </is>
      </c>
      <c r="AA13" s="6" t="inlineStr">
        <is>
          <t>Σ peso estab.</t>
        </is>
      </c>
      <c r="AB13" s="6" t="inlineStr">
        <is>
          <t>Σ peso logrado</t>
        </is>
      </c>
      <c r="AC13" s="6" t="inlineStr">
        <is>
          <t>% cumplimiento</t>
        </is>
      </c>
      <c r="AD13" s="6" t="inlineStr">
        <is>
          <t>Alerta</t>
        </is>
      </c>
      <c r="AE13" s="6" t="inlineStr">
        <is>
          <t>Validación</t>
        </is>
      </c>
    </row>
    <row r="14">
      <c r="A14" s="19">
        <f>CRITERIOS!B2</f>
        <v/>
      </c>
      <c r="B14" s="19">
        <f>CRITERIOS!C2</f>
        <v/>
      </c>
      <c r="C14" s="20">
        <f>CRITERIOS!D2</f>
        <v/>
      </c>
      <c r="D14" s="19">
        <f>CRITERIOS!E2</f>
        <v/>
      </c>
      <c r="E14" s="19">
        <f>IFERROR(IF(AND(OR(CRITERIOS!F2="Todos",CRITERIOS!F2=$B$4),INDEX(CRITERIOS!H2:J2,MATCH($B$5,VARIABLES!$E$2:$E$4,0))=1),1,0),0)</f>
        <v/>
      </c>
      <c r="F14" s="19">
        <f>IFERROR(IF(E14=1,INDEX(CRITERIOS!K2:M2,MATCH($B$5,VARIABLES!$E$2:$E$4,0)),0),0)</f>
        <v/>
      </c>
      <c r="G14" s="19">
        <f>IF(CRITERIOS!N2="","",CRITERIOS!N2)</f>
        <v/>
      </c>
      <c r="H14" s="19">
        <f>IF(CRITERIOS!O2="","",CRITERIOS!O2)</f>
        <v/>
      </c>
      <c r="I14" s="21" t="n"/>
      <c r="J14" s="22">
        <f>IF(OR($E14=0,I$78=0),0,IF(AND(I14="N/A",$G14&lt;&gt;""),0,$F14+SUMPRODUCT(($G$14:$G$71=$A14)*($E$14:$E$71=1)*(I$14:I$71="N/A")*$F$14:$F$71)))</f>
        <v/>
      </c>
      <c r="K14" s="22">
        <f>IF(I14="SI",J14,0)</f>
        <v/>
      </c>
      <c r="L14" s="21" t="n"/>
      <c r="M14" s="22">
        <f>IF(OR($E14=0,L$78=0),0,IF(AND(L14="N/A",$G14&lt;&gt;""),0,$F14+SUMPRODUCT(($G$14:$G$71=$A14)*($E$14:$E$71=1)*(L$14:L$71="N/A")*$F$14:$F$71)))</f>
        <v/>
      </c>
      <c r="N14" s="22">
        <f>IF(L14="SI",M14,0)</f>
        <v/>
      </c>
      <c r="O14" s="21" t="n"/>
      <c r="P14" s="22">
        <f>IF(OR($E14=0,O$78=0),0,IF(AND(O14="N/A",$G14&lt;&gt;""),0,$F14+SUMPRODUCT(($G$14:$G$71=$A14)*($E$14:$E$71=1)*(O$14:O$71="N/A")*$F$14:$F$71)))</f>
        <v/>
      </c>
      <c r="Q14" s="22">
        <f>IF(O14="SI",P14,0)</f>
        <v/>
      </c>
      <c r="R14" s="21" t="n"/>
      <c r="S14" s="22">
        <f>IF(OR($E14=0,R$78=0),0,IF(AND(R14="N/A",$G14&lt;&gt;""),0,$F14+SUMPRODUCT(($G$14:$G$71=$A14)*($E$14:$E$71=1)*(R$14:R$71="N/A")*$F$14:$F$71)))</f>
        <v/>
      </c>
      <c r="T14" s="22">
        <f>IF(R14="SI",S14,0)</f>
        <v/>
      </c>
      <c r="U14" s="21" t="n"/>
      <c r="V14" s="22">
        <f>IF(OR($E14=0,U$78=0),0,IF(AND(U14="N/A",$G14&lt;&gt;""),0,$F14+SUMPRODUCT(($G$14:$G$71=$A14)*($E$14:$E$71=1)*(U$14:U$71="N/A")*$F$14:$F$71)))</f>
        <v/>
      </c>
      <c r="W14" s="22">
        <f>IF(U14="SI",V14,0)</f>
        <v/>
      </c>
      <c r="X14" s="21" t="n"/>
      <c r="Y14" s="22">
        <f>IF(OR($E14=0,X$78=0),0,IF(AND(X14="N/A",$G14&lt;&gt;""),0,$F14+SUMPRODUCT(($G$14:$G$71=$A14)*($E$14:$E$71=1)*(X$14:X$71="N/A")*$F$14:$F$71)))</f>
        <v/>
      </c>
      <c r="Z14" s="22">
        <f>IF(X14="SI",Y14,0)</f>
        <v/>
      </c>
      <c r="AA14" s="22">
        <f>SUM(J14,M14,P14,S14,V14,Y14)</f>
        <v/>
      </c>
      <c r="AB14" s="22">
        <f>SUM(K14,N14,Q14,T14,W14,Z14)</f>
        <v/>
      </c>
      <c r="AC14" s="23">
        <f>IF(AA14=0,"",AB14/AA14)</f>
        <v/>
      </c>
      <c r="AD14" s="22">
        <f>CRITERIOS!Q2</f>
        <v/>
      </c>
      <c r="AE14" s="22">
        <f>IF(AND(E14=1,H14&lt;&gt;"X",((I14="N/A")+(L14="N/A")+(O14="N/A")+(R14="N/A")+(U14="N/A")+(X14="N/A"))&gt;0),"REVISAR","")</f>
        <v/>
      </c>
    </row>
    <row r="15">
      <c r="A15" s="19">
        <f>CRITERIOS!B3</f>
        <v/>
      </c>
      <c r="B15" s="19">
        <f>CRITERIOS!C3</f>
        <v/>
      </c>
      <c r="C15" s="20">
        <f>CRITERIOS!D3</f>
        <v/>
      </c>
      <c r="D15" s="19">
        <f>CRITERIOS!E3</f>
        <v/>
      </c>
      <c r="E15" s="19">
        <f>IFERROR(IF(AND(OR(CRITERIOS!F3="Todos",CRITERIOS!F3=$B$4),INDEX(CRITERIOS!H3:J3,MATCH($B$5,VARIABLES!$E$2:$E$4,0))=1),1,0),0)</f>
        <v/>
      </c>
      <c r="F15" s="19">
        <f>IFERROR(IF(E15=1,INDEX(CRITERIOS!K3:M3,MATCH($B$5,VARIABLES!$E$2:$E$4,0)),0),0)</f>
        <v/>
      </c>
      <c r="G15" s="19">
        <f>IF(CRITERIOS!N3="","",CRITERIOS!N3)</f>
        <v/>
      </c>
      <c r="H15" s="19">
        <f>IF(CRITERIOS!O3="","",CRITERIOS!O3)</f>
        <v/>
      </c>
      <c r="I15" s="21" t="n"/>
      <c r="J15" s="22">
        <f>IF(OR($E15=0,I$78=0),0,IF(AND(I15="N/A",$G15&lt;&gt;""),0,$F15+SUMPRODUCT(($G$14:$G$71=$A15)*($E$14:$E$71=1)*(I$14:I$71="N/A")*$F$14:$F$71)))</f>
        <v/>
      </c>
      <c r="K15" s="22">
        <f>IF(I15="SI",J15,0)</f>
        <v/>
      </c>
      <c r="L15" s="21" t="n"/>
      <c r="M15" s="22">
        <f>IF(OR($E15=0,L$78=0),0,IF(AND(L15="N/A",$G15&lt;&gt;""),0,$F15+SUMPRODUCT(($G$14:$G$71=$A15)*($E$14:$E$71=1)*(L$14:L$71="N/A")*$F$14:$F$71)))</f>
        <v/>
      </c>
      <c r="N15" s="22">
        <f>IF(L15="SI",M15,0)</f>
        <v/>
      </c>
      <c r="O15" s="21" t="n"/>
      <c r="P15" s="22">
        <f>IF(OR($E15=0,O$78=0),0,IF(AND(O15="N/A",$G15&lt;&gt;""),0,$F15+SUMPRODUCT(($G$14:$G$71=$A15)*($E$14:$E$71=1)*(O$14:O$71="N/A")*$F$14:$F$71)))</f>
        <v/>
      </c>
      <c r="Q15" s="22">
        <f>IF(O15="SI",P15,0)</f>
        <v/>
      </c>
      <c r="R15" s="21" t="n"/>
      <c r="S15" s="22">
        <f>IF(OR($E15=0,R$78=0),0,IF(AND(R15="N/A",$G15&lt;&gt;""),0,$F15+SUMPRODUCT(($G$14:$G$71=$A15)*($E$14:$E$71=1)*(R$14:R$71="N/A")*$F$14:$F$71)))</f>
        <v/>
      </c>
      <c r="T15" s="22">
        <f>IF(R15="SI",S15,0)</f>
        <v/>
      </c>
      <c r="U15" s="21" t="n"/>
      <c r="V15" s="22">
        <f>IF(OR($E15=0,U$78=0),0,IF(AND(U15="N/A",$G15&lt;&gt;""),0,$F15+SUMPRODUCT(($G$14:$G$71=$A15)*($E$14:$E$71=1)*(U$14:U$71="N/A")*$F$14:$F$71)))</f>
        <v/>
      </c>
      <c r="W15" s="22">
        <f>IF(U15="SI",V15,0)</f>
        <v/>
      </c>
      <c r="X15" s="21" t="n"/>
      <c r="Y15" s="22">
        <f>IF(OR($E15=0,X$78=0),0,IF(AND(X15="N/A",$G15&lt;&gt;""),0,$F15+SUMPRODUCT(($G$14:$G$71=$A15)*($E$14:$E$71=1)*(X$14:X$71="N/A")*$F$14:$F$71)))</f>
        <v/>
      </c>
      <c r="Z15" s="22">
        <f>IF(X15="SI",Y15,0)</f>
        <v/>
      </c>
      <c r="AA15" s="22">
        <f>SUM(J15,M15,P15,S15,V15,Y15)</f>
        <v/>
      </c>
      <c r="AB15" s="22">
        <f>SUM(K15,N15,Q15,T15,W15,Z15)</f>
        <v/>
      </c>
      <c r="AC15" s="23">
        <f>IF(AA15=0,"",AB15/AA15)</f>
        <v/>
      </c>
      <c r="AD15" s="22">
        <f>CRITERIOS!Q3</f>
        <v/>
      </c>
      <c r="AE15" s="22">
        <f>IF(AND(E15=1,H15&lt;&gt;"X",((I15="N/A")+(L15="N/A")+(O15="N/A")+(R15="N/A")+(U15="N/A")+(X15="N/A"))&gt;0),"REVISAR","")</f>
        <v/>
      </c>
    </row>
    <row r="16">
      <c r="A16" s="19">
        <f>CRITERIOS!B4</f>
        <v/>
      </c>
      <c r="B16" s="19">
        <f>CRITERIOS!C4</f>
        <v/>
      </c>
      <c r="C16" s="20">
        <f>CRITERIOS!D4</f>
        <v/>
      </c>
      <c r="D16" s="19">
        <f>CRITERIOS!E4</f>
        <v/>
      </c>
      <c r="E16" s="19">
        <f>IFERROR(IF(AND(OR(CRITERIOS!F4="Todos",CRITERIOS!F4=$B$4),INDEX(CRITERIOS!H4:J4,MATCH($B$5,VARIABLES!$E$2:$E$4,0))=1),1,0),0)</f>
        <v/>
      </c>
      <c r="F16" s="19">
        <f>IFERROR(IF(E16=1,INDEX(CRITERIOS!K4:M4,MATCH($B$5,VARIABLES!$E$2:$E$4,0)),0),0)</f>
        <v/>
      </c>
      <c r="G16" s="19">
        <f>IF(CRITERIOS!N4="","",CRITERIOS!N4)</f>
        <v/>
      </c>
      <c r="H16" s="19">
        <f>IF(CRITERIOS!O4="","",CRITERIOS!O4)</f>
        <v/>
      </c>
      <c r="I16" s="21" t="n"/>
      <c r="J16" s="22">
        <f>IF(OR($E16=0,I$78=0),0,IF(AND(I16="N/A",$G16&lt;&gt;""),0,$F16+SUMPRODUCT(($G$14:$G$71=$A16)*($E$14:$E$71=1)*(I$14:I$71="N/A")*$F$14:$F$71)))</f>
        <v/>
      </c>
      <c r="K16" s="22">
        <f>IF(I16="SI",J16,0)</f>
        <v/>
      </c>
      <c r="L16" s="21" t="n"/>
      <c r="M16" s="22">
        <f>IF(OR($E16=0,L$78=0),0,IF(AND(L16="N/A",$G16&lt;&gt;""),0,$F16+SUMPRODUCT(($G$14:$G$71=$A16)*($E$14:$E$71=1)*(L$14:L$71="N/A")*$F$14:$F$71)))</f>
        <v/>
      </c>
      <c r="N16" s="22">
        <f>IF(L16="SI",M16,0)</f>
        <v/>
      </c>
      <c r="O16" s="21" t="n"/>
      <c r="P16" s="22">
        <f>IF(OR($E16=0,O$78=0),0,IF(AND(O16="N/A",$G16&lt;&gt;""),0,$F16+SUMPRODUCT(($G$14:$G$71=$A16)*($E$14:$E$71=1)*(O$14:O$71="N/A")*$F$14:$F$71)))</f>
        <v/>
      </c>
      <c r="Q16" s="22">
        <f>IF(O16="SI",P16,0)</f>
        <v/>
      </c>
      <c r="R16" s="21" t="n"/>
      <c r="S16" s="22">
        <f>IF(OR($E16=0,R$78=0),0,IF(AND(R16="N/A",$G16&lt;&gt;""),0,$F16+SUMPRODUCT(($G$14:$G$71=$A16)*($E$14:$E$71=1)*(R$14:R$71="N/A")*$F$14:$F$71)))</f>
        <v/>
      </c>
      <c r="T16" s="22">
        <f>IF(R16="SI",S16,0)</f>
        <v/>
      </c>
      <c r="U16" s="21" t="n"/>
      <c r="V16" s="22">
        <f>IF(OR($E16=0,U$78=0),0,IF(AND(U16="N/A",$G16&lt;&gt;""),0,$F16+SUMPRODUCT(($G$14:$G$71=$A16)*($E$14:$E$71=1)*(U$14:U$71="N/A")*$F$14:$F$71)))</f>
        <v/>
      </c>
      <c r="W16" s="22">
        <f>IF(U16="SI",V16,0)</f>
        <v/>
      </c>
      <c r="X16" s="21" t="n"/>
      <c r="Y16" s="22">
        <f>IF(OR($E16=0,X$78=0),0,IF(AND(X16="N/A",$G16&lt;&gt;""),0,$F16+SUMPRODUCT(($G$14:$G$71=$A16)*($E$14:$E$71=1)*(X$14:X$71="N/A")*$F$14:$F$71)))</f>
        <v/>
      </c>
      <c r="Z16" s="22">
        <f>IF(X16="SI",Y16,0)</f>
        <v/>
      </c>
      <c r="AA16" s="22">
        <f>SUM(J16,M16,P16,S16,V16,Y16)</f>
        <v/>
      </c>
      <c r="AB16" s="22">
        <f>SUM(K16,N16,Q16,T16,W16,Z16)</f>
        <v/>
      </c>
      <c r="AC16" s="23">
        <f>IF(AA16=0,"",AB16/AA16)</f>
        <v/>
      </c>
      <c r="AD16" s="22">
        <f>CRITERIOS!Q4</f>
        <v/>
      </c>
      <c r="AE16" s="22">
        <f>IF(AND(E16=1,H16&lt;&gt;"X",((I16="N/A")+(L16="N/A")+(O16="N/A")+(R16="N/A")+(U16="N/A")+(X16="N/A"))&gt;0),"REVISAR","")</f>
        <v/>
      </c>
    </row>
    <row r="17">
      <c r="A17" s="19">
        <f>CRITERIOS!B5</f>
        <v/>
      </c>
      <c r="B17" s="19">
        <f>CRITERIOS!C5</f>
        <v/>
      </c>
      <c r="C17" s="20">
        <f>CRITERIOS!D5</f>
        <v/>
      </c>
      <c r="D17" s="19">
        <f>CRITERIOS!E5</f>
        <v/>
      </c>
      <c r="E17" s="19">
        <f>IFERROR(IF(AND(OR(CRITERIOS!F5="Todos",CRITERIOS!F5=$B$4),INDEX(CRITERIOS!H5:J5,MATCH($B$5,VARIABLES!$E$2:$E$4,0))=1),1,0),0)</f>
        <v/>
      </c>
      <c r="F17" s="19">
        <f>IFERROR(IF(E17=1,INDEX(CRITERIOS!K5:M5,MATCH($B$5,VARIABLES!$E$2:$E$4,0)),0),0)</f>
        <v/>
      </c>
      <c r="G17" s="19">
        <f>IF(CRITERIOS!N5="","",CRITERIOS!N5)</f>
        <v/>
      </c>
      <c r="H17" s="19">
        <f>IF(CRITERIOS!O5="","",CRITERIOS!O5)</f>
        <v/>
      </c>
      <c r="I17" s="21" t="n"/>
      <c r="J17" s="22">
        <f>IF(OR($E17=0,I$78=0),0,IF(AND(I17="N/A",$G17&lt;&gt;""),0,$F17+SUMPRODUCT(($G$14:$G$71=$A17)*($E$14:$E$71=1)*(I$14:I$71="N/A")*$F$14:$F$71)))</f>
        <v/>
      </c>
      <c r="K17" s="22">
        <f>IF(I17="SI",J17,0)</f>
        <v/>
      </c>
      <c r="L17" s="21" t="n"/>
      <c r="M17" s="22">
        <f>IF(OR($E17=0,L$78=0),0,IF(AND(L17="N/A",$G17&lt;&gt;""),0,$F17+SUMPRODUCT(($G$14:$G$71=$A17)*($E$14:$E$71=1)*(L$14:L$71="N/A")*$F$14:$F$71)))</f>
        <v/>
      </c>
      <c r="N17" s="22">
        <f>IF(L17="SI",M17,0)</f>
        <v/>
      </c>
      <c r="O17" s="21" t="n"/>
      <c r="P17" s="22">
        <f>IF(OR($E17=0,O$78=0),0,IF(AND(O17="N/A",$G17&lt;&gt;""),0,$F17+SUMPRODUCT(($G$14:$G$71=$A17)*($E$14:$E$71=1)*(O$14:O$71="N/A")*$F$14:$F$71)))</f>
        <v/>
      </c>
      <c r="Q17" s="22">
        <f>IF(O17="SI",P17,0)</f>
        <v/>
      </c>
      <c r="R17" s="21" t="n"/>
      <c r="S17" s="22">
        <f>IF(OR($E17=0,R$78=0),0,IF(AND(R17="N/A",$G17&lt;&gt;""),0,$F17+SUMPRODUCT(($G$14:$G$71=$A17)*($E$14:$E$71=1)*(R$14:R$71="N/A")*$F$14:$F$71)))</f>
        <v/>
      </c>
      <c r="T17" s="22">
        <f>IF(R17="SI",S17,0)</f>
        <v/>
      </c>
      <c r="U17" s="21" t="n"/>
      <c r="V17" s="22">
        <f>IF(OR($E17=0,U$78=0),0,IF(AND(U17="N/A",$G17&lt;&gt;""),0,$F17+SUMPRODUCT(($G$14:$G$71=$A17)*($E$14:$E$71=1)*(U$14:U$71="N/A")*$F$14:$F$71)))</f>
        <v/>
      </c>
      <c r="W17" s="22">
        <f>IF(U17="SI",V17,0)</f>
        <v/>
      </c>
      <c r="X17" s="21" t="n"/>
      <c r="Y17" s="22">
        <f>IF(OR($E17=0,X$78=0),0,IF(AND(X17="N/A",$G17&lt;&gt;""),0,$F17+SUMPRODUCT(($G$14:$G$71=$A17)*($E$14:$E$71=1)*(X$14:X$71="N/A")*$F$14:$F$71)))</f>
        <v/>
      </c>
      <c r="Z17" s="22">
        <f>IF(X17="SI",Y17,0)</f>
        <v/>
      </c>
      <c r="AA17" s="22">
        <f>SUM(J17,M17,P17,S17,V17,Y17)</f>
        <v/>
      </c>
      <c r="AB17" s="22">
        <f>SUM(K17,N17,Q17,T17,W17,Z17)</f>
        <v/>
      </c>
      <c r="AC17" s="23">
        <f>IF(AA17=0,"",AB17/AA17)</f>
        <v/>
      </c>
      <c r="AD17" s="22">
        <f>CRITERIOS!Q5</f>
        <v/>
      </c>
      <c r="AE17" s="22">
        <f>IF(AND(E17=1,H17&lt;&gt;"X",((I17="N/A")+(L17="N/A")+(O17="N/A")+(R17="N/A")+(U17="N/A")+(X17="N/A"))&gt;0),"REVISAR","")</f>
        <v/>
      </c>
    </row>
    <row r="18">
      <c r="A18" s="19">
        <f>CRITERIOS!B6</f>
        <v/>
      </c>
      <c r="B18" s="19">
        <f>CRITERIOS!C6</f>
        <v/>
      </c>
      <c r="C18" s="20">
        <f>CRITERIOS!D6</f>
        <v/>
      </c>
      <c r="D18" s="19">
        <f>CRITERIOS!E6</f>
        <v/>
      </c>
      <c r="E18" s="19">
        <f>IFERROR(IF(AND(OR(CRITERIOS!F6="Todos",CRITERIOS!F6=$B$4),INDEX(CRITERIOS!H6:J6,MATCH($B$5,VARIABLES!$E$2:$E$4,0))=1),1,0),0)</f>
        <v/>
      </c>
      <c r="F18" s="19">
        <f>IFERROR(IF(E18=1,INDEX(CRITERIOS!K6:M6,MATCH($B$5,VARIABLES!$E$2:$E$4,0)),0),0)</f>
        <v/>
      </c>
      <c r="G18" s="19">
        <f>IF(CRITERIOS!N6="","",CRITERIOS!N6)</f>
        <v/>
      </c>
      <c r="H18" s="19">
        <f>IF(CRITERIOS!O6="","",CRITERIOS!O6)</f>
        <v/>
      </c>
      <c r="I18" s="21" t="n"/>
      <c r="J18" s="22">
        <f>IF(OR($E18=0,I$78=0),0,IF(AND(I18="N/A",$G18&lt;&gt;""),0,$F18+SUMPRODUCT(($G$14:$G$71=$A18)*($E$14:$E$71=1)*(I$14:I$71="N/A")*$F$14:$F$71)))</f>
        <v/>
      </c>
      <c r="K18" s="22">
        <f>IF(I18="SI",J18,0)</f>
        <v/>
      </c>
      <c r="L18" s="21" t="n"/>
      <c r="M18" s="22">
        <f>IF(OR($E18=0,L$78=0),0,IF(AND(L18="N/A",$G18&lt;&gt;""),0,$F18+SUMPRODUCT(($G$14:$G$71=$A18)*($E$14:$E$71=1)*(L$14:L$71="N/A")*$F$14:$F$71)))</f>
        <v/>
      </c>
      <c r="N18" s="22">
        <f>IF(L18="SI",M18,0)</f>
        <v/>
      </c>
      <c r="O18" s="21" t="n"/>
      <c r="P18" s="22">
        <f>IF(OR($E18=0,O$78=0),0,IF(AND(O18="N/A",$G18&lt;&gt;""),0,$F18+SUMPRODUCT(($G$14:$G$71=$A18)*($E$14:$E$71=1)*(O$14:O$71="N/A")*$F$14:$F$71)))</f>
        <v/>
      </c>
      <c r="Q18" s="22">
        <f>IF(O18="SI",P18,0)</f>
        <v/>
      </c>
      <c r="R18" s="21" t="n"/>
      <c r="S18" s="22">
        <f>IF(OR($E18=0,R$78=0),0,IF(AND(R18="N/A",$G18&lt;&gt;""),0,$F18+SUMPRODUCT(($G$14:$G$71=$A18)*($E$14:$E$71=1)*(R$14:R$71="N/A")*$F$14:$F$71)))</f>
        <v/>
      </c>
      <c r="T18" s="22">
        <f>IF(R18="SI",S18,0)</f>
        <v/>
      </c>
      <c r="U18" s="21" t="n"/>
      <c r="V18" s="22">
        <f>IF(OR($E18=0,U$78=0),0,IF(AND(U18="N/A",$G18&lt;&gt;""),0,$F18+SUMPRODUCT(($G$14:$G$71=$A18)*($E$14:$E$71=1)*(U$14:U$71="N/A")*$F$14:$F$71)))</f>
        <v/>
      </c>
      <c r="W18" s="22">
        <f>IF(U18="SI",V18,0)</f>
        <v/>
      </c>
      <c r="X18" s="21" t="n"/>
      <c r="Y18" s="22">
        <f>IF(OR($E18=0,X$78=0),0,IF(AND(X18="N/A",$G18&lt;&gt;""),0,$F18+SUMPRODUCT(($G$14:$G$71=$A18)*($E$14:$E$71=1)*(X$14:X$71="N/A")*$F$14:$F$71)))</f>
        <v/>
      </c>
      <c r="Z18" s="22">
        <f>IF(X18="SI",Y18,0)</f>
        <v/>
      </c>
      <c r="AA18" s="22">
        <f>SUM(J18,M18,P18,S18,V18,Y18)</f>
        <v/>
      </c>
      <c r="AB18" s="22">
        <f>SUM(K18,N18,Q18,T18,W18,Z18)</f>
        <v/>
      </c>
      <c r="AC18" s="23">
        <f>IF(AA18=0,"",AB18/AA18)</f>
        <v/>
      </c>
      <c r="AD18" s="22">
        <f>CRITERIOS!Q6</f>
        <v/>
      </c>
      <c r="AE18" s="22">
        <f>IF(AND(E18=1,H18&lt;&gt;"X",((I18="N/A")+(L18="N/A")+(O18="N/A")+(R18="N/A")+(U18="N/A")+(X18="N/A"))&gt;0),"REVISAR","")</f>
        <v/>
      </c>
    </row>
    <row r="19">
      <c r="A19" s="19">
        <f>CRITERIOS!B7</f>
        <v/>
      </c>
      <c r="B19" s="19">
        <f>CRITERIOS!C7</f>
        <v/>
      </c>
      <c r="C19" s="20">
        <f>CRITERIOS!D7</f>
        <v/>
      </c>
      <c r="D19" s="19">
        <f>CRITERIOS!E7</f>
        <v/>
      </c>
      <c r="E19" s="19">
        <f>IFERROR(IF(AND(OR(CRITERIOS!F7="Todos",CRITERIOS!F7=$B$4),INDEX(CRITERIOS!H7:J7,MATCH($B$5,VARIABLES!$E$2:$E$4,0))=1),1,0),0)</f>
        <v/>
      </c>
      <c r="F19" s="19">
        <f>IFERROR(IF(E19=1,INDEX(CRITERIOS!K7:M7,MATCH($B$5,VARIABLES!$E$2:$E$4,0)),0),0)</f>
        <v/>
      </c>
      <c r="G19" s="19">
        <f>IF(CRITERIOS!N7="","",CRITERIOS!N7)</f>
        <v/>
      </c>
      <c r="H19" s="19">
        <f>IF(CRITERIOS!O7="","",CRITERIOS!O7)</f>
        <v/>
      </c>
      <c r="I19" s="21" t="n"/>
      <c r="J19" s="22">
        <f>IF(OR($E19=0,I$78=0),0,IF(AND(I19="N/A",$G19&lt;&gt;""),0,$F19+SUMPRODUCT(($G$14:$G$71=$A19)*($E$14:$E$71=1)*(I$14:I$71="N/A")*$F$14:$F$71)))</f>
        <v/>
      </c>
      <c r="K19" s="22">
        <f>IF(I19="SI",J19,0)</f>
        <v/>
      </c>
      <c r="L19" s="21" t="n"/>
      <c r="M19" s="22">
        <f>IF(OR($E19=0,L$78=0),0,IF(AND(L19="N/A",$G19&lt;&gt;""),0,$F19+SUMPRODUCT(($G$14:$G$71=$A19)*($E$14:$E$71=1)*(L$14:L$71="N/A")*$F$14:$F$71)))</f>
        <v/>
      </c>
      <c r="N19" s="22">
        <f>IF(L19="SI",M19,0)</f>
        <v/>
      </c>
      <c r="O19" s="21" t="n"/>
      <c r="P19" s="22">
        <f>IF(OR($E19=0,O$78=0),0,IF(AND(O19="N/A",$G19&lt;&gt;""),0,$F19+SUMPRODUCT(($G$14:$G$71=$A19)*($E$14:$E$71=1)*(O$14:O$71="N/A")*$F$14:$F$71)))</f>
        <v/>
      </c>
      <c r="Q19" s="22">
        <f>IF(O19="SI",P19,0)</f>
        <v/>
      </c>
      <c r="R19" s="21" t="n"/>
      <c r="S19" s="22">
        <f>IF(OR($E19=0,R$78=0),0,IF(AND(R19="N/A",$G19&lt;&gt;""),0,$F19+SUMPRODUCT(($G$14:$G$71=$A19)*($E$14:$E$71=1)*(R$14:R$71="N/A")*$F$14:$F$71)))</f>
        <v/>
      </c>
      <c r="T19" s="22">
        <f>IF(R19="SI",S19,0)</f>
        <v/>
      </c>
      <c r="U19" s="21" t="n"/>
      <c r="V19" s="22">
        <f>IF(OR($E19=0,U$78=0),0,IF(AND(U19="N/A",$G19&lt;&gt;""),0,$F19+SUMPRODUCT(($G$14:$G$71=$A19)*($E$14:$E$71=1)*(U$14:U$71="N/A")*$F$14:$F$71)))</f>
        <v/>
      </c>
      <c r="W19" s="22">
        <f>IF(U19="SI",V19,0)</f>
        <v/>
      </c>
      <c r="X19" s="21" t="n"/>
      <c r="Y19" s="22">
        <f>IF(OR($E19=0,X$78=0),0,IF(AND(X19="N/A",$G19&lt;&gt;""),0,$F19+SUMPRODUCT(($G$14:$G$71=$A19)*($E$14:$E$71=1)*(X$14:X$71="N/A")*$F$14:$F$71)))</f>
        <v/>
      </c>
      <c r="Z19" s="22">
        <f>IF(X19="SI",Y19,0)</f>
        <v/>
      </c>
      <c r="AA19" s="22">
        <f>SUM(J19,M19,P19,S19,V19,Y19)</f>
        <v/>
      </c>
      <c r="AB19" s="22">
        <f>SUM(K19,N19,Q19,T19,W19,Z19)</f>
        <v/>
      </c>
      <c r="AC19" s="23">
        <f>IF(AA19=0,"",AB19/AA19)</f>
        <v/>
      </c>
      <c r="AD19" s="22">
        <f>CRITERIOS!Q7</f>
        <v/>
      </c>
      <c r="AE19" s="22">
        <f>IF(AND(E19=1,H19&lt;&gt;"X",((I19="N/A")+(L19="N/A")+(O19="N/A")+(R19="N/A")+(U19="N/A")+(X19="N/A"))&gt;0),"REVISAR","")</f>
        <v/>
      </c>
    </row>
    <row r="20">
      <c r="A20" s="19">
        <f>CRITERIOS!B8</f>
        <v/>
      </c>
      <c r="B20" s="19">
        <f>CRITERIOS!C8</f>
        <v/>
      </c>
      <c r="C20" s="20">
        <f>CRITERIOS!D8</f>
        <v/>
      </c>
      <c r="D20" s="19">
        <f>CRITERIOS!E8</f>
        <v/>
      </c>
      <c r="E20" s="19">
        <f>IFERROR(IF(AND(OR(CRITERIOS!F8="Todos",CRITERIOS!F8=$B$4),INDEX(CRITERIOS!H8:J8,MATCH($B$5,VARIABLES!$E$2:$E$4,0))=1),1,0),0)</f>
        <v/>
      </c>
      <c r="F20" s="19">
        <f>IFERROR(IF(E20=1,INDEX(CRITERIOS!K8:M8,MATCH($B$5,VARIABLES!$E$2:$E$4,0)),0),0)</f>
        <v/>
      </c>
      <c r="G20" s="19">
        <f>IF(CRITERIOS!N8="","",CRITERIOS!N8)</f>
        <v/>
      </c>
      <c r="H20" s="19">
        <f>IF(CRITERIOS!O8="","",CRITERIOS!O8)</f>
        <v/>
      </c>
      <c r="I20" s="21" t="n"/>
      <c r="J20" s="22">
        <f>IF(OR($E20=0,I$78=0),0,IF(AND(I20="N/A",$G20&lt;&gt;""),0,$F20+SUMPRODUCT(($G$14:$G$71=$A20)*($E$14:$E$71=1)*(I$14:I$71="N/A")*$F$14:$F$71)))</f>
        <v/>
      </c>
      <c r="K20" s="22">
        <f>IF(I20="SI",J20,0)</f>
        <v/>
      </c>
      <c r="L20" s="21" t="n"/>
      <c r="M20" s="22">
        <f>IF(OR($E20=0,L$78=0),0,IF(AND(L20="N/A",$G20&lt;&gt;""),0,$F20+SUMPRODUCT(($G$14:$G$71=$A20)*($E$14:$E$71=1)*(L$14:L$71="N/A")*$F$14:$F$71)))</f>
        <v/>
      </c>
      <c r="N20" s="22">
        <f>IF(L20="SI",M20,0)</f>
        <v/>
      </c>
      <c r="O20" s="21" t="n"/>
      <c r="P20" s="22">
        <f>IF(OR($E20=0,O$78=0),0,IF(AND(O20="N/A",$G20&lt;&gt;""),0,$F20+SUMPRODUCT(($G$14:$G$71=$A20)*($E$14:$E$71=1)*(O$14:O$71="N/A")*$F$14:$F$71)))</f>
        <v/>
      </c>
      <c r="Q20" s="22">
        <f>IF(O20="SI",P20,0)</f>
        <v/>
      </c>
      <c r="R20" s="21" t="n"/>
      <c r="S20" s="22">
        <f>IF(OR($E20=0,R$78=0),0,IF(AND(R20="N/A",$G20&lt;&gt;""),0,$F20+SUMPRODUCT(($G$14:$G$71=$A20)*($E$14:$E$71=1)*(R$14:R$71="N/A")*$F$14:$F$71)))</f>
        <v/>
      </c>
      <c r="T20" s="22">
        <f>IF(R20="SI",S20,0)</f>
        <v/>
      </c>
      <c r="U20" s="21" t="n"/>
      <c r="V20" s="22">
        <f>IF(OR($E20=0,U$78=0),0,IF(AND(U20="N/A",$G20&lt;&gt;""),0,$F20+SUMPRODUCT(($G$14:$G$71=$A20)*($E$14:$E$71=1)*(U$14:U$71="N/A")*$F$14:$F$71)))</f>
        <v/>
      </c>
      <c r="W20" s="22">
        <f>IF(U20="SI",V20,0)</f>
        <v/>
      </c>
      <c r="X20" s="21" t="n"/>
      <c r="Y20" s="22">
        <f>IF(OR($E20=0,X$78=0),0,IF(AND(X20="N/A",$G20&lt;&gt;""),0,$F20+SUMPRODUCT(($G$14:$G$71=$A20)*($E$14:$E$71=1)*(X$14:X$71="N/A")*$F$14:$F$71)))</f>
        <v/>
      </c>
      <c r="Z20" s="22">
        <f>IF(X20="SI",Y20,0)</f>
        <v/>
      </c>
      <c r="AA20" s="22">
        <f>SUM(J20,M20,P20,S20,V20,Y20)</f>
        <v/>
      </c>
      <c r="AB20" s="22">
        <f>SUM(K20,N20,Q20,T20,W20,Z20)</f>
        <v/>
      </c>
      <c r="AC20" s="23">
        <f>IF(AA20=0,"",AB20/AA20)</f>
        <v/>
      </c>
      <c r="AD20" s="22">
        <f>CRITERIOS!Q8</f>
        <v/>
      </c>
      <c r="AE20" s="22">
        <f>IF(AND(E20=1,H20&lt;&gt;"X",((I20="N/A")+(L20="N/A")+(O20="N/A")+(R20="N/A")+(U20="N/A")+(X20="N/A"))&gt;0),"REVISAR","")</f>
        <v/>
      </c>
    </row>
    <row r="21">
      <c r="A21" s="19">
        <f>CRITERIOS!B9</f>
        <v/>
      </c>
      <c r="B21" s="19">
        <f>CRITERIOS!C9</f>
        <v/>
      </c>
      <c r="C21" s="20">
        <f>CRITERIOS!D9</f>
        <v/>
      </c>
      <c r="D21" s="19">
        <f>CRITERIOS!E9</f>
        <v/>
      </c>
      <c r="E21" s="19">
        <f>IFERROR(IF(AND(OR(CRITERIOS!F9="Todos",CRITERIOS!F9=$B$4),INDEX(CRITERIOS!H9:J9,MATCH($B$5,VARIABLES!$E$2:$E$4,0))=1),1,0),0)</f>
        <v/>
      </c>
      <c r="F21" s="19">
        <f>IFERROR(IF(E21=1,INDEX(CRITERIOS!K9:M9,MATCH($B$5,VARIABLES!$E$2:$E$4,0)),0),0)</f>
        <v/>
      </c>
      <c r="G21" s="19">
        <f>IF(CRITERIOS!N9="","",CRITERIOS!N9)</f>
        <v/>
      </c>
      <c r="H21" s="19">
        <f>IF(CRITERIOS!O9="","",CRITERIOS!O9)</f>
        <v/>
      </c>
      <c r="I21" s="21" t="n"/>
      <c r="J21" s="22">
        <f>IF(OR($E21=0,I$78=0),0,IF(AND(I21="N/A",$G21&lt;&gt;""),0,$F21+SUMPRODUCT(($G$14:$G$71=$A21)*($E$14:$E$71=1)*(I$14:I$71="N/A")*$F$14:$F$71)))</f>
        <v/>
      </c>
      <c r="K21" s="22">
        <f>IF(I21="SI",J21,0)</f>
        <v/>
      </c>
      <c r="L21" s="21" t="n"/>
      <c r="M21" s="22">
        <f>IF(OR($E21=0,L$78=0),0,IF(AND(L21="N/A",$G21&lt;&gt;""),0,$F21+SUMPRODUCT(($G$14:$G$71=$A21)*($E$14:$E$71=1)*(L$14:L$71="N/A")*$F$14:$F$71)))</f>
        <v/>
      </c>
      <c r="N21" s="22">
        <f>IF(L21="SI",M21,0)</f>
        <v/>
      </c>
      <c r="O21" s="21" t="n"/>
      <c r="P21" s="22">
        <f>IF(OR($E21=0,O$78=0),0,IF(AND(O21="N/A",$G21&lt;&gt;""),0,$F21+SUMPRODUCT(($G$14:$G$71=$A21)*($E$14:$E$71=1)*(O$14:O$71="N/A")*$F$14:$F$71)))</f>
        <v/>
      </c>
      <c r="Q21" s="22">
        <f>IF(O21="SI",P21,0)</f>
        <v/>
      </c>
      <c r="R21" s="21" t="n"/>
      <c r="S21" s="22">
        <f>IF(OR($E21=0,R$78=0),0,IF(AND(R21="N/A",$G21&lt;&gt;""),0,$F21+SUMPRODUCT(($G$14:$G$71=$A21)*($E$14:$E$71=1)*(R$14:R$71="N/A")*$F$14:$F$71)))</f>
        <v/>
      </c>
      <c r="T21" s="22">
        <f>IF(R21="SI",S21,0)</f>
        <v/>
      </c>
      <c r="U21" s="21" t="n"/>
      <c r="V21" s="22">
        <f>IF(OR($E21=0,U$78=0),0,IF(AND(U21="N/A",$G21&lt;&gt;""),0,$F21+SUMPRODUCT(($G$14:$G$71=$A21)*($E$14:$E$71=1)*(U$14:U$71="N/A")*$F$14:$F$71)))</f>
        <v/>
      </c>
      <c r="W21" s="22">
        <f>IF(U21="SI",V21,0)</f>
        <v/>
      </c>
      <c r="X21" s="21" t="n"/>
      <c r="Y21" s="22">
        <f>IF(OR($E21=0,X$78=0),0,IF(AND(X21="N/A",$G21&lt;&gt;""),0,$F21+SUMPRODUCT(($G$14:$G$71=$A21)*($E$14:$E$71=1)*(X$14:X$71="N/A")*$F$14:$F$71)))</f>
        <v/>
      </c>
      <c r="Z21" s="22">
        <f>IF(X21="SI",Y21,0)</f>
        <v/>
      </c>
      <c r="AA21" s="22">
        <f>SUM(J21,M21,P21,S21,V21,Y21)</f>
        <v/>
      </c>
      <c r="AB21" s="22">
        <f>SUM(K21,N21,Q21,T21,W21,Z21)</f>
        <v/>
      </c>
      <c r="AC21" s="23">
        <f>IF(AA21=0,"",AB21/AA21)</f>
        <v/>
      </c>
      <c r="AD21" s="22">
        <f>CRITERIOS!Q9</f>
        <v/>
      </c>
      <c r="AE21" s="22">
        <f>IF(AND(E21=1,H21&lt;&gt;"X",((I21="N/A")+(L21="N/A")+(O21="N/A")+(R21="N/A")+(U21="N/A")+(X21="N/A"))&gt;0),"REVISAR","")</f>
        <v/>
      </c>
    </row>
    <row r="22">
      <c r="A22" s="19">
        <f>CRITERIOS!B10</f>
        <v/>
      </c>
      <c r="B22" s="19">
        <f>CRITERIOS!C10</f>
        <v/>
      </c>
      <c r="C22" s="20">
        <f>CRITERIOS!D10</f>
        <v/>
      </c>
      <c r="D22" s="19">
        <f>CRITERIOS!E10</f>
        <v/>
      </c>
      <c r="E22" s="19">
        <f>IFERROR(IF(AND(OR(CRITERIOS!F10="Todos",CRITERIOS!F10=$B$4),INDEX(CRITERIOS!H10:J10,MATCH($B$5,VARIABLES!$E$2:$E$4,0))=1),1,0),0)</f>
        <v/>
      </c>
      <c r="F22" s="19">
        <f>IFERROR(IF(E22=1,INDEX(CRITERIOS!K10:M10,MATCH($B$5,VARIABLES!$E$2:$E$4,0)),0),0)</f>
        <v/>
      </c>
      <c r="G22" s="19">
        <f>IF(CRITERIOS!N10="","",CRITERIOS!N10)</f>
        <v/>
      </c>
      <c r="H22" s="19">
        <f>IF(CRITERIOS!O10="","",CRITERIOS!O10)</f>
        <v/>
      </c>
      <c r="I22" s="21" t="n"/>
      <c r="J22" s="22">
        <f>IF(OR($E22=0,I$78=0),0,IF(AND(I22="N/A",$G22&lt;&gt;""),0,$F22+SUMPRODUCT(($G$14:$G$71=$A22)*($E$14:$E$71=1)*(I$14:I$71="N/A")*$F$14:$F$71)))</f>
        <v/>
      </c>
      <c r="K22" s="22">
        <f>IF(I22="SI",J22,0)</f>
        <v/>
      </c>
      <c r="L22" s="21" t="n"/>
      <c r="M22" s="22">
        <f>IF(OR($E22=0,L$78=0),0,IF(AND(L22="N/A",$G22&lt;&gt;""),0,$F22+SUMPRODUCT(($G$14:$G$71=$A22)*($E$14:$E$71=1)*(L$14:L$71="N/A")*$F$14:$F$71)))</f>
        <v/>
      </c>
      <c r="N22" s="22">
        <f>IF(L22="SI",M22,0)</f>
        <v/>
      </c>
      <c r="O22" s="21" t="n"/>
      <c r="P22" s="22">
        <f>IF(OR($E22=0,O$78=0),0,IF(AND(O22="N/A",$G22&lt;&gt;""),0,$F22+SUMPRODUCT(($G$14:$G$71=$A22)*($E$14:$E$71=1)*(O$14:O$71="N/A")*$F$14:$F$71)))</f>
        <v/>
      </c>
      <c r="Q22" s="22">
        <f>IF(O22="SI",P22,0)</f>
        <v/>
      </c>
      <c r="R22" s="21" t="n"/>
      <c r="S22" s="22">
        <f>IF(OR($E22=0,R$78=0),0,IF(AND(R22="N/A",$G22&lt;&gt;""),0,$F22+SUMPRODUCT(($G$14:$G$71=$A22)*($E$14:$E$71=1)*(R$14:R$71="N/A")*$F$14:$F$71)))</f>
        <v/>
      </c>
      <c r="T22" s="22">
        <f>IF(R22="SI",S22,0)</f>
        <v/>
      </c>
      <c r="U22" s="21" t="n"/>
      <c r="V22" s="22">
        <f>IF(OR($E22=0,U$78=0),0,IF(AND(U22="N/A",$G22&lt;&gt;""),0,$F22+SUMPRODUCT(($G$14:$G$71=$A22)*($E$14:$E$71=1)*(U$14:U$71="N/A")*$F$14:$F$71)))</f>
        <v/>
      </c>
      <c r="W22" s="22">
        <f>IF(U22="SI",V22,0)</f>
        <v/>
      </c>
      <c r="X22" s="21" t="n"/>
      <c r="Y22" s="22">
        <f>IF(OR($E22=0,X$78=0),0,IF(AND(X22="N/A",$G22&lt;&gt;""),0,$F22+SUMPRODUCT(($G$14:$G$71=$A22)*($E$14:$E$71=1)*(X$14:X$71="N/A")*$F$14:$F$71)))</f>
        <v/>
      </c>
      <c r="Z22" s="22">
        <f>IF(X22="SI",Y22,0)</f>
        <v/>
      </c>
      <c r="AA22" s="22">
        <f>SUM(J22,M22,P22,S22,V22,Y22)</f>
        <v/>
      </c>
      <c r="AB22" s="22">
        <f>SUM(K22,N22,Q22,T22,W22,Z22)</f>
        <v/>
      </c>
      <c r="AC22" s="23">
        <f>IF(AA22=0,"",AB22/AA22)</f>
        <v/>
      </c>
      <c r="AD22" s="22">
        <f>CRITERIOS!Q10</f>
        <v/>
      </c>
      <c r="AE22" s="22">
        <f>IF(AND(E22=1,H22&lt;&gt;"X",((I22="N/A")+(L22="N/A")+(O22="N/A")+(R22="N/A")+(U22="N/A")+(X22="N/A"))&gt;0),"REVISAR","")</f>
        <v/>
      </c>
    </row>
    <row r="23">
      <c r="A23" s="19">
        <f>CRITERIOS!B11</f>
        <v/>
      </c>
      <c r="B23" s="19">
        <f>CRITERIOS!C11</f>
        <v/>
      </c>
      <c r="C23" s="20">
        <f>CRITERIOS!D11</f>
        <v/>
      </c>
      <c r="D23" s="19">
        <f>CRITERIOS!E11</f>
        <v/>
      </c>
      <c r="E23" s="19">
        <f>IFERROR(IF(AND(OR(CRITERIOS!F11="Todos",CRITERIOS!F11=$B$4),INDEX(CRITERIOS!H11:J11,MATCH($B$5,VARIABLES!$E$2:$E$4,0))=1),1,0),0)</f>
        <v/>
      </c>
      <c r="F23" s="19">
        <f>IFERROR(IF(E23=1,INDEX(CRITERIOS!K11:M11,MATCH($B$5,VARIABLES!$E$2:$E$4,0)),0),0)</f>
        <v/>
      </c>
      <c r="G23" s="19">
        <f>IF(CRITERIOS!N11="","",CRITERIOS!N11)</f>
        <v/>
      </c>
      <c r="H23" s="19">
        <f>IF(CRITERIOS!O11="","",CRITERIOS!O11)</f>
        <v/>
      </c>
      <c r="I23" s="21" t="n"/>
      <c r="J23" s="22">
        <f>IF(OR($E23=0,I$78=0),0,IF(AND(I23="N/A",$G23&lt;&gt;""),0,$F23+SUMPRODUCT(($G$14:$G$71=$A23)*($E$14:$E$71=1)*(I$14:I$71="N/A")*$F$14:$F$71)))</f>
        <v/>
      </c>
      <c r="K23" s="22">
        <f>IF(I23="SI",J23,0)</f>
        <v/>
      </c>
      <c r="L23" s="21" t="n"/>
      <c r="M23" s="22">
        <f>IF(OR($E23=0,L$78=0),0,IF(AND(L23="N/A",$G23&lt;&gt;""),0,$F23+SUMPRODUCT(($G$14:$G$71=$A23)*($E$14:$E$71=1)*(L$14:L$71="N/A")*$F$14:$F$71)))</f>
        <v/>
      </c>
      <c r="N23" s="22">
        <f>IF(L23="SI",M23,0)</f>
        <v/>
      </c>
      <c r="O23" s="21" t="n"/>
      <c r="P23" s="22">
        <f>IF(OR($E23=0,O$78=0),0,IF(AND(O23="N/A",$G23&lt;&gt;""),0,$F23+SUMPRODUCT(($G$14:$G$71=$A23)*($E$14:$E$71=1)*(O$14:O$71="N/A")*$F$14:$F$71)))</f>
        <v/>
      </c>
      <c r="Q23" s="22">
        <f>IF(O23="SI",P23,0)</f>
        <v/>
      </c>
      <c r="R23" s="21" t="n"/>
      <c r="S23" s="22">
        <f>IF(OR($E23=0,R$78=0),0,IF(AND(R23="N/A",$G23&lt;&gt;""),0,$F23+SUMPRODUCT(($G$14:$G$71=$A23)*($E$14:$E$71=1)*(R$14:R$71="N/A")*$F$14:$F$71)))</f>
        <v/>
      </c>
      <c r="T23" s="22">
        <f>IF(R23="SI",S23,0)</f>
        <v/>
      </c>
      <c r="U23" s="21" t="n"/>
      <c r="V23" s="22">
        <f>IF(OR($E23=0,U$78=0),0,IF(AND(U23="N/A",$G23&lt;&gt;""),0,$F23+SUMPRODUCT(($G$14:$G$71=$A23)*($E$14:$E$71=1)*(U$14:U$71="N/A")*$F$14:$F$71)))</f>
        <v/>
      </c>
      <c r="W23" s="22">
        <f>IF(U23="SI",V23,0)</f>
        <v/>
      </c>
      <c r="X23" s="21" t="n"/>
      <c r="Y23" s="22">
        <f>IF(OR($E23=0,X$78=0),0,IF(AND(X23="N/A",$G23&lt;&gt;""),0,$F23+SUMPRODUCT(($G$14:$G$71=$A23)*($E$14:$E$71=1)*(X$14:X$71="N/A")*$F$14:$F$71)))</f>
        <v/>
      </c>
      <c r="Z23" s="22">
        <f>IF(X23="SI",Y23,0)</f>
        <v/>
      </c>
      <c r="AA23" s="22">
        <f>SUM(J23,M23,P23,S23,V23,Y23)</f>
        <v/>
      </c>
      <c r="AB23" s="22">
        <f>SUM(K23,N23,Q23,T23,W23,Z23)</f>
        <v/>
      </c>
      <c r="AC23" s="23">
        <f>IF(AA23=0,"",AB23/AA23)</f>
        <v/>
      </c>
      <c r="AD23" s="22">
        <f>CRITERIOS!Q11</f>
        <v/>
      </c>
      <c r="AE23" s="22">
        <f>IF(AND(E23=1,H23&lt;&gt;"X",((I23="N/A")+(L23="N/A")+(O23="N/A")+(R23="N/A")+(U23="N/A")+(X23="N/A"))&gt;0),"REVISAR","")</f>
        <v/>
      </c>
    </row>
    <row r="24">
      <c r="A24" s="19">
        <f>CRITERIOS!B12</f>
        <v/>
      </c>
      <c r="B24" s="19">
        <f>CRITERIOS!C12</f>
        <v/>
      </c>
      <c r="C24" s="20">
        <f>CRITERIOS!D12</f>
        <v/>
      </c>
      <c r="D24" s="19">
        <f>CRITERIOS!E12</f>
        <v/>
      </c>
      <c r="E24" s="19">
        <f>IFERROR(IF(AND(OR(CRITERIOS!F12="Todos",CRITERIOS!F12=$B$4),INDEX(CRITERIOS!H12:J12,MATCH($B$5,VARIABLES!$E$2:$E$4,0))=1),1,0),0)</f>
        <v/>
      </c>
      <c r="F24" s="19">
        <f>IFERROR(IF(E24=1,INDEX(CRITERIOS!K12:M12,MATCH($B$5,VARIABLES!$E$2:$E$4,0)),0),0)</f>
        <v/>
      </c>
      <c r="G24" s="19">
        <f>IF(CRITERIOS!N12="","",CRITERIOS!N12)</f>
        <v/>
      </c>
      <c r="H24" s="19">
        <f>IF(CRITERIOS!O12="","",CRITERIOS!O12)</f>
        <v/>
      </c>
      <c r="I24" s="21" t="n"/>
      <c r="J24" s="22">
        <f>IF(OR($E24=0,I$78=0),0,IF(AND(I24="N/A",$G24&lt;&gt;""),0,$F24+SUMPRODUCT(($G$14:$G$71=$A24)*($E$14:$E$71=1)*(I$14:I$71="N/A")*$F$14:$F$71)))</f>
        <v/>
      </c>
      <c r="K24" s="22">
        <f>IF(I24="SI",J24,0)</f>
        <v/>
      </c>
      <c r="L24" s="21" t="n"/>
      <c r="M24" s="22">
        <f>IF(OR($E24=0,L$78=0),0,IF(AND(L24="N/A",$G24&lt;&gt;""),0,$F24+SUMPRODUCT(($G$14:$G$71=$A24)*($E$14:$E$71=1)*(L$14:L$71="N/A")*$F$14:$F$71)))</f>
        <v/>
      </c>
      <c r="N24" s="22">
        <f>IF(L24="SI",M24,0)</f>
        <v/>
      </c>
      <c r="O24" s="21" t="n"/>
      <c r="P24" s="22">
        <f>IF(OR($E24=0,O$78=0),0,IF(AND(O24="N/A",$G24&lt;&gt;""),0,$F24+SUMPRODUCT(($G$14:$G$71=$A24)*($E$14:$E$71=1)*(O$14:O$71="N/A")*$F$14:$F$71)))</f>
        <v/>
      </c>
      <c r="Q24" s="22">
        <f>IF(O24="SI",P24,0)</f>
        <v/>
      </c>
      <c r="R24" s="21" t="n"/>
      <c r="S24" s="22">
        <f>IF(OR($E24=0,R$78=0),0,IF(AND(R24="N/A",$G24&lt;&gt;""),0,$F24+SUMPRODUCT(($G$14:$G$71=$A24)*($E$14:$E$71=1)*(R$14:R$71="N/A")*$F$14:$F$71)))</f>
        <v/>
      </c>
      <c r="T24" s="22">
        <f>IF(R24="SI",S24,0)</f>
        <v/>
      </c>
      <c r="U24" s="21" t="n"/>
      <c r="V24" s="22">
        <f>IF(OR($E24=0,U$78=0),0,IF(AND(U24="N/A",$G24&lt;&gt;""),0,$F24+SUMPRODUCT(($G$14:$G$71=$A24)*($E$14:$E$71=1)*(U$14:U$71="N/A")*$F$14:$F$71)))</f>
        <v/>
      </c>
      <c r="W24" s="22">
        <f>IF(U24="SI",V24,0)</f>
        <v/>
      </c>
      <c r="X24" s="21" t="n"/>
      <c r="Y24" s="22">
        <f>IF(OR($E24=0,X$78=0),0,IF(AND(X24="N/A",$G24&lt;&gt;""),0,$F24+SUMPRODUCT(($G$14:$G$71=$A24)*($E$14:$E$71=1)*(X$14:X$71="N/A")*$F$14:$F$71)))</f>
        <v/>
      </c>
      <c r="Z24" s="22">
        <f>IF(X24="SI",Y24,0)</f>
        <v/>
      </c>
      <c r="AA24" s="22">
        <f>SUM(J24,M24,P24,S24,V24,Y24)</f>
        <v/>
      </c>
      <c r="AB24" s="22">
        <f>SUM(K24,N24,Q24,T24,W24,Z24)</f>
        <v/>
      </c>
      <c r="AC24" s="23">
        <f>IF(AA24=0,"",AB24/AA24)</f>
        <v/>
      </c>
      <c r="AD24" s="22">
        <f>CRITERIOS!Q12</f>
        <v/>
      </c>
      <c r="AE24" s="22">
        <f>IF(AND(E24=1,H24&lt;&gt;"X",((I24="N/A")+(L24="N/A")+(O24="N/A")+(R24="N/A")+(U24="N/A")+(X24="N/A"))&gt;0),"REVISAR","")</f>
        <v/>
      </c>
    </row>
    <row r="25">
      <c r="A25" s="19">
        <f>CRITERIOS!B13</f>
        <v/>
      </c>
      <c r="B25" s="19">
        <f>CRITERIOS!C13</f>
        <v/>
      </c>
      <c r="C25" s="20">
        <f>CRITERIOS!D13</f>
        <v/>
      </c>
      <c r="D25" s="19">
        <f>CRITERIOS!E13</f>
        <v/>
      </c>
      <c r="E25" s="19">
        <f>IFERROR(IF(AND(OR(CRITERIOS!F13="Todos",CRITERIOS!F13=$B$4),INDEX(CRITERIOS!H13:J13,MATCH($B$5,VARIABLES!$E$2:$E$4,0))=1),1,0),0)</f>
        <v/>
      </c>
      <c r="F25" s="19">
        <f>IFERROR(IF(E25=1,INDEX(CRITERIOS!K13:M13,MATCH($B$5,VARIABLES!$E$2:$E$4,0)),0),0)</f>
        <v/>
      </c>
      <c r="G25" s="19">
        <f>IF(CRITERIOS!N13="","",CRITERIOS!N13)</f>
        <v/>
      </c>
      <c r="H25" s="19">
        <f>IF(CRITERIOS!O13="","",CRITERIOS!O13)</f>
        <v/>
      </c>
      <c r="I25" s="21" t="n"/>
      <c r="J25" s="22">
        <f>IF(OR($E25=0,I$78=0),0,IF(AND(I25="N/A",$G25&lt;&gt;""),0,$F25+SUMPRODUCT(($G$14:$G$71=$A25)*($E$14:$E$71=1)*(I$14:I$71="N/A")*$F$14:$F$71)))</f>
        <v/>
      </c>
      <c r="K25" s="22">
        <f>IF(I25="SI",J25,0)</f>
        <v/>
      </c>
      <c r="L25" s="21" t="n"/>
      <c r="M25" s="22">
        <f>IF(OR($E25=0,L$78=0),0,IF(AND(L25="N/A",$G25&lt;&gt;""),0,$F25+SUMPRODUCT(($G$14:$G$71=$A25)*($E$14:$E$71=1)*(L$14:L$71="N/A")*$F$14:$F$71)))</f>
        <v/>
      </c>
      <c r="N25" s="22">
        <f>IF(L25="SI",M25,0)</f>
        <v/>
      </c>
      <c r="O25" s="21" t="n"/>
      <c r="P25" s="22">
        <f>IF(OR($E25=0,O$78=0),0,IF(AND(O25="N/A",$G25&lt;&gt;""),0,$F25+SUMPRODUCT(($G$14:$G$71=$A25)*($E$14:$E$71=1)*(O$14:O$71="N/A")*$F$14:$F$71)))</f>
        <v/>
      </c>
      <c r="Q25" s="22">
        <f>IF(O25="SI",P25,0)</f>
        <v/>
      </c>
      <c r="R25" s="21" t="n"/>
      <c r="S25" s="22">
        <f>IF(OR($E25=0,R$78=0),0,IF(AND(R25="N/A",$G25&lt;&gt;""),0,$F25+SUMPRODUCT(($G$14:$G$71=$A25)*($E$14:$E$71=1)*(R$14:R$71="N/A")*$F$14:$F$71)))</f>
        <v/>
      </c>
      <c r="T25" s="22">
        <f>IF(R25="SI",S25,0)</f>
        <v/>
      </c>
      <c r="U25" s="21" t="n"/>
      <c r="V25" s="22">
        <f>IF(OR($E25=0,U$78=0),0,IF(AND(U25="N/A",$G25&lt;&gt;""),0,$F25+SUMPRODUCT(($G$14:$G$71=$A25)*($E$14:$E$71=1)*(U$14:U$71="N/A")*$F$14:$F$71)))</f>
        <v/>
      </c>
      <c r="W25" s="22">
        <f>IF(U25="SI",V25,0)</f>
        <v/>
      </c>
      <c r="X25" s="21" t="n"/>
      <c r="Y25" s="22">
        <f>IF(OR($E25=0,X$78=0),0,IF(AND(X25="N/A",$G25&lt;&gt;""),0,$F25+SUMPRODUCT(($G$14:$G$71=$A25)*($E$14:$E$71=1)*(X$14:X$71="N/A")*$F$14:$F$71)))</f>
        <v/>
      </c>
      <c r="Z25" s="22">
        <f>IF(X25="SI",Y25,0)</f>
        <v/>
      </c>
      <c r="AA25" s="22">
        <f>SUM(J25,M25,P25,S25,V25,Y25)</f>
        <v/>
      </c>
      <c r="AB25" s="22">
        <f>SUM(K25,N25,Q25,T25,W25,Z25)</f>
        <v/>
      </c>
      <c r="AC25" s="23">
        <f>IF(AA25=0,"",AB25/AA25)</f>
        <v/>
      </c>
      <c r="AD25" s="22">
        <f>CRITERIOS!Q13</f>
        <v/>
      </c>
      <c r="AE25" s="22">
        <f>IF(AND(E25=1,H25&lt;&gt;"X",((I25="N/A")+(L25="N/A")+(O25="N/A")+(R25="N/A")+(U25="N/A")+(X25="N/A"))&gt;0),"REVISAR","")</f>
        <v/>
      </c>
    </row>
    <row r="26">
      <c r="A26" s="19">
        <f>CRITERIOS!B14</f>
        <v/>
      </c>
      <c r="B26" s="19">
        <f>CRITERIOS!C14</f>
        <v/>
      </c>
      <c r="C26" s="20">
        <f>CRITERIOS!D14</f>
        <v/>
      </c>
      <c r="D26" s="19">
        <f>CRITERIOS!E14</f>
        <v/>
      </c>
      <c r="E26" s="19">
        <f>IFERROR(IF(AND(OR(CRITERIOS!F14="Todos",CRITERIOS!F14=$B$4),INDEX(CRITERIOS!H14:J14,MATCH($B$5,VARIABLES!$E$2:$E$4,0))=1),1,0),0)</f>
        <v/>
      </c>
      <c r="F26" s="19">
        <f>IFERROR(IF(E26=1,INDEX(CRITERIOS!K14:M14,MATCH($B$5,VARIABLES!$E$2:$E$4,0)),0),0)</f>
        <v/>
      </c>
      <c r="G26" s="19">
        <f>IF(CRITERIOS!N14="","",CRITERIOS!N14)</f>
        <v/>
      </c>
      <c r="H26" s="19">
        <f>IF(CRITERIOS!O14="","",CRITERIOS!O14)</f>
        <v/>
      </c>
      <c r="I26" s="21" t="n"/>
      <c r="J26" s="22">
        <f>IF(OR($E26=0,I$78=0),0,IF(AND(I26="N/A",$G26&lt;&gt;""),0,$F26+SUMPRODUCT(($G$14:$G$71=$A26)*($E$14:$E$71=1)*(I$14:I$71="N/A")*$F$14:$F$71)))</f>
        <v/>
      </c>
      <c r="K26" s="22">
        <f>IF(I26="SI",J26,0)</f>
        <v/>
      </c>
      <c r="L26" s="21" t="n"/>
      <c r="M26" s="22">
        <f>IF(OR($E26=0,L$78=0),0,IF(AND(L26="N/A",$G26&lt;&gt;""),0,$F26+SUMPRODUCT(($G$14:$G$71=$A26)*($E$14:$E$71=1)*(L$14:L$71="N/A")*$F$14:$F$71)))</f>
        <v/>
      </c>
      <c r="N26" s="22">
        <f>IF(L26="SI",M26,0)</f>
        <v/>
      </c>
      <c r="O26" s="21" t="n"/>
      <c r="P26" s="22">
        <f>IF(OR($E26=0,O$78=0),0,IF(AND(O26="N/A",$G26&lt;&gt;""),0,$F26+SUMPRODUCT(($G$14:$G$71=$A26)*($E$14:$E$71=1)*(O$14:O$71="N/A")*$F$14:$F$71)))</f>
        <v/>
      </c>
      <c r="Q26" s="22">
        <f>IF(O26="SI",P26,0)</f>
        <v/>
      </c>
      <c r="R26" s="21" t="n"/>
      <c r="S26" s="22">
        <f>IF(OR($E26=0,R$78=0),0,IF(AND(R26="N/A",$G26&lt;&gt;""),0,$F26+SUMPRODUCT(($G$14:$G$71=$A26)*($E$14:$E$71=1)*(R$14:R$71="N/A")*$F$14:$F$71)))</f>
        <v/>
      </c>
      <c r="T26" s="22">
        <f>IF(R26="SI",S26,0)</f>
        <v/>
      </c>
      <c r="U26" s="21" t="n"/>
      <c r="V26" s="22">
        <f>IF(OR($E26=0,U$78=0),0,IF(AND(U26="N/A",$G26&lt;&gt;""),0,$F26+SUMPRODUCT(($G$14:$G$71=$A26)*($E$14:$E$71=1)*(U$14:U$71="N/A")*$F$14:$F$71)))</f>
        <v/>
      </c>
      <c r="W26" s="22">
        <f>IF(U26="SI",V26,0)</f>
        <v/>
      </c>
      <c r="X26" s="21" t="n"/>
      <c r="Y26" s="22">
        <f>IF(OR($E26=0,X$78=0),0,IF(AND(X26="N/A",$G26&lt;&gt;""),0,$F26+SUMPRODUCT(($G$14:$G$71=$A26)*($E$14:$E$71=1)*(X$14:X$71="N/A")*$F$14:$F$71)))</f>
        <v/>
      </c>
      <c r="Z26" s="22">
        <f>IF(X26="SI",Y26,0)</f>
        <v/>
      </c>
      <c r="AA26" s="22">
        <f>SUM(J26,M26,P26,S26,V26,Y26)</f>
        <v/>
      </c>
      <c r="AB26" s="22">
        <f>SUM(K26,N26,Q26,T26,W26,Z26)</f>
        <v/>
      </c>
      <c r="AC26" s="23">
        <f>IF(AA26=0,"",AB26/AA26)</f>
        <v/>
      </c>
      <c r="AD26" s="22">
        <f>CRITERIOS!Q14</f>
        <v/>
      </c>
      <c r="AE26" s="22">
        <f>IF(AND(E26=1,H26&lt;&gt;"X",((I26="N/A")+(L26="N/A")+(O26="N/A")+(R26="N/A")+(U26="N/A")+(X26="N/A"))&gt;0),"REVISAR","")</f>
        <v/>
      </c>
    </row>
    <row r="27">
      <c r="A27" s="19">
        <f>CRITERIOS!B15</f>
        <v/>
      </c>
      <c r="B27" s="19">
        <f>CRITERIOS!C15</f>
        <v/>
      </c>
      <c r="C27" s="20">
        <f>CRITERIOS!D15</f>
        <v/>
      </c>
      <c r="D27" s="19">
        <f>CRITERIOS!E15</f>
        <v/>
      </c>
      <c r="E27" s="19">
        <f>IFERROR(IF(AND(OR(CRITERIOS!F15="Todos",CRITERIOS!F15=$B$4),INDEX(CRITERIOS!H15:J15,MATCH($B$5,VARIABLES!$E$2:$E$4,0))=1),1,0),0)</f>
        <v/>
      </c>
      <c r="F27" s="19">
        <f>IFERROR(IF(E27=1,INDEX(CRITERIOS!K15:M15,MATCH($B$5,VARIABLES!$E$2:$E$4,0)),0),0)</f>
        <v/>
      </c>
      <c r="G27" s="19">
        <f>IF(CRITERIOS!N15="","",CRITERIOS!N15)</f>
        <v/>
      </c>
      <c r="H27" s="19">
        <f>IF(CRITERIOS!O15="","",CRITERIOS!O15)</f>
        <v/>
      </c>
      <c r="I27" s="21" t="n"/>
      <c r="J27" s="22">
        <f>IF(OR($E27=0,I$78=0),0,IF(AND(I27="N/A",$G27&lt;&gt;""),0,$F27+SUMPRODUCT(($G$14:$G$71=$A27)*($E$14:$E$71=1)*(I$14:I$71="N/A")*$F$14:$F$71)))</f>
        <v/>
      </c>
      <c r="K27" s="22">
        <f>IF(I27="SI",J27,0)</f>
        <v/>
      </c>
      <c r="L27" s="21" t="n"/>
      <c r="M27" s="22">
        <f>IF(OR($E27=0,L$78=0),0,IF(AND(L27="N/A",$G27&lt;&gt;""),0,$F27+SUMPRODUCT(($G$14:$G$71=$A27)*($E$14:$E$71=1)*(L$14:L$71="N/A")*$F$14:$F$71)))</f>
        <v/>
      </c>
      <c r="N27" s="22">
        <f>IF(L27="SI",M27,0)</f>
        <v/>
      </c>
      <c r="O27" s="21" t="n"/>
      <c r="P27" s="22">
        <f>IF(OR($E27=0,O$78=0),0,IF(AND(O27="N/A",$G27&lt;&gt;""),0,$F27+SUMPRODUCT(($G$14:$G$71=$A27)*($E$14:$E$71=1)*(O$14:O$71="N/A")*$F$14:$F$71)))</f>
        <v/>
      </c>
      <c r="Q27" s="22">
        <f>IF(O27="SI",P27,0)</f>
        <v/>
      </c>
      <c r="R27" s="21" t="n"/>
      <c r="S27" s="22">
        <f>IF(OR($E27=0,R$78=0),0,IF(AND(R27="N/A",$G27&lt;&gt;""),0,$F27+SUMPRODUCT(($G$14:$G$71=$A27)*($E$14:$E$71=1)*(R$14:R$71="N/A")*$F$14:$F$71)))</f>
        <v/>
      </c>
      <c r="T27" s="22">
        <f>IF(R27="SI",S27,0)</f>
        <v/>
      </c>
      <c r="U27" s="21" t="n"/>
      <c r="V27" s="22">
        <f>IF(OR($E27=0,U$78=0),0,IF(AND(U27="N/A",$G27&lt;&gt;""),0,$F27+SUMPRODUCT(($G$14:$G$71=$A27)*($E$14:$E$71=1)*(U$14:U$71="N/A")*$F$14:$F$71)))</f>
        <v/>
      </c>
      <c r="W27" s="22">
        <f>IF(U27="SI",V27,0)</f>
        <v/>
      </c>
      <c r="X27" s="21" t="n"/>
      <c r="Y27" s="22">
        <f>IF(OR($E27=0,X$78=0),0,IF(AND(X27="N/A",$G27&lt;&gt;""),0,$F27+SUMPRODUCT(($G$14:$G$71=$A27)*($E$14:$E$71=1)*(X$14:X$71="N/A")*$F$14:$F$71)))</f>
        <v/>
      </c>
      <c r="Z27" s="22">
        <f>IF(X27="SI",Y27,0)</f>
        <v/>
      </c>
      <c r="AA27" s="22">
        <f>SUM(J27,M27,P27,S27,V27,Y27)</f>
        <v/>
      </c>
      <c r="AB27" s="22">
        <f>SUM(K27,N27,Q27,T27,W27,Z27)</f>
        <v/>
      </c>
      <c r="AC27" s="23">
        <f>IF(AA27=0,"",AB27/AA27)</f>
        <v/>
      </c>
      <c r="AD27" s="22">
        <f>CRITERIOS!Q15</f>
        <v/>
      </c>
      <c r="AE27" s="22">
        <f>IF(AND(E27=1,H27&lt;&gt;"X",((I27="N/A")+(L27="N/A")+(O27="N/A")+(R27="N/A")+(U27="N/A")+(X27="N/A"))&gt;0),"REVISAR","")</f>
        <v/>
      </c>
    </row>
    <row r="28">
      <c r="A28" s="19">
        <f>CRITERIOS!B16</f>
        <v/>
      </c>
      <c r="B28" s="19">
        <f>CRITERIOS!C16</f>
        <v/>
      </c>
      <c r="C28" s="20">
        <f>CRITERIOS!D16</f>
        <v/>
      </c>
      <c r="D28" s="19">
        <f>CRITERIOS!E16</f>
        <v/>
      </c>
      <c r="E28" s="19">
        <f>IFERROR(IF(AND(OR(CRITERIOS!F16="Todos",CRITERIOS!F16=$B$4),INDEX(CRITERIOS!H16:J16,MATCH($B$5,VARIABLES!$E$2:$E$4,0))=1),1,0),0)</f>
        <v/>
      </c>
      <c r="F28" s="19">
        <f>IFERROR(IF(E28=1,INDEX(CRITERIOS!K16:M16,MATCH($B$5,VARIABLES!$E$2:$E$4,0)),0),0)</f>
        <v/>
      </c>
      <c r="G28" s="19">
        <f>IF(CRITERIOS!N16="","",CRITERIOS!N16)</f>
        <v/>
      </c>
      <c r="H28" s="19">
        <f>IF(CRITERIOS!O16="","",CRITERIOS!O16)</f>
        <v/>
      </c>
      <c r="I28" s="21" t="n"/>
      <c r="J28" s="22">
        <f>IF(OR($E28=0,I$78=0),0,IF(AND(I28="N/A",$G28&lt;&gt;""),0,$F28+SUMPRODUCT(($G$14:$G$71=$A28)*($E$14:$E$71=1)*(I$14:I$71="N/A")*$F$14:$F$71)))</f>
        <v/>
      </c>
      <c r="K28" s="22">
        <f>IF(I28="SI",J28,0)</f>
        <v/>
      </c>
      <c r="L28" s="21" t="n"/>
      <c r="M28" s="22">
        <f>IF(OR($E28=0,L$78=0),0,IF(AND(L28="N/A",$G28&lt;&gt;""),0,$F28+SUMPRODUCT(($G$14:$G$71=$A28)*($E$14:$E$71=1)*(L$14:L$71="N/A")*$F$14:$F$71)))</f>
        <v/>
      </c>
      <c r="N28" s="22">
        <f>IF(L28="SI",M28,0)</f>
        <v/>
      </c>
      <c r="O28" s="21" t="n"/>
      <c r="P28" s="22">
        <f>IF(OR($E28=0,O$78=0),0,IF(AND(O28="N/A",$G28&lt;&gt;""),0,$F28+SUMPRODUCT(($G$14:$G$71=$A28)*($E$14:$E$71=1)*(O$14:O$71="N/A")*$F$14:$F$71)))</f>
        <v/>
      </c>
      <c r="Q28" s="22">
        <f>IF(O28="SI",P28,0)</f>
        <v/>
      </c>
      <c r="R28" s="21" t="n"/>
      <c r="S28" s="22">
        <f>IF(OR($E28=0,R$78=0),0,IF(AND(R28="N/A",$G28&lt;&gt;""),0,$F28+SUMPRODUCT(($G$14:$G$71=$A28)*($E$14:$E$71=1)*(R$14:R$71="N/A")*$F$14:$F$71)))</f>
        <v/>
      </c>
      <c r="T28" s="22">
        <f>IF(R28="SI",S28,0)</f>
        <v/>
      </c>
      <c r="U28" s="21" t="n"/>
      <c r="V28" s="22">
        <f>IF(OR($E28=0,U$78=0),0,IF(AND(U28="N/A",$G28&lt;&gt;""),0,$F28+SUMPRODUCT(($G$14:$G$71=$A28)*($E$14:$E$71=1)*(U$14:U$71="N/A")*$F$14:$F$71)))</f>
        <v/>
      </c>
      <c r="W28" s="22">
        <f>IF(U28="SI",V28,0)</f>
        <v/>
      </c>
      <c r="X28" s="21" t="n"/>
      <c r="Y28" s="22">
        <f>IF(OR($E28=0,X$78=0),0,IF(AND(X28="N/A",$G28&lt;&gt;""),0,$F28+SUMPRODUCT(($G$14:$G$71=$A28)*($E$14:$E$71=1)*(X$14:X$71="N/A")*$F$14:$F$71)))</f>
        <v/>
      </c>
      <c r="Z28" s="22">
        <f>IF(X28="SI",Y28,0)</f>
        <v/>
      </c>
      <c r="AA28" s="22">
        <f>SUM(J28,M28,P28,S28,V28,Y28)</f>
        <v/>
      </c>
      <c r="AB28" s="22">
        <f>SUM(K28,N28,Q28,T28,W28,Z28)</f>
        <v/>
      </c>
      <c r="AC28" s="23">
        <f>IF(AA28=0,"",AB28/AA28)</f>
        <v/>
      </c>
      <c r="AD28" s="22">
        <f>CRITERIOS!Q16</f>
        <v/>
      </c>
      <c r="AE28" s="22">
        <f>IF(AND(E28=1,H28&lt;&gt;"X",((I28="N/A")+(L28="N/A")+(O28="N/A")+(R28="N/A")+(U28="N/A")+(X28="N/A"))&gt;0),"REVISAR","")</f>
        <v/>
      </c>
    </row>
    <row r="29">
      <c r="A29" s="19">
        <f>CRITERIOS!B17</f>
        <v/>
      </c>
      <c r="B29" s="19">
        <f>CRITERIOS!C17</f>
        <v/>
      </c>
      <c r="C29" s="20">
        <f>CRITERIOS!D17</f>
        <v/>
      </c>
      <c r="D29" s="19">
        <f>CRITERIOS!E17</f>
        <v/>
      </c>
      <c r="E29" s="19">
        <f>IFERROR(IF(AND(OR(CRITERIOS!F17="Todos",CRITERIOS!F17=$B$4),INDEX(CRITERIOS!H17:J17,MATCH($B$5,VARIABLES!$E$2:$E$4,0))=1),1,0),0)</f>
        <v/>
      </c>
      <c r="F29" s="19">
        <f>IFERROR(IF(E29=1,INDEX(CRITERIOS!K17:M17,MATCH($B$5,VARIABLES!$E$2:$E$4,0)),0),0)</f>
        <v/>
      </c>
      <c r="G29" s="19">
        <f>IF(CRITERIOS!N17="","",CRITERIOS!N17)</f>
        <v/>
      </c>
      <c r="H29" s="19">
        <f>IF(CRITERIOS!O17="","",CRITERIOS!O17)</f>
        <v/>
      </c>
      <c r="I29" s="21" t="n"/>
      <c r="J29" s="22">
        <f>IF(OR($E29=0,I$78=0),0,IF(AND(I29="N/A",$G29&lt;&gt;""),0,$F29+SUMPRODUCT(($G$14:$G$71=$A29)*($E$14:$E$71=1)*(I$14:I$71="N/A")*$F$14:$F$71)))</f>
        <v/>
      </c>
      <c r="K29" s="22">
        <f>IF(I29="SI",J29,0)</f>
        <v/>
      </c>
      <c r="L29" s="21" t="n"/>
      <c r="M29" s="22">
        <f>IF(OR($E29=0,L$78=0),0,IF(AND(L29="N/A",$G29&lt;&gt;""),0,$F29+SUMPRODUCT(($G$14:$G$71=$A29)*($E$14:$E$71=1)*(L$14:L$71="N/A")*$F$14:$F$71)))</f>
        <v/>
      </c>
      <c r="N29" s="22">
        <f>IF(L29="SI",M29,0)</f>
        <v/>
      </c>
      <c r="O29" s="21" t="n"/>
      <c r="P29" s="22">
        <f>IF(OR($E29=0,O$78=0),0,IF(AND(O29="N/A",$G29&lt;&gt;""),0,$F29+SUMPRODUCT(($G$14:$G$71=$A29)*($E$14:$E$71=1)*(O$14:O$71="N/A")*$F$14:$F$71)))</f>
        <v/>
      </c>
      <c r="Q29" s="22">
        <f>IF(O29="SI",P29,0)</f>
        <v/>
      </c>
      <c r="R29" s="21" t="n"/>
      <c r="S29" s="22">
        <f>IF(OR($E29=0,R$78=0),0,IF(AND(R29="N/A",$G29&lt;&gt;""),0,$F29+SUMPRODUCT(($G$14:$G$71=$A29)*($E$14:$E$71=1)*(R$14:R$71="N/A")*$F$14:$F$71)))</f>
        <v/>
      </c>
      <c r="T29" s="22">
        <f>IF(R29="SI",S29,0)</f>
        <v/>
      </c>
      <c r="U29" s="21" t="n"/>
      <c r="V29" s="22">
        <f>IF(OR($E29=0,U$78=0),0,IF(AND(U29="N/A",$G29&lt;&gt;""),0,$F29+SUMPRODUCT(($G$14:$G$71=$A29)*($E$14:$E$71=1)*(U$14:U$71="N/A")*$F$14:$F$71)))</f>
        <v/>
      </c>
      <c r="W29" s="22">
        <f>IF(U29="SI",V29,0)</f>
        <v/>
      </c>
      <c r="X29" s="21" t="n"/>
      <c r="Y29" s="22">
        <f>IF(OR($E29=0,X$78=0),0,IF(AND(X29="N/A",$G29&lt;&gt;""),0,$F29+SUMPRODUCT(($G$14:$G$71=$A29)*($E$14:$E$71=1)*(X$14:X$71="N/A")*$F$14:$F$71)))</f>
        <v/>
      </c>
      <c r="Z29" s="22">
        <f>IF(X29="SI",Y29,0)</f>
        <v/>
      </c>
      <c r="AA29" s="22">
        <f>SUM(J29,M29,P29,S29,V29,Y29)</f>
        <v/>
      </c>
      <c r="AB29" s="22">
        <f>SUM(K29,N29,Q29,T29,W29,Z29)</f>
        <v/>
      </c>
      <c r="AC29" s="23">
        <f>IF(AA29=0,"",AB29/AA29)</f>
        <v/>
      </c>
      <c r="AD29" s="22">
        <f>CRITERIOS!Q17</f>
        <v/>
      </c>
      <c r="AE29" s="22">
        <f>IF(AND(E29=1,H29&lt;&gt;"X",((I29="N/A")+(L29="N/A")+(O29="N/A")+(R29="N/A")+(U29="N/A")+(X29="N/A"))&gt;0),"REVISAR","")</f>
        <v/>
      </c>
    </row>
    <row r="30">
      <c r="A30" s="22">
        <f>CRITERIOS!B18</f>
        <v/>
      </c>
      <c r="B30" s="22">
        <f>CRITERIOS!C18</f>
        <v/>
      </c>
      <c r="C30" s="8">
        <f>CRITERIOS!D18</f>
        <v/>
      </c>
      <c r="D30" s="22">
        <f>CRITERIOS!E18</f>
        <v/>
      </c>
      <c r="E30" s="22">
        <f>IFERROR(IF(AND(OR(CRITERIOS!F18="Todos",CRITERIOS!F18=$B$4),INDEX(CRITERIOS!H18:J18,MATCH($B$5,VARIABLES!$E$2:$E$4,0))=1),1,0),0)</f>
        <v/>
      </c>
      <c r="F30" s="22">
        <f>IFERROR(IF(E30=1,INDEX(CRITERIOS!K18:M18,MATCH($B$5,VARIABLES!$E$2:$E$4,0)),0),0)</f>
        <v/>
      </c>
      <c r="G30" s="22">
        <f>IF(CRITERIOS!N18="","",CRITERIOS!N18)</f>
        <v/>
      </c>
      <c r="H30" s="22">
        <f>IF(CRITERIOS!O18="","",CRITERIOS!O18)</f>
        <v/>
      </c>
      <c r="I30" s="21" t="n"/>
      <c r="J30" s="22">
        <f>IF(OR($E30=0,I$78=0),0,IF(AND(I30="N/A",$G30&lt;&gt;""),0,$F30+SUMPRODUCT(($G$14:$G$71=$A30)*($E$14:$E$71=1)*(I$14:I$71="N/A")*$F$14:$F$71)))</f>
        <v/>
      </c>
      <c r="K30" s="22">
        <f>IF(I30="SI",J30,0)</f>
        <v/>
      </c>
      <c r="L30" s="21" t="n"/>
      <c r="M30" s="22">
        <f>IF(OR($E30=0,L$78=0),0,IF(AND(L30="N/A",$G30&lt;&gt;""),0,$F30+SUMPRODUCT(($G$14:$G$71=$A30)*($E$14:$E$71=1)*(L$14:L$71="N/A")*$F$14:$F$71)))</f>
        <v/>
      </c>
      <c r="N30" s="22">
        <f>IF(L30="SI",M30,0)</f>
        <v/>
      </c>
      <c r="O30" s="21" t="n"/>
      <c r="P30" s="22">
        <f>IF(OR($E30=0,O$78=0),0,IF(AND(O30="N/A",$G30&lt;&gt;""),0,$F30+SUMPRODUCT(($G$14:$G$71=$A30)*($E$14:$E$71=1)*(O$14:O$71="N/A")*$F$14:$F$71)))</f>
        <v/>
      </c>
      <c r="Q30" s="22">
        <f>IF(O30="SI",P30,0)</f>
        <v/>
      </c>
      <c r="R30" s="21" t="n"/>
      <c r="S30" s="22">
        <f>IF(OR($E30=0,R$78=0),0,IF(AND(R30="N/A",$G30&lt;&gt;""),0,$F30+SUMPRODUCT(($G$14:$G$71=$A30)*($E$14:$E$71=1)*(R$14:R$71="N/A")*$F$14:$F$71)))</f>
        <v/>
      </c>
      <c r="T30" s="22">
        <f>IF(R30="SI",S30,0)</f>
        <v/>
      </c>
      <c r="U30" s="21" t="n"/>
      <c r="V30" s="22">
        <f>IF(OR($E30=0,U$78=0),0,IF(AND(U30="N/A",$G30&lt;&gt;""),0,$F30+SUMPRODUCT(($G$14:$G$71=$A30)*($E$14:$E$71=1)*(U$14:U$71="N/A")*$F$14:$F$71)))</f>
        <v/>
      </c>
      <c r="W30" s="22">
        <f>IF(U30="SI",V30,0)</f>
        <v/>
      </c>
      <c r="X30" s="21" t="n"/>
      <c r="Y30" s="22">
        <f>IF(OR($E30=0,X$78=0),0,IF(AND(X30="N/A",$G30&lt;&gt;""),0,$F30+SUMPRODUCT(($G$14:$G$71=$A30)*($E$14:$E$71=1)*(X$14:X$71="N/A")*$F$14:$F$71)))</f>
        <v/>
      </c>
      <c r="Z30" s="22">
        <f>IF(X30="SI",Y30,0)</f>
        <v/>
      </c>
      <c r="AA30" s="22">
        <f>SUM(J30,M30,P30,S30,V30,Y30)</f>
        <v/>
      </c>
      <c r="AB30" s="22">
        <f>SUM(K30,N30,Q30,T30,W30,Z30)</f>
        <v/>
      </c>
      <c r="AC30" s="23">
        <f>IF(AA30=0,"",AB30/AA30)</f>
        <v/>
      </c>
      <c r="AD30" s="22">
        <f>CRITERIOS!Q18</f>
        <v/>
      </c>
      <c r="AE30" s="22">
        <f>IF(AND(E30=1,H30&lt;&gt;"X",((I30="N/A")+(L30="N/A")+(O30="N/A")+(R30="N/A")+(U30="N/A")+(X30="N/A"))&gt;0),"REVISAR","")</f>
        <v/>
      </c>
    </row>
    <row r="31">
      <c r="A31" s="24">
        <f>CRITERIOS!B19</f>
        <v/>
      </c>
      <c r="B31" s="24">
        <f>CRITERIOS!C19</f>
        <v/>
      </c>
      <c r="C31" s="25">
        <f>CRITERIOS!D19</f>
        <v/>
      </c>
      <c r="D31" s="24">
        <f>CRITERIOS!E19</f>
        <v/>
      </c>
      <c r="E31" s="24">
        <f>IFERROR(IF(AND(OR(CRITERIOS!F19="Todos",CRITERIOS!F19=$B$4),INDEX(CRITERIOS!H19:J19,MATCH($B$5,VARIABLES!$E$2:$E$4,0))=1),1,0),0)</f>
        <v/>
      </c>
      <c r="F31" s="24">
        <f>IFERROR(IF(E31=1,INDEX(CRITERIOS!K19:M19,MATCH($B$5,VARIABLES!$E$2:$E$4,0)),0),0)</f>
        <v/>
      </c>
      <c r="G31" s="24">
        <f>IF(CRITERIOS!N19="","",CRITERIOS!N19)</f>
        <v/>
      </c>
      <c r="H31" s="24">
        <f>IF(CRITERIOS!O19="","",CRITERIOS!O19)</f>
        <v/>
      </c>
      <c r="I31" s="21" t="n"/>
      <c r="J31" s="22">
        <f>IF(OR($E31=0,I$78=0),0,IF(AND(I31="N/A",$G31&lt;&gt;""),0,$F31+SUMPRODUCT(($G$14:$G$71=$A31)*($E$14:$E$71=1)*(I$14:I$71="N/A")*$F$14:$F$71)))</f>
        <v/>
      </c>
      <c r="K31" s="22">
        <f>IF(I31="SI",J31,0)</f>
        <v/>
      </c>
      <c r="L31" s="21" t="n"/>
      <c r="M31" s="22">
        <f>IF(OR($E31=0,L$78=0),0,IF(AND(L31="N/A",$G31&lt;&gt;""),0,$F31+SUMPRODUCT(($G$14:$G$71=$A31)*($E$14:$E$71=1)*(L$14:L$71="N/A")*$F$14:$F$71)))</f>
        <v/>
      </c>
      <c r="N31" s="22">
        <f>IF(L31="SI",M31,0)</f>
        <v/>
      </c>
      <c r="O31" s="21" t="n"/>
      <c r="P31" s="22">
        <f>IF(OR($E31=0,O$78=0),0,IF(AND(O31="N/A",$G31&lt;&gt;""),0,$F31+SUMPRODUCT(($G$14:$G$71=$A31)*($E$14:$E$71=1)*(O$14:O$71="N/A")*$F$14:$F$71)))</f>
        <v/>
      </c>
      <c r="Q31" s="22">
        <f>IF(O31="SI",P31,0)</f>
        <v/>
      </c>
      <c r="R31" s="21" t="n"/>
      <c r="S31" s="22">
        <f>IF(OR($E31=0,R$78=0),0,IF(AND(R31="N/A",$G31&lt;&gt;""),0,$F31+SUMPRODUCT(($G$14:$G$71=$A31)*($E$14:$E$71=1)*(R$14:R$71="N/A")*$F$14:$F$71)))</f>
        <v/>
      </c>
      <c r="T31" s="22">
        <f>IF(R31="SI",S31,0)</f>
        <v/>
      </c>
      <c r="U31" s="21" t="n"/>
      <c r="V31" s="22">
        <f>IF(OR($E31=0,U$78=0),0,IF(AND(U31="N/A",$G31&lt;&gt;""),0,$F31+SUMPRODUCT(($G$14:$G$71=$A31)*($E$14:$E$71=1)*(U$14:U$71="N/A")*$F$14:$F$71)))</f>
        <v/>
      </c>
      <c r="W31" s="22">
        <f>IF(U31="SI",V31,0)</f>
        <v/>
      </c>
      <c r="X31" s="21" t="n"/>
      <c r="Y31" s="22">
        <f>IF(OR($E31=0,X$78=0),0,IF(AND(X31="N/A",$G31&lt;&gt;""),0,$F31+SUMPRODUCT(($G$14:$G$71=$A31)*($E$14:$E$71=1)*(X$14:X$71="N/A")*$F$14:$F$71)))</f>
        <v/>
      </c>
      <c r="Z31" s="22">
        <f>IF(X31="SI",Y31,0)</f>
        <v/>
      </c>
      <c r="AA31" s="22">
        <f>SUM(J31,M31,P31,S31,V31,Y31)</f>
        <v/>
      </c>
      <c r="AB31" s="22">
        <f>SUM(K31,N31,Q31,T31,W31,Z31)</f>
        <v/>
      </c>
      <c r="AC31" s="23">
        <f>IF(AA31=0,"",AB31/AA31)</f>
        <v/>
      </c>
      <c r="AD31" s="22">
        <f>CRITERIOS!Q19</f>
        <v/>
      </c>
      <c r="AE31" s="22">
        <f>IF(AND(E31=1,H31&lt;&gt;"X",((I31="N/A")+(L31="N/A")+(O31="N/A")+(R31="N/A")+(U31="N/A")+(X31="N/A"))&gt;0),"REVISAR","")</f>
        <v/>
      </c>
    </row>
    <row r="32">
      <c r="A32" s="24">
        <f>CRITERIOS!B20</f>
        <v/>
      </c>
      <c r="B32" s="24">
        <f>CRITERIOS!C20</f>
        <v/>
      </c>
      <c r="C32" s="25">
        <f>CRITERIOS!D20</f>
        <v/>
      </c>
      <c r="D32" s="24">
        <f>CRITERIOS!E20</f>
        <v/>
      </c>
      <c r="E32" s="24">
        <f>IFERROR(IF(AND(OR(CRITERIOS!F20="Todos",CRITERIOS!F20=$B$4),INDEX(CRITERIOS!H20:J20,MATCH($B$5,VARIABLES!$E$2:$E$4,0))=1),1,0),0)</f>
        <v/>
      </c>
      <c r="F32" s="24">
        <f>IFERROR(IF(E32=1,INDEX(CRITERIOS!K20:M20,MATCH($B$5,VARIABLES!$E$2:$E$4,0)),0),0)</f>
        <v/>
      </c>
      <c r="G32" s="24">
        <f>IF(CRITERIOS!N20="","",CRITERIOS!N20)</f>
        <v/>
      </c>
      <c r="H32" s="24">
        <f>IF(CRITERIOS!O20="","",CRITERIOS!O20)</f>
        <v/>
      </c>
      <c r="I32" s="21" t="n"/>
      <c r="J32" s="22">
        <f>IF(OR($E32=0,I$78=0),0,IF(AND(I32="N/A",$G32&lt;&gt;""),0,$F32+SUMPRODUCT(($G$14:$G$71=$A32)*($E$14:$E$71=1)*(I$14:I$71="N/A")*$F$14:$F$71)))</f>
        <v/>
      </c>
      <c r="K32" s="22">
        <f>IF(I32="SI",J32,0)</f>
        <v/>
      </c>
      <c r="L32" s="21" t="n"/>
      <c r="M32" s="22">
        <f>IF(OR($E32=0,L$78=0),0,IF(AND(L32="N/A",$G32&lt;&gt;""),0,$F32+SUMPRODUCT(($G$14:$G$71=$A32)*($E$14:$E$71=1)*(L$14:L$71="N/A")*$F$14:$F$71)))</f>
        <v/>
      </c>
      <c r="N32" s="22">
        <f>IF(L32="SI",M32,0)</f>
        <v/>
      </c>
      <c r="O32" s="21" t="n"/>
      <c r="P32" s="22">
        <f>IF(OR($E32=0,O$78=0),0,IF(AND(O32="N/A",$G32&lt;&gt;""),0,$F32+SUMPRODUCT(($G$14:$G$71=$A32)*($E$14:$E$71=1)*(O$14:O$71="N/A")*$F$14:$F$71)))</f>
        <v/>
      </c>
      <c r="Q32" s="22">
        <f>IF(O32="SI",P32,0)</f>
        <v/>
      </c>
      <c r="R32" s="21" t="n"/>
      <c r="S32" s="22">
        <f>IF(OR($E32=0,R$78=0),0,IF(AND(R32="N/A",$G32&lt;&gt;""),0,$F32+SUMPRODUCT(($G$14:$G$71=$A32)*($E$14:$E$71=1)*(R$14:R$71="N/A")*$F$14:$F$71)))</f>
        <v/>
      </c>
      <c r="T32" s="22">
        <f>IF(R32="SI",S32,0)</f>
        <v/>
      </c>
      <c r="U32" s="21" t="n"/>
      <c r="V32" s="22">
        <f>IF(OR($E32=0,U$78=0),0,IF(AND(U32="N/A",$G32&lt;&gt;""),0,$F32+SUMPRODUCT(($G$14:$G$71=$A32)*($E$14:$E$71=1)*(U$14:U$71="N/A")*$F$14:$F$71)))</f>
        <v/>
      </c>
      <c r="W32" s="22">
        <f>IF(U32="SI",V32,0)</f>
        <v/>
      </c>
      <c r="X32" s="21" t="n"/>
      <c r="Y32" s="22">
        <f>IF(OR($E32=0,X$78=0),0,IF(AND(X32="N/A",$G32&lt;&gt;""),0,$F32+SUMPRODUCT(($G$14:$G$71=$A32)*($E$14:$E$71=1)*(X$14:X$71="N/A")*$F$14:$F$71)))</f>
        <v/>
      </c>
      <c r="Z32" s="22">
        <f>IF(X32="SI",Y32,0)</f>
        <v/>
      </c>
      <c r="AA32" s="22">
        <f>SUM(J32,M32,P32,S32,V32,Y32)</f>
        <v/>
      </c>
      <c r="AB32" s="22">
        <f>SUM(K32,N32,Q32,T32,W32,Z32)</f>
        <v/>
      </c>
      <c r="AC32" s="23">
        <f>IF(AA32=0,"",AB32/AA32)</f>
        <v/>
      </c>
      <c r="AD32" s="22">
        <f>CRITERIOS!Q20</f>
        <v/>
      </c>
      <c r="AE32" s="22">
        <f>IF(AND(E32=1,H32&lt;&gt;"X",((I32="N/A")+(L32="N/A")+(O32="N/A")+(R32="N/A")+(U32="N/A")+(X32="N/A"))&gt;0),"REVISAR","")</f>
        <v/>
      </c>
    </row>
    <row r="33">
      <c r="A33" s="24">
        <f>CRITERIOS!B21</f>
        <v/>
      </c>
      <c r="B33" s="24">
        <f>CRITERIOS!C21</f>
        <v/>
      </c>
      <c r="C33" s="25">
        <f>CRITERIOS!D21</f>
        <v/>
      </c>
      <c r="D33" s="24">
        <f>CRITERIOS!E21</f>
        <v/>
      </c>
      <c r="E33" s="24">
        <f>IFERROR(IF(AND(OR(CRITERIOS!F21="Todos",CRITERIOS!F21=$B$4),INDEX(CRITERIOS!H21:J21,MATCH($B$5,VARIABLES!$E$2:$E$4,0))=1),1,0),0)</f>
        <v/>
      </c>
      <c r="F33" s="24">
        <f>IFERROR(IF(E33=1,INDEX(CRITERIOS!K21:M21,MATCH($B$5,VARIABLES!$E$2:$E$4,0)),0),0)</f>
        <v/>
      </c>
      <c r="G33" s="24">
        <f>IF(CRITERIOS!N21="","",CRITERIOS!N21)</f>
        <v/>
      </c>
      <c r="H33" s="24">
        <f>IF(CRITERIOS!O21="","",CRITERIOS!O21)</f>
        <v/>
      </c>
      <c r="I33" s="21" t="n"/>
      <c r="J33" s="22">
        <f>IF(OR($E33=0,I$78=0),0,IF(AND(I33="N/A",$G33&lt;&gt;""),0,$F33+SUMPRODUCT(($G$14:$G$71=$A33)*($E$14:$E$71=1)*(I$14:I$71="N/A")*$F$14:$F$71)))</f>
        <v/>
      </c>
      <c r="K33" s="22">
        <f>IF(I33="SI",J33,0)</f>
        <v/>
      </c>
      <c r="L33" s="21" t="n"/>
      <c r="M33" s="22">
        <f>IF(OR($E33=0,L$78=0),0,IF(AND(L33="N/A",$G33&lt;&gt;""),0,$F33+SUMPRODUCT(($G$14:$G$71=$A33)*($E$14:$E$71=1)*(L$14:L$71="N/A")*$F$14:$F$71)))</f>
        <v/>
      </c>
      <c r="N33" s="22">
        <f>IF(L33="SI",M33,0)</f>
        <v/>
      </c>
      <c r="O33" s="21" t="n"/>
      <c r="P33" s="22">
        <f>IF(OR($E33=0,O$78=0),0,IF(AND(O33="N/A",$G33&lt;&gt;""),0,$F33+SUMPRODUCT(($G$14:$G$71=$A33)*($E$14:$E$71=1)*(O$14:O$71="N/A")*$F$14:$F$71)))</f>
        <v/>
      </c>
      <c r="Q33" s="22">
        <f>IF(O33="SI",P33,0)</f>
        <v/>
      </c>
      <c r="R33" s="21" t="n"/>
      <c r="S33" s="22">
        <f>IF(OR($E33=0,R$78=0),0,IF(AND(R33="N/A",$G33&lt;&gt;""),0,$F33+SUMPRODUCT(($G$14:$G$71=$A33)*($E$14:$E$71=1)*(R$14:R$71="N/A")*$F$14:$F$71)))</f>
        <v/>
      </c>
      <c r="T33" s="22">
        <f>IF(R33="SI",S33,0)</f>
        <v/>
      </c>
      <c r="U33" s="21" t="n"/>
      <c r="V33" s="22">
        <f>IF(OR($E33=0,U$78=0),0,IF(AND(U33="N/A",$G33&lt;&gt;""),0,$F33+SUMPRODUCT(($G$14:$G$71=$A33)*($E$14:$E$71=1)*(U$14:U$71="N/A")*$F$14:$F$71)))</f>
        <v/>
      </c>
      <c r="W33" s="22">
        <f>IF(U33="SI",V33,0)</f>
        <v/>
      </c>
      <c r="X33" s="21" t="n"/>
      <c r="Y33" s="22">
        <f>IF(OR($E33=0,X$78=0),0,IF(AND(X33="N/A",$G33&lt;&gt;""),0,$F33+SUMPRODUCT(($G$14:$G$71=$A33)*($E$14:$E$71=1)*(X$14:X$71="N/A")*$F$14:$F$71)))</f>
        <v/>
      </c>
      <c r="Z33" s="22">
        <f>IF(X33="SI",Y33,0)</f>
        <v/>
      </c>
      <c r="AA33" s="22">
        <f>SUM(J33,M33,P33,S33,V33,Y33)</f>
        <v/>
      </c>
      <c r="AB33" s="22">
        <f>SUM(K33,N33,Q33,T33,W33,Z33)</f>
        <v/>
      </c>
      <c r="AC33" s="23">
        <f>IF(AA33=0,"",AB33/AA33)</f>
        <v/>
      </c>
      <c r="AD33" s="22">
        <f>CRITERIOS!Q21</f>
        <v/>
      </c>
      <c r="AE33" s="22">
        <f>IF(AND(E33=1,H33&lt;&gt;"X",((I33="N/A")+(L33="N/A")+(O33="N/A")+(R33="N/A")+(U33="N/A")+(X33="N/A"))&gt;0),"REVISAR","")</f>
        <v/>
      </c>
    </row>
    <row r="34">
      <c r="A34" s="22">
        <f>CRITERIOS!B22</f>
        <v/>
      </c>
      <c r="B34" s="22">
        <f>CRITERIOS!C22</f>
        <v/>
      </c>
      <c r="C34" s="8">
        <f>CRITERIOS!D22</f>
        <v/>
      </c>
      <c r="D34" s="22">
        <f>CRITERIOS!E22</f>
        <v/>
      </c>
      <c r="E34" s="22">
        <f>IFERROR(IF(AND(OR(CRITERIOS!F22="Todos",CRITERIOS!F22=$B$4),INDEX(CRITERIOS!H22:J22,MATCH($B$5,VARIABLES!$E$2:$E$4,0))=1),1,0),0)</f>
        <v/>
      </c>
      <c r="F34" s="22">
        <f>IFERROR(IF(E34=1,INDEX(CRITERIOS!K22:M22,MATCH($B$5,VARIABLES!$E$2:$E$4,0)),0),0)</f>
        <v/>
      </c>
      <c r="G34" s="22">
        <f>IF(CRITERIOS!N22="","",CRITERIOS!N22)</f>
        <v/>
      </c>
      <c r="H34" s="22">
        <f>IF(CRITERIOS!O22="","",CRITERIOS!O22)</f>
        <v/>
      </c>
      <c r="I34" s="21" t="n"/>
      <c r="J34" s="22">
        <f>IF(OR($E34=0,I$78=0),0,IF(AND(I34="N/A",$G34&lt;&gt;""),0,$F34+SUMPRODUCT(($G$14:$G$71=$A34)*($E$14:$E$71=1)*(I$14:I$71="N/A")*$F$14:$F$71)))</f>
        <v/>
      </c>
      <c r="K34" s="22">
        <f>IF(I34="SI",J34,0)</f>
        <v/>
      </c>
      <c r="L34" s="21" t="n"/>
      <c r="M34" s="22">
        <f>IF(OR($E34=0,L$78=0),0,IF(AND(L34="N/A",$G34&lt;&gt;""),0,$F34+SUMPRODUCT(($G$14:$G$71=$A34)*($E$14:$E$71=1)*(L$14:L$71="N/A")*$F$14:$F$71)))</f>
        <v/>
      </c>
      <c r="N34" s="22">
        <f>IF(L34="SI",M34,0)</f>
        <v/>
      </c>
      <c r="O34" s="21" t="n"/>
      <c r="P34" s="22">
        <f>IF(OR($E34=0,O$78=0),0,IF(AND(O34="N/A",$G34&lt;&gt;""),0,$F34+SUMPRODUCT(($G$14:$G$71=$A34)*($E$14:$E$71=1)*(O$14:O$71="N/A")*$F$14:$F$71)))</f>
        <v/>
      </c>
      <c r="Q34" s="22">
        <f>IF(O34="SI",P34,0)</f>
        <v/>
      </c>
      <c r="R34" s="21" t="n"/>
      <c r="S34" s="22">
        <f>IF(OR($E34=0,R$78=0),0,IF(AND(R34="N/A",$G34&lt;&gt;""),0,$F34+SUMPRODUCT(($G$14:$G$71=$A34)*($E$14:$E$71=1)*(R$14:R$71="N/A")*$F$14:$F$71)))</f>
        <v/>
      </c>
      <c r="T34" s="22">
        <f>IF(R34="SI",S34,0)</f>
        <v/>
      </c>
      <c r="U34" s="21" t="n"/>
      <c r="V34" s="22">
        <f>IF(OR($E34=0,U$78=0),0,IF(AND(U34="N/A",$G34&lt;&gt;""),0,$F34+SUMPRODUCT(($G$14:$G$71=$A34)*($E$14:$E$71=1)*(U$14:U$71="N/A")*$F$14:$F$71)))</f>
        <v/>
      </c>
      <c r="W34" s="22">
        <f>IF(U34="SI",V34,0)</f>
        <v/>
      </c>
      <c r="X34" s="21" t="n"/>
      <c r="Y34" s="22">
        <f>IF(OR($E34=0,X$78=0),0,IF(AND(X34="N/A",$G34&lt;&gt;""),0,$F34+SUMPRODUCT(($G$14:$G$71=$A34)*($E$14:$E$71=1)*(X$14:X$71="N/A")*$F$14:$F$71)))</f>
        <v/>
      </c>
      <c r="Z34" s="22">
        <f>IF(X34="SI",Y34,0)</f>
        <v/>
      </c>
      <c r="AA34" s="22">
        <f>SUM(J34,M34,P34,S34,V34,Y34)</f>
        <v/>
      </c>
      <c r="AB34" s="22">
        <f>SUM(K34,N34,Q34,T34,W34,Z34)</f>
        <v/>
      </c>
      <c r="AC34" s="23">
        <f>IF(AA34=0,"",AB34/AA34)</f>
        <v/>
      </c>
      <c r="AD34" s="22">
        <f>CRITERIOS!Q22</f>
        <v/>
      </c>
      <c r="AE34" s="22">
        <f>IF(AND(E34=1,H34&lt;&gt;"X",((I34="N/A")+(L34="N/A")+(O34="N/A")+(R34="N/A")+(U34="N/A")+(X34="N/A"))&gt;0),"REVISAR","")</f>
        <v/>
      </c>
    </row>
    <row r="35">
      <c r="A35" s="22">
        <f>CRITERIOS!B23</f>
        <v/>
      </c>
      <c r="B35" s="22">
        <f>CRITERIOS!C23</f>
        <v/>
      </c>
      <c r="C35" s="8">
        <f>CRITERIOS!D23</f>
        <v/>
      </c>
      <c r="D35" s="22">
        <f>CRITERIOS!E23</f>
        <v/>
      </c>
      <c r="E35" s="22">
        <f>IFERROR(IF(AND(OR(CRITERIOS!F23="Todos",CRITERIOS!F23=$B$4),INDEX(CRITERIOS!H23:J23,MATCH($B$5,VARIABLES!$E$2:$E$4,0))=1),1,0),0)</f>
        <v/>
      </c>
      <c r="F35" s="22">
        <f>IFERROR(IF(E35=1,INDEX(CRITERIOS!K23:M23,MATCH($B$5,VARIABLES!$E$2:$E$4,0)),0),0)</f>
        <v/>
      </c>
      <c r="G35" s="22">
        <f>IF(CRITERIOS!N23="","",CRITERIOS!N23)</f>
        <v/>
      </c>
      <c r="H35" s="22">
        <f>IF(CRITERIOS!O23="","",CRITERIOS!O23)</f>
        <v/>
      </c>
      <c r="I35" s="21" t="n"/>
      <c r="J35" s="22">
        <f>IF(OR($E35=0,I$78=0),0,IF(AND(I35="N/A",$G35&lt;&gt;""),0,$F35+SUMPRODUCT(($G$14:$G$71=$A35)*($E$14:$E$71=1)*(I$14:I$71="N/A")*$F$14:$F$71)))</f>
        <v/>
      </c>
      <c r="K35" s="22">
        <f>IF(I35="SI",J35,0)</f>
        <v/>
      </c>
      <c r="L35" s="21" t="n"/>
      <c r="M35" s="22">
        <f>IF(OR($E35=0,L$78=0),0,IF(AND(L35="N/A",$G35&lt;&gt;""),0,$F35+SUMPRODUCT(($G$14:$G$71=$A35)*($E$14:$E$71=1)*(L$14:L$71="N/A")*$F$14:$F$71)))</f>
        <v/>
      </c>
      <c r="N35" s="22">
        <f>IF(L35="SI",M35,0)</f>
        <v/>
      </c>
      <c r="O35" s="21" t="n"/>
      <c r="P35" s="22">
        <f>IF(OR($E35=0,O$78=0),0,IF(AND(O35="N/A",$G35&lt;&gt;""),0,$F35+SUMPRODUCT(($G$14:$G$71=$A35)*($E$14:$E$71=1)*(O$14:O$71="N/A")*$F$14:$F$71)))</f>
        <v/>
      </c>
      <c r="Q35" s="22">
        <f>IF(O35="SI",P35,0)</f>
        <v/>
      </c>
      <c r="R35" s="21" t="n"/>
      <c r="S35" s="22">
        <f>IF(OR($E35=0,R$78=0),0,IF(AND(R35="N/A",$G35&lt;&gt;""),0,$F35+SUMPRODUCT(($G$14:$G$71=$A35)*($E$14:$E$71=1)*(R$14:R$71="N/A")*$F$14:$F$71)))</f>
        <v/>
      </c>
      <c r="T35" s="22">
        <f>IF(R35="SI",S35,0)</f>
        <v/>
      </c>
      <c r="U35" s="21" t="n"/>
      <c r="V35" s="22">
        <f>IF(OR($E35=0,U$78=0),0,IF(AND(U35="N/A",$G35&lt;&gt;""),0,$F35+SUMPRODUCT(($G$14:$G$71=$A35)*($E$14:$E$71=1)*(U$14:U$71="N/A")*$F$14:$F$71)))</f>
        <v/>
      </c>
      <c r="W35" s="22">
        <f>IF(U35="SI",V35,0)</f>
        <v/>
      </c>
      <c r="X35" s="21" t="n"/>
      <c r="Y35" s="22">
        <f>IF(OR($E35=0,X$78=0),0,IF(AND(X35="N/A",$G35&lt;&gt;""),0,$F35+SUMPRODUCT(($G$14:$G$71=$A35)*($E$14:$E$71=1)*(X$14:X$71="N/A")*$F$14:$F$71)))</f>
        <v/>
      </c>
      <c r="Z35" s="22">
        <f>IF(X35="SI",Y35,0)</f>
        <v/>
      </c>
      <c r="AA35" s="22">
        <f>SUM(J35,M35,P35,S35,V35,Y35)</f>
        <v/>
      </c>
      <c r="AB35" s="22">
        <f>SUM(K35,N35,Q35,T35,W35,Z35)</f>
        <v/>
      </c>
      <c r="AC35" s="23">
        <f>IF(AA35=0,"",AB35/AA35)</f>
        <v/>
      </c>
      <c r="AD35" s="22">
        <f>CRITERIOS!Q23</f>
        <v/>
      </c>
      <c r="AE35" s="22">
        <f>IF(AND(E35=1,H35&lt;&gt;"X",((I35="N/A")+(L35="N/A")+(O35="N/A")+(R35="N/A")+(U35="N/A")+(X35="N/A"))&gt;0),"REVISAR","")</f>
        <v/>
      </c>
    </row>
    <row r="36">
      <c r="A36" s="22">
        <f>CRITERIOS!B24</f>
        <v/>
      </c>
      <c r="B36" s="22">
        <f>CRITERIOS!C24</f>
        <v/>
      </c>
      <c r="C36" s="8">
        <f>CRITERIOS!D24</f>
        <v/>
      </c>
      <c r="D36" s="22">
        <f>CRITERIOS!E24</f>
        <v/>
      </c>
      <c r="E36" s="22">
        <f>IFERROR(IF(AND(OR(CRITERIOS!F24="Todos",CRITERIOS!F24=$B$4),INDEX(CRITERIOS!H24:J24,MATCH($B$5,VARIABLES!$E$2:$E$4,0))=1),1,0),0)</f>
        <v/>
      </c>
      <c r="F36" s="22">
        <f>IFERROR(IF(E36=1,INDEX(CRITERIOS!K24:M24,MATCH($B$5,VARIABLES!$E$2:$E$4,0)),0),0)</f>
        <v/>
      </c>
      <c r="G36" s="22">
        <f>IF(CRITERIOS!N24="","",CRITERIOS!N24)</f>
        <v/>
      </c>
      <c r="H36" s="22">
        <f>IF(CRITERIOS!O24="","",CRITERIOS!O24)</f>
        <v/>
      </c>
      <c r="I36" s="21" t="n"/>
      <c r="J36" s="22">
        <f>IF(OR($E36=0,I$78=0),0,IF(AND(I36="N/A",$G36&lt;&gt;""),0,$F36+SUMPRODUCT(($G$14:$G$71=$A36)*($E$14:$E$71=1)*(I$14:I$71="N/A")*$F$14:$F$71)))</f>
        <v/>
      </c>
      <c r="K36" s="22">
        <f>IF(I36="SI",J36,0)</f>
        <v/>
      </c>
      <c r="L36" s="21" t="n"/>
      <c r="M36" s="22">
        <f>IF(OR($E36=0,L$78=0),0,IF(AND(L36="N/A",$G36&lt;&gt;""),0,$F36+SUMPRODUCT(($G$14:$G$71=$A36)*($E$14:$E$71=1)*(L$14:L$71="N/A")*$F$14:$F$71)))</f>
        <v/>
      </c>
      <c r="N36" s="22">
        <f>IF(L36="SI",M36,0)</f>
        <v/>
      </c>
      <c r="O36" s="21" t="n"/>
      <c r="P36" s="22">
        <f>IF(OR($E36=0,O$78=0),0,IF(AND(O36="N/A",$G36&lt;&gt;""),0,$F36+SUMPRODUCT(($G$14:$G$71=$A36)*($E$14:$E$71=1)*(O$14:O$71="N/A")*$F$14:$F$71)))</f>
        <v/>
      </c>
      <c r="Q36" s="22">
        <f>IF(O36="SI",P36,0)</f>
        <v/>
      </c>
      <c r="R36" s="21" t="n"/>
      <c r="S36" s="22">
        <f>IF(OR($E36=0,R$78=0),0,IF(AND(R36="N/A",$G36&lt;&gt;""),0,$F36+SUMPRODUCT(($G$14:$G$71=$A36)*($E$14:$E$71=1)*(R$14:R$71="N/A")*$F$14:$F$71)))</f>
        <v/>
      </c>
      <c r="T36" s="22">
        <f>IF(R36="SI",S36,0)</f>
        <v/>
      </c>
      <c r="U36" s="21" t="n"/>
      <c r="V36" s="22">
        <f>IF(OR($E36=0,U$78=0),0,IF(AND(U36="N/A",$G36&lt;&gt;""),0,$F36+SUMPRODUCT(($G$14:$G$71=$A36)*($E$14:$E$71=1)*(U$14:U$71="N/A")*$F$14:$F$71)))</f>
        <v/>
      </c>
      <c r="W36" s="22">
        <f>IF(U36="SI",V36,0)</f>
        <v/>
      </c>
      <c r="X36" s="21" t="n"/>
      <c r="Y36" s="22">
        <f>IF(OR($E36=0,X$78=0),0,IF(AND(X36="N/A",$G36&lt;&gt;""),0,$F36+SUMPRODUCT(($G$14:$G$71=$A36)*($E$14:$E$71=1)*(X$14:X$71="N/A")*$F$14:$F$71)))</f>
        <v/>
      </c>
      <c r="Z36" s="22">
        <f>IF(X36="SI",Y36,0)</f>
        <v/>
      </c>
      <c r="AA36" s="22">
        <f>SUM(J36,M36,P36,S36,V36,Y36)</f>
        <v/>
      </c>
      <c r="AB36" s="22">
        <f>SUM(K36,N36,Q36,T36,W36,Z36)</f>
        <v/>
      </c>
      <c r="AC36" s="23">
        <f>IF(AA36=0,"",AB36/AA36)</f>
        <v/>
      </c>
      <c r="AD36" s="22">
        <f>CRITERIOS!Q24</f>
        <v/>
      </c>
      <c r="AE36" s="22">
        <f>IF(AND(E36=1,H36&lt;&gt;"X",((I36="N/A")+(L36="N/A")+(O36="N/A")+(R36="N/A")+(U36="N/A")+(X36="N/A"))&gt;0),"REVISAR","")</f>
        <v/>
      </c>
    </row>
    <row r="37">
      <c r="A37" s="22">
        <f>CRITERIOS!B25</f>
        <v/>
      </c>
      <c r="B37" s="22">
        <f>CRITERIOS!C25</f>
        <v/>
      </c>
      <c r="C37" s="8">
        <f>CRITERIOS!D25</f>
        <v/>
      </c>
      <c r="D37" s="22">
        <f>CRITERIOS!E25</f>
        <v/>
      </c>
      <c r="E37" s="22">
        <f>IFERROR(IF(AND(OR(CRITERIOS!F25="Todos",CRITERIOS!F25=$B$4),INDEX(CRITERIOS!H25:J25,MATCH($B$5,VARIABLES!$E$2:$E$4,0))=1),1,0),0)</f>
        <v/>
      </c>
      <c r="F37" s="22">
        <f>IFERROR(IF(E37=1,INDEX(CRITERIOS!K25:M25,MATCH($B$5,VARIABLES!$E$2:$E$4,0)),0),0)</f>
        <v/>
      </c>
      <c r="G37" s="22">
        <f>IF(CRITERIOS!N25="","",CRITERIOS!N25)</f>
        <v/>
      </c>
      <c r="H37" s="22">
        <f>IF(CRITERIOS!O25="","",CRITERIOS!O25)</f>
        <v/>
      </c>
      <c r="I37" s="21" t="n"/>
      <c r="J37" s="22">
        <f>IF(OR($E37=0,I$78=0),0,IF(AND(I37="N/A",$G37&lt;&gt;""),0,$F37+SUMPRODUCT(($G$14:$G$71=$A37)*($E$14:$E$71=1)*(I$14:I$71="N/A")*$F$14:$F$71)))</f>
        <v/>
      </c>
      <c r="K37" s="22">
        <f>IF(I37="SI",J37,0)</f>
        <v/>
      </c>
      <c r="L37" s="21" t="n"/>
      <c r="M37" s="22">
        <f>IF(OR($E37=0,L$78=0),0,IF(AND(L37="N/A",$G37&lt;&gt;""),0,$F37+SUMPRODUCT(($G$14:$G$71=$A37)*($E$14:$E$71=1)*(L$14:L$71="N/A")*$F$14:$F$71)))</f>
        <v/>
      </c>
      <c r="N37" s="22">
        <f>IF(L37="SI",M37,0)</f>
        <v/>
      </c>
      <c r="O37" s="21" t="n"/>
      <c r="P37" s="22">
        <f>IF(OR($E37=0,O$78=0),0,IF(AND(O37="N/A",$G37&lt;&gt;""),0,$F37+SUMPRODUCT(($G$14:$G$71=$A37)*($E$14:$E$71=1)*(O$14:O$71="N/A")*$F$14:$F$71)))</f>
        <v/>
      </c>
      <c r="Q37" s="22">
        <f>IF(O37="SI",P37,0)</f>
        <v/>
      </c>
      <c r="R37" s="21" t="n"/>
      <c r="S37" s="22">
        <f>IF(OR($E37=0,R$78=0),0,IF(AND(R37="N/A",$G37&lt;&gt;""),0,$F37+SUMPRODUCT(($G$14:$G$71=$A37)*($E$14:$E$71=1)*(R$14:R$71="N/A")*$F$14:$F$71)))</f>
        <v/>
      </c>
      <c r="T37" s="22">
        <f>IF(R37="SI",S37,0)</f>
        <v/>
      </c>
      <c r="U37" s="21" t="n"/>
      <c r="V37" s="22">
        <f>IF(OR($E37=0,U$78=0),0,IF(AND(U37="N/A",$G37&lt;&gt;""),0,$F37+SUMPRODUCT(($G$14:$G$71=$A37)*($E$14:$E$71=1)*(U$14:U$71="N/A")*$F$14:$F$71)))</f>
        <v/>
      </c>
      <c r="W37" s="22">
        <f>IF(U37="SI",V37,0)</f>
        <v/>
      </c>
      <c r="X37" s="21" t="n"/>
      <c r="Y37" s="22">
        <f>IF(OR($E37=0,X$78=0),0,IF(AND(X37="N/A",$G37&lt;&gt;""),0,$F37+SUMPRODUCT(($G$14:$G$71=$A37)*($E$14:$E$71=1)*(X$14:X$71="N/A")*$F$14:$F$71)))</f>
        <v/>
      </c>
      <c r="Z37" s="22">
        <f>IF(X37="SI",Y37,0)</f>
        <v/>
      </c>
      <c r="AA37" s="22">
        <f>SUM(J37,M37,P37,S37,V37,Y37)</f>
        <v/>
      </c>
      <c r="AB37" s="22">
        <f>SUM(K37,N37,Q37,T37,W37,Z37)</f>
        <v/>
      </c>
      <c r="AC37" s="23">
        <f>IF(AA37=0,"",AB37/AA37)</f>
        <v/>
      </c>
      <c r="AD37" s="22">
        <f>CRITERIOS!Q25</f>
        <v/>
      </c>
      <c r="AE37" s="22">
        <f>IF(AND(E37=1,H37&lt;&gt;"X",((I37="N/A")+(L37="N/A")+(O37="N/A")+(R37="N/A")+(U37="N/A")+(X37="N/A"))&gt;0),"REVISAR","")</f>
        <v/>
      </c>
    </row>
    <row r="38">
      <c r="A38" s="22">
        <f>CRITERIOS!B26</f>
        <v/>
      </c>
      <c r="B38" s="22">
        <f>CRITERIOS!C26</f>
        <v/>
      </c>
      <c r="C38" s="8">
        <f>CRITERIOS!D26</f>
        <v/>
      </c>
      <c r="D38" s="22">
        <f>CRITERIOS!E26</f>
        <v/>
      </c>
      <c r="E38" s="22">
        <f>IFERROR(IF(AND(OR(CRITERIOS!F26="Todos",CRITERIOS!F26=$B$4),INDEX(CRITERIOS!H26:J26,MATCH($B$5,VARIABLES!$E$2:$E$4,0))=1),1,0),0)</f>
        <v/>
      </c>
      <c r="F38" s="22">
        <f>IFERROR(IF(E38=1,INDEX(CRITERIOS!K26:M26,MATCH($B$5,VARIABLES!$E$2:$E$4,0)),0),0)</f>
        <v/>
      </c>
      <c r="G38" s="22">
        <f>IF(CRITERIOS!N26="","",CRITERIOS!N26)</f>
        <v/>
      </c>
      <c r="H38" s="22">
        <f>IF(CRITERIOS!O26="","",CRITERIOS!O26)</f>
        <v/>
      </c>
      <c r="I38" s="21" t="n"/>
      <c r="J38" s="22">
        <f>IF(OR($E38=0,I$78=0),0,IF(AND(I38="N/A",$G38&lt;&gt;""),0,$F38+SUMPRODUCT(($G$14:$G$71=$A38)*($E$14:$E$71=1)*(I$14:I$71="N/A")*$F$14:$F$71)))</f>
        <v/>
      </c>
      <c r="K38" s="22">
        <f>IF(I38="SI",J38,0)</f>
        <v/>
      </c>
      <c r="L38" s="21" t="n"/>
      <c r="M38" s="22">
        <f>IF(OR($E38=0,L$78=0),0,IF(AND(L38="N/A",$G38&lt;&gt;""),0,$F38+SUMPRODUCT(($G$14:$G$71=$A38)*($E$14:$E$71=1)*(L$14:L$71="N/A")*$F$14:$F$71)))</f>
        <v/>
      </c>
      <c r="N38" s="22">
        <f>IF(L38="SI",M38,0)</f>
        <v/>
      </c>
      <c r="O38" s="21" t="n"/>
      <c r="P38" s="22">
        <f>IF(OR($E38=0,O$78=0),0,IF(AND(O38="N/A",$G38&lt;&gt;""),0,$F38+SUMPRODUCT(($G$14:$G$71=$A38)*($E$14:$E$71=1)*(O$14:O$71="N/A")*$F$14:$F$71)))</f>
        <v/>
      </c>
      <c r="Q38" s="22">
        <f>IF(O38="SI",P38,0)</f>
        <v/>
      </c>
      <c r="R38" s="21" t="n"/>
      <c r="S38" s="22">
        <f>IF(OR($E38=0,R$78=0),0,IF(AND(R38="N/A",$G38&lt;&gt;""),0,$F38+SUMPRODUCT(($G$14:$G$71=$A38)*($E$14:$E$71=1)*(R$14:R$71="N/A")*$F$14:$F$71)))</f>
        <v/>
      </c>
      <c r="T38" s="22">
        <f>IF(R38="SI",S38,0)</f>
        <v/>
      </c>
      <c r="U38" s="21" t="n"/>
      <c r="V38" s="22">
        <f>IF(OR($E38=0,U$78=0),0,IF(AND(U38="N/A",$G38&lt;&gt;""),0,$F38+SUMPRODUCT(($G$14:$G$71=$A38)*($E$14:$E$71=1)*(U$14:U$71="N/A")*$F$14:$F$71)))</f>
        <v/>
      </c>
      <c r="W38" s="22">
        <f>IF(U38="SI",V38,0)</f>
        <v/>
      </c>
      <c r="X38" s="21" t="n"/>
      <c r="Y38" s="22">
        <f>IF(OR($E38=0,X$78=0),0,IF(AND(X38="N/A",$G38&lt;&gt;""),0,$F38+SUMPRODUCT(($G$14:$G$71=$A38)*($E$14:$E$71=1)*(X$14:X$71="N/A")*$F$14:$F$71)))</f>
        <v/>
      </c>
      <c r="Z38" s="22">
        <f>IF(X38="SI",Y38,0)</f>
        <v/>
      </c>
      <c r="AA38" s="22">
        <f>SUM(J38,M38,P38,S38,V38,Y38)</f>
        <v/>
      </c>
      <c r="AB38" s="22">
        <f>SUM(K38,N38,Q38,T38,W38,Z38)</f>
        <v/>
      </c>
      <c r="AC38" s="23">
        <f>IF(AA38=0,"",AB38/AA38)</f>
        <v/>
      </c>
      <c r="AD38" s="22">
        <f>CRITERIOS!Q26</f>
        <v/>
      </c>
      <c r="AE38" s="22">
        <f>IF(AND(E38=1,H38&lt;&gt;"X",((I38="N/A")+(L38="N/A")+(O38="N/A")+(R38="N/A")+(U38="N/A")+(X38="N/A"))&gt;0),"REVISAR","")</f>
        <v/>
      </c>
    </row>
    <row r="39">
      <c r="A39" s="22">
        <f>CRITERIOS!B27</f>
        <v/>
      </c>
      <c r="B39" s="22">
        <f>CRITERIOS!C27</f>
        <v/>
      </c>
      <c r="C39" s="8">
        <f>CRITERIOS!D27</f>
        <v/>
      </c>
      <c r="D39" s="22">
        <f>CRITERIOS!E27</f>
        <v/>
      </c>
      <c r="E39" s="22">
        <f>IFERROR(IF(AND(OR(CRITERIOS!F27="Todos",CRITERIOS!F27=$B$4),INDEX(CRITERIOS!H27:J27,MATCH($B$5,VARIABLES!$E$2:$E$4,0))=1),1,0),0)</f>
        <v/>
      </c>
      <c r="F39" s="22">
        <f>IFERROR(IF(E39=1,INDEX(CRITERIOS!K27:M27,MATCH($B$5,VARIABLES!$E$2:$E$4,0)),0),0)</f>
        <v/>
      </c>
      <c r="G39" s="22">
        <f>IF(CRITERIOS!N27="","",CRITERIOS!N27)</f>
        <v/>
      </c>
      <c r="H39" s="22">
        <f>IF(CRITERIOS!O27="","",CRITERIOS!O27)</f>
        <v/>
      </c>
      <c r="I39" s="21" t="n"/>
      <c r="J39" s="22">
        <f>IF(OR($E39=0,I$78=0),0,IF(AND(I39="N/A",$G39&lt;&gt;""),0,$F39+SUMPRODUCT(($G$14:$G$71=$A39)*($E$14:$E$71=1)*(I$14:I$71="N/A")*$F$14:$F$71)))</f>
        <v/>
      </c>
      <c r="K39" s="22">
        <f>IF(I39="SI",J39,0)</f>
        <v/>
      </c>
      <c r="L39" s="21" t="n"/>
      <c r="M39" s="22">
        <f>IF(OR($E39=0,L$78=0),0,IF(AND(L39="N/A",$G39&lt;&gt;""),0,$F39+SUMPRODUCT(($G$14:$G$71=$A39)*($E$14:$E$71=1)*(L$14:L$71="N/A")*$F$14:$F$71)))</f>
        <v/>
      </c>
      <c r="N39" s="22">
        <f>IF(L39="SI",M39,0)</f>
        <v/>
      </c>
      <c r="O39" s="21" t="n"/>
      <c r="P39" s="22">
        <f>IF(OR($E39=0,O$78=0),0,IF(AND(O39="N/A",$G39&lt;&gt;""),0,$F39+SUMPRODUCT(($G$14:$G$71=$A39)*($E$14:$E$71=1)*(O$14:O$71="N/A")*$F$14:$F$71)))</f>
        <v/>
      </c>
      <c r="Q39" s="22">
        <f>IF(O39="SI",P39,0)</f>
        <v/>
      </c>
      <c r="R39" s="21" t="n"/>
      <c r="S39" s="22">
        <f>IF(OR($E39=0,R$78=0),0,IF(AND(R39="N/A",$G39&lt;&gt;""),0,$F39+SUMPRODUCT(($G$14:$G$71=$A39)*($E$14:$E$71=1)*(R$14:R$71="N/A")*$F$14:$F$71)))</f>
        <v/>
      </c>
      <c r="T39" s="22">
        <f>IF(R39="SI",S39,0)</f>
        <v/>
      </c>
      <c r="U39" s="21" t="n"/>
      <c r="V39" s="22">
        <f>IF(OR($E39=0,U$78=0),0,IF(AND(U39="N/A",$G39&lt;&gt;""),0,$F39+SUMPRODUCT(($G$14:$G$71=$A39)*($E$14:$E$71=1)*(U$14:U$71="N/A")*$F$14:$F$71)))</f>
        <v/>
      </c>
      <c r="W39" s="22">
        <f>IF(U39="SI",V39,0)</f>
        <v/>
      </c>
      <c r="X39" s="21" t="n"/>
      <c r="Y39" s="22">
        <f>IF(OR($E39=0,X$78=0),0,IF(AND(X39="N/A",$G39&lt;&gt;""),0,$F39+SUMPRODUCT(($G$14:$G$71=$A39)*($E$14:$E$71=1)*(X$14:X$71="N/A")*$F$14:$F$71)))</f>
        <v/>
      </c>
      <c r="Z39" s="22">
        <f>IF(X39="SI",Y39,0)</f>
        <v/>
      </c>
      <c r="AA39" s="22">
        <f>SUM(J39,M39,P39,S39,V39,Y39)</f>
        <v/>
      </c>
      <c r="AB39" s="22">
        <f>SUM(K39,N39,Q39,T39,W39,Z39)</f>
        <v/>
      </c>
      <c r="AC39" s="23">
        <f>IF(AA39=0,"",AB39/AA39)</f>
        <v/>
      </c>
      <c r="AD39" s="22">
        <f>CRITERIOS!Q27</f>
        <v/>
      </c>
      <c r="AE39" s="22">
        <f>IF(AND(E39=1,H39&lt;&gt;"X",((I39="N/A")+(L39="N/A")+(O39="N/A")+(R39="N/A")+(U39="N/A")+(X39="N/A"))&gt;0),"REVISAR","")</f>
        <v/>
      </c>
    </row>
    <row r="40">
      <c r="A40" s="22">
        <f>CRITERIOS!B28</f>
        <v/>
      </c>
      <c r="B40" s="22">
        <f>CRITERIOS!C28</f>
        <v/>
      </c>
      <c r="C40" s="8">
        <f>CRITERIOS!D28</f>
        <v/>
      </c>
      <c r="D40" s="22">
        <f>CRITERIOS!E28</f>
        <v/>
      </c>
      <c r="E40" s="22">
        <f>IFERROR(IF(AND(OR(CRITERIOS!F28="Todos",CRITERIOS!F28=$B$4),INDEX(CRITERIOS!H28:J28,MATCH($B$5,VARIABLES!$E$2:$E$4,0))=1),1,0),0)</f>
        <v/>
      </c>
      <c r="F40" s="22">
        <f>IFERROR(IF(E40=1,INDEX(CRITERIOS!K28:M28,MATCH($B$5,VARIABLES!$E$2:$E$4,0)),0),0)</f>
        <v/>
      </c>
      <c r="G40" s="22">
        <f>IF(CRITERIOS!N28="","",CRITERIOS!N28)</f>
        <v/>
      </c>
      <c r="H40" s="22">
        <f>IF(CRITERIOS!O28="","",CRITERIOS!O28)</f>
        <v/>
      </c>
      <c r="I40" s="21" t="n"/>
      <c r="J40" s="22">
        <f>IF(OR($E40=0,I$78=0),0,IF(AND(I40="N/A",$G40&lt;&gt;""),0,$F40+SUMPRODUCT(($G$14:$G$71=$A40)*($E$14:$E$71=1)*(I$14:I$71="N/A")*$F$14:$F$71)))</f>
        <v/>
      </c>
      <c r="K40" s="22">
        <f>IF(I40="SI",J40,0)</f>
        <v/>
      </c>
      <c r="L40" s="21" t="n"/>
      <c r="M40" s="22">
        <f>IF(OR($E40=0,L$78=0),0,IF(AND(L40="N/A",$G40&lt;&gt;""),0,$F40+SUMPRODUCT(($G$14:$G$71=$A40)*($E$14:$E$71=1)*(L$14:L$71="N/A")*$F$14:$F$71)))</f>
        <v/>
      </c>
      <c r="N40" s="22">
        <f>IF(L40="SI",M40,0)</f>
        <v/>
      </c>
      <c r="O40" s="21" t="n"/>
      <c r="P40" s="22">
        <f>IF(OR($E40=0,O$78=0),0,IF(AND(O40="N/A",$G40&lt;&gt;""),0,$F40+SUMPRODUCT(($G$14:$G$71=$A40)*($E$14:$E$71=1)*(O$14:O$71="N/A")*$F$14:$F$71)))</f>
        <v/>
      </c>
      <c r="Q40" s="22">
        <f>IF(O40="SI",P40,0)</f>
        <v/>
      </c>
      <c r="R40" s="21" t="n"/>
      <c r="S40" s="22">
        <f>IF(OR($E40=0,R$78=0),0,IF(AND(R40="N/A",$G40&lt;&gt;""),0,$F40+SUMPRODUCT(($G$14:$G$71=$A40)*($E$14:$E$71=1)*(R$14:R$71="N/A")*$F$14:$F$71)))</f>
        <v/>
      </c>
      <c r="T40" s="22">
        <f>IF(R40="SI",S40,0)</f>
        <v/>
      </c>
      <c r="U40" s="21" t="n"/>
      <c r="V40" s="22">
        <f>IF(OR($E40=0,U$78=0),0,IF(AND(U40="N/A",$G40&lt;&gt;""),0,$F40+SUMPRODUCT(($G$14:$G$71=$A40)*($E$14:$E$71=1)*(U$14:U$71="N/A")*$F$14:$F$71)))</f>
        <v/>
      </c>
      <c r="W40" s="22">
        <f>IF(U40="SI",V40,0)</f>
        <v/>
      </c>
      <c r="X40" s="21" t="n"/>
      <c r="Y40" s="22">
        <f>IF(OR($E40=0,X$78=0),0,IF(AND(X40="N/A",$G40&lt;&gt;""),0,$F40+SUMPRODUCT(($G$14:$G$71=$A40)*($E$14:$E$71=1)*(X$14:X$71="N/A")*$F$14:$F$71)))</f>
        <v/>
      </c>
      <c r="Z40" s="22">
        <f>IF(X40="SI",Y40,0)</f>
        <v/>
      </c>
      <c r="AA40" s="22">
        <f>SUM(J40,M40,P40,S40,V40,Y40)</f>
        <v/>
      </c>
      <c r="AB40" s="22">
        <f>SUM(K40,N40,Q40,T40,W40,Z40)</f>
        <v/>
      </c>
      <c r="AC40" s="23">
        <f>IF(AA40=0,"",AB40/AA40)</f>
        <v/>
      </c>
      <c r="AD40" s="22">
        <f>CRITERIOS!Q28</f>
        <v/>
      </c>
      <c r="AE40" s="22">
        <f>IF(AND(E40=1,H40&lt;&gt;"X",((I40="N/A")+(L40="N/A")+(O40="N/A")+(R40="N/A")+(U40="N/A")+(X40="N/A"))&gt;0),"REVISAR","")</f>
        <v/>
      </c>
    </row>
    <row r="41">
      <c r="A41" s="22">
        <f>CRITERIOS!B29</f>
        <v/>
      </c>
      <c r="B41" s="22">
        <f>CRITERIOS!C29</f>
        <v/>
      </c>
      <c r="C41" s="8">
        <f>CRITERIOS!D29</f>
        <v/>
      </c>
      <c r="D41" s="22">
        <f>CRITERIOS!E29</f>
        <v/>
      </c>
      <c r="E41" s="22">
        <f>IFERROR(IF(AND(OR(CRITERIOS!F29="Todos",CRITERIOS!F29=$B$4),INDEX(CRITERIOS!H29:J29,MATCH($B$5,VARIABLES!$E$2:$E$4,0))=1),1,0),0)</f>
        <v/>
      </c>
      <c r="F41" s="22">
        <f>IFERROR(IF(E41=1,INDEX(CRITERIOS!K29:M29,MATCH($B$5,VARIABLES!$E$2:$E$4,0)),0),0)</f>
        <v/>
      </c>
      <c r="G41" s="22">
        <f>IF(CRITERIOS!N29="","",CRITERIOS!N29)</f>
        <v/>
      </c>
      <c r="H41" s="22">
        <f>IF(CRITERIOS!O29="","",CRITERIOS!O29)</f>
        <v/>
      </c>
      <c r="I41" s="21" t="n"/>
      <c r="J41" s="22">
        <f>IF(OR($E41=0,I$78=0),0,IF(AND(I41="N/A",$G41&lt;&gt;""),0,$F41+SUMPRODUCT(($G$14:$G$71=$A41)*($E$14:$E$71=1)*(I$14:I$71="N/A")*$F$14:$F$71)))</f>
        <v/>
      </c>
      <c r="K41" s="22">
        <f>IF(I41="SI",J41,0)</f>
        <v/>
      </c>
      <c r="L41" s="21" t="n"/>
      <c r="M41" s="22">
        <f>IF(OR($E41=0,L$78=0),0,IF(AND(L41="N/A",$G41&lt;&gt;""),0,$F41+SUMPRODUCT(($G$14:$G$71=$A41)*($E$14:$E$71=1)*(L$14:L$71="N/A")*$F$14:$F$71)))</f>
        <v/>
      </c>
      <c r="N41" s="22">
        <f>IF(L41="SI",M41,0)</f>
        <v/>
      </c>
      <c r="O41" s="21" t="n"/>
      <c r="P41" s="22">
        <f>IF(OR($E41=0,O$78=0),0,IF(AND(O41="N/A",$G41&lt;&gt;""),0,$F41+SUMPRODUCT(($G$14:$G$71=$A41)*($E$14:$E$71=1)*(O$14:O$71="N/A")*$F$14:$F$71)))</f>
        <v/>
      </c>
      <c r="Q41" s="22">
        <f>IF(O41="SI",P41,0)</f>
        <v/>
      </c>
      <c r="R41" s="21" t="n"/>
      <c r="S41" s="22">
        <f>IF(OR($E41=0,R$78=0),0,IF(AND(R41="N/A",$G41&lt;&gt;""),0,$F41+SUMPRODUCT(($G$14:$G$71=$A41)*($E$14:$E$71=1)*(R$14:R$71="N/A")*$F$14:$F$71)))</f>
        <v/>
      </c>
      <c r="T41" s="22">
        <f>IF(R41="SI",S41,0)</f>
        <v/>
      </c>
      <c r="U41" s="21" t="n"/>
      <c r="V41" s="22">
        <f>IF(OR($E41=0,U$78=0),0,IF(AND(U41="N/A",$G41&lt;&gt;""),0,$F41+SUMPRODUCT(($G$14:$G$71=$A41)*($E$14:$E$71=1)*(U$14:U$71="N/A")*$F$14:$F$71)))</f>
        <v/>
      </c>
      <c r="W41" s="22">
        <f>IF(U41="SI",V41,0)</f>
        <v/>
      </c>
      <c r="X41" s="21" t="n"/>
      <c r="Y41" s="22">
        <f>IF(OR($E41=0,X$78=0),0,IF(AND(X41="N/A",$G41&lt;&gt;""),0,$F41+SUMPRODUCT(($G$14:$G$71=$A41)*($E$14:$E$71=1)*(X$14:X$71="N/A")*$F$14:$F$71)))</f>
        <v/>
      </c>
      <c r="Z41" s="22">
        <f>IF(X41="SI",Y41,0)</f>
        <v/>
      </c>
      <c r="AA41" s="22">
        <f>SUM(J41,M41,P41,S41,V41,Y41)</f>
        <v/>
      </c>
      <c r="AB41" s="22">
        <f>SUM(K41,N41,Q41,T41,W41,Z41)</f>
        <v/>
      </c>
      <c r="AC41" s="23">
        <f>IF(AA41=0,"",AB41/AA41)</f>
        <v/>
      </c>
      <c r="AD41" s="22">
        <f>CRITERIOS!Q29</f>
        <v/>
      </c>
      <c r="AE41" s="22">
        <f>IF(AND(E41=1,H41&lt;&gt;"X",((I41="N/A")+(L41="N/A")+(O41="N/A")+(R41="N/A")+(U41="N/A")+(X41="N/A"))&gt;0),"REVISAR","")</f>
        <v/>
      </c>
    </row>
    <row r="42">
      <c r="A42" s="24">
        <f>CRITERIOS!B30</f>
        <v/>
      </c>
      <c r="B42" s="24">
        <f>CRITERIOS!C30</f>
        <v/>
      </c>
      <c r="C42" s="25">
        <f>CRITERIOS!D30</f>
        <v/>
      </c>
      <c r="D42" s="24">
        <f>CRITERIOS!E30</f>
        <v/>
      </c>
      <c r="E42" s="24">
        <f>IFERROR(IF(AND(OR(CRITERIOS!F30="Todos",CRITERIOS!F30=$B$4),INDEX(CRITERIOS!H30:J30,MATCH($B$5,VARIABLES!$E$2:$E$4,0))=1),1,0),0)</f>
        <v/>
      </c>
      <c r="F42" s="24">
        <f>IFERROR(IF(E42=1,INDEX(CRITERIOS!K30:M30,MATCH($B$5,VARIABLES!$E$2:$E$4,0)),0),0)</f>
        <v/>
      </c>
      <c r="G42" s="24">
        <f>IF(CRITERIOS!N30="","",CRITERIOS!N30)</f>
        <v/>
      </c>
      <c r="H42" s="24">
        <f>IF(CRITERIOS!O30="","",CRITERIOS!O30)</f>
        <v/>
      </c>
      <c r="I42" s="21" t="n"/>
      <c r="J42" s="22">
        <f>IF(OR($E42=0,I$78=0),0,IF(AND(I42="N/A",$G42&lt;&gt;""),0,$F42+SUMPRODUCT(($G$14:$G$71=$A42)*($E$14:$E$71=1)*(I$14:I$71="N/A")*$F$14:$F$71)))</f>
        <v/>
      </c>
      <c r="K42" s="22">
        <f>IF(I42="SI",J42,0)</f>
        <v/>
      </c>
      <c r="L42" s="21" t="n"/>
      <c r="M42" s="22">
        <f>IF(OR($E42=0,L$78=0),0,IF(AND(L42="N/A",$G42&lt;&gt;""),0,$F42+SUMPRODUCT(($G$14:$G$71=$A42)*($E$14:$E$71=1)*(L$14:L$71="N/A")*$F$14:$F$71)))</f>
        <v/>
      </c>
      <c r="N42" s="22">
        <f>IF(L42="SI",M42,0)</f>
        <v/>
      </c>
      <c r="O42" s="21" t="n"/>
      <c r="P42" s="22">
        <f>IF(OR($E42=0,O$78=0),0,IF(AND(O42="N/A",$G42&lt;&gt;""),0,$F42+SUMPRODUCT(($G$14:$G$71=$A42)*($E$14:$E$71=1)*(O$14:O$71="N/A")*$F$14:$F$71)))</f>
        <v/>
      </c>
      <c r="Q42" s="22">
        <f>IF(O42="SI",P42,0)</f>
        <v/>
      </c>
      <c r="R42" s="21" t="n"/>
      <c r="S42" s="22">
        <f>IF(OR($E42=0,R$78=0),0,IF(AND(R42="N/A",$G42&lt;&gt;""),0,$F42+SUMPRODUCT(($G$14:$G$71=$A42)*($E$14:$E$71=1)*(R$14:R$71="N/A")*$F$14:$F$71)))</f>
        <v/>
      </c>
      <c r="T42" s="22">
        <f>IF(R42="SI",S42,0)</f>
        <v/>
      </c>
      <c r="U42" s="21" t="n"/>
      <c r="V42" s="22">
        <f>IF(OR($E42=0,U$78=0),0,IF(AND(U42="N/A",$G42&lt;&gt;""),0,$F42+SUMPRODUCT(($G$14:$G$71=$A42)*($E$14:$E$71=1)*(U$14:U$71="N/A")*$F$14:$F$71)))</f>
        <v/>
      </c>
      <c r="W42" s="22">
        <f>IF(U42="SI",V42,0)</f>
        <v/>
      </c>
      <c r="X42" s="21" t="n"/>
      <c r="Y42" s="22">
        <f>IF(OR($E42=0,X$78=0),0,IF(AND(X42="N/A",$G42&lt;&gt;""),0,$F42+SUMPRODUCT(($G$14:$G$71=$A42)*($E$14:$E$71=1)*(X$14:X$71="N/A")*$F$14:$F$71)))</f>
        <v/>
      </c>
      <c r="Z42" s="22">
        <f>IF(X42="SI",Y42,0)</f>
        <v/>
      </c>
      <c r="AA42" s="22">
        <f>SUM(J42,M42,P42,S42,V42,Y42)</f>
        <v/>
      </c>
      <c r="AB42" s="22">
        <f>SUM(K42,N42,Q42,T42,W42,Z42)</f>
        <v/>
      </c>
      <c r="AC42" s="23">
        <f>IF(AA42=0,"",AB42/AA42)</f>
        <v/>
      </c>
      <c r="AD42" s="22">
        <f>CRITERIOS!Q30</f>
        <v/>
      </c>
      <c r="AE42" s="22">
        <f>IF(AND(E42=1,H42&lt;&gt;"X",((I42="N/A")+(L42="N/A")+(O42="N/A")+(R42="N/A")+(U42="N/A")+(X42="N/A"))&gt;0),"REVISAR","")</f>
        <v/>
      </c>
    </row>
    <row r="43">
      <c r="A43" s="22">
        <f>CRITERIOS!B31</f>
        <v/>
      </c>
      <c r="B43" s="22">
        <f>CRITERIOS!C31</f>
        <v/>
      </c>
      <c r="C43" s="8">
        <f>CRITERIOS!D31</f>
        <v/>
      </c>
      <c r="D43" s="22">
        <f>CRITERIOS!E31</f>
        <v/>
      </c>
      <c r="E43" s="22">
        <f>IFERROR(IF(AND(OR(CRITERIOS!F31="Todos",CRITERIOS!F31=$B$4),INDEX(CRITERIOS!H31:J31,MATCH($B$5,VARIABLES!$E$2:$E$4,0))=1),1,0),0)</f>
        <v/>
      </c>
      <c r="F43" s="22">
        <f>IFERROR(IF(E43=1,INDEX(CRITERIOS!K31:M31,MATCH($B$5,VARIABLES!$E$2:$E$4,0)),0),0)</f>
        <v/>
      </c>
      <c r="G43" s="22">
        <f>IF(CRITERIOS!N31="","",CRITERIOS!N31)</f>
        <v/>
      </c>
      <c r="H43" s="22">
        <f>IF(CRITERIOS!O31="","",CRITERIOS!O31)</f>
        <v/>
      </c>
      <c r="I43" s="21" t="n"/>
      <c r="J43" s="22">
        <f>IF(OR($E43=0,I$78=0),0,IF(AND(I43="N/A",$G43&lt;&gt;""),0,$F43+SUMPRODUCT(($G$14:$G$71=$A43)*($E$14:$E$71=1)*(I$14:I$71="N/A")*$F$14:$F$71)))</f>
        <v/>
      </c>
      <c r="K43" s="22">
        <f>IF(I43="SI",J43,0)</f>
        <v/>
      </c>
      <c r="L43" s="21" t="n"/>
      <c r="M43" s="22">
        <f>IF(OR($E43=0,L$78=0),0,IF(AND(L43="N/A",$G43&lt;&gt;""),0,$F43+SUMPRODUCT(($G$14:$G$71=$A43)*($E$14:$E$71=1)*(L$14:L$71="N/A")*$F$14:$F$71)))</f>
        <v/>
      </c>
      <c r="N43" s="22">
        <f>IF(L43="SI",M43,0)</f>
        <v/>
      </c>
      <c r="O43" s="21" t="n"/>
      <c r="P43" s="22">
        <f>IF(OR($E43=0,O$78=0),0,IF(AND(O43="N/A",$G43&lt;&gt;""),0,$F43+SUMPRODUCT(($G$14:$G$71=$A43)*($E$14:$E$71=1)*(O$14:O$71="N/A")*$F$14:$F$71)))</f>
        <v/>
      </c>
      <c r="Q43" s="22">
        <f>IF(O43="SI",P43,0)</f>
        <v/>
      </c>
      <c r="R43" s="21" t="n"/>
      <c r="S43" s="22">
        <f>IF(OR($E43=0,R$78=0),0,IF(AND(R43="N/A",$G43&lt;&gt;""),0,$F43+SUMPRODUCT(($G$14:$G$71=$A43)*($E$14:$E$71=1)*(R$14:R$71="N/A")*$F$14:$F$71)))</f>
        <v/>
      </c>
      <c r="T43" s="22">
        <f>IF(R43="SI",S43,0)</f>
        <v/>
      </c>
      <c r="U43" s="21" t="n"/>
      <c r="V43" s="22">
        <f>IF(OR($E43=0,U$78=0),0,IF(AND(U43="N/A",$G43&lt;&gt;""),0,$F43+SUMPRODUCT(($G$14:$G$71=$A43)*($E$14:$E$71=1)*(U$14:U$71="N/A")*$F$14:$F$71)))</f>
        <v/>
      </c>
      <c r="W43" s="22">
        <f>IF(U43="SI",V43,0)</f>
        <v/>
      </c>
      <c r="X43" s="21" t="n"/>
      <c r="Y43" s="22">
        <f>IF(OR($E43=0,X$78=0),0,IF(AND(X43="N/A",$G43&lt;&gt;""),0,$F43+SUMPRODUCT(($G$14:$G$71=$A43)*($E$14:$E$71=1)*(X$14:X$71="N/A")*$F$14:$F$71)))</f>
        <v/>
      </c>
      <c r="Z43" s="22">
        <f>IF(X43="SI",Y43,0)</f>
        <v/>
      </c>
      <c r="AA43" s="22">
        <f>SUM(J43,M43,P43,S43,V43,Y43)</f>
        <v/>
      </c>
      <c r="AB43" s="22">
        <f>SUM(K43,N43,Q43,T43,W43,Z43)</f>
        <v/>
      </c>
      <c r="AC43" s="23">
        <f>IF(AA43=0,"",AB43/AA43)</f>
        <v/>
      </c>
      <c r="AD43" s="22">
        <f>CRITERIOS!Q31</f>
        <v/>
      </c>
      <c r="AE43" s="22">
        <f>IF(AND(E43=1,H43&lt;&gt;"X",((I43="N/A")+(L43="N/A")+(O43="N/A")+(R43="N/A")+(U43="N/A")+(X43="N/A"))&gt;0),"REVISAR","")</f>
        <v/>
      </c>
    </row>
    <row r="44">
      <c r="A44" s="24">
        <f>CRITERIOS!B32</f>
        <v/>
      </c>
      <c r="B44" s="24">
        <f>CRITERIOS!C32</f>
        <v/>
      </c>
      <c r="C44" s="25">
        <f>CRITERIOS!D32</f>
        <v/>
      </c>
      <c r="D44" s="24">
        <f>CRITERIOS!E32</f>
        <v/>
      </c>
      <c r="E44" s="24">
        <f>IFERROR(IF(AND(OR(CRITERIOS!F32="Todos",CRITERIOS!F32=$B$4),INDEX(CRITERIOS!H32:J32,MATCH($B$5,VARIABLES!$E$2:$E$4,0))=1),1,0),0)</f>
        <v/>
      </c>
      <c r="F44" s="24">
        <f>IFERROR(IF(E44=1,INDEX(CRITERIOS!K32:M32,MATCH($B$5,VARIABLES!$E$2:$E$4,0)),0),0)</f>
        <v/>
      </c>
      <c r="G44" s="24">
        <f>IF(CRITERIOS!N32="","",CRITERIOS!N32)</f>
        <v/>
      </c>
      <c r="H44" s="24">
        <f>IF(CRITERIOS!O32="","",CRITERIOS!O32)</f>
        <v/>
      </c>
      <c r="I44" s="21" t="n"/>
      <c r="J44" s="22">
        <f>IF(OR($E44=0,I$78=0),0,IF(AND(I44="N/A",$G44&lt;&gt;""),0,$F44+SUMPRODUCT(($G$14:$G$71=$A44)*($E$14:$E$71=1)*(I$14:I$71="N/A")*$F$14:$F$71)))</f>
        <v/>
      </c>
      <c r="K44" s="22">
        <f>IF(I44="SI",J44,0)</f>
        <v/>
      </c>
      <c r="L44" s="21" t="n"/>
      <c r="M44" s="22">
        <f>IF(OR($E44=0,L$78=0),0,IF(AND(L44="N/A",$G44&lt;&gt;""),0,$F44+SUMPRODUCT(($G$14:$G$71=$A44)*($E$14:$E$71=1)*(L$14:L$71="N/A")*$F$14:$F$71)))</f>
        <v/>
      </c>
      <c r="N44" s="22">
        <f>IF(L44="SI",M44,0)</f>
        <v/>
      </c>
      <c r="O44" s="21" t="n"/>
      <c r="P44" s="22">
        <f>IF(OR($E44=0,O$78=0),0,IF(AND(O44="N/A",$G44&lt;&gt;""),0,$F44+SUMPRODUCT(($G$14:$G$71=$A44)*($E$14:$E$71=1)*(O$14:O$71="N/A")*$F$14:$F$71)))</f>
        <v/>
      </c>
      <c r="Q44" s="22">
        <f>IF(O44="SI",P44,0)</f>
        <v/>
      </c>
      <c r="R44" s="21" t="n"/>
      <c r="S44" s="22">
        <f>IF(OR($E44=0,R$78=0),0,IF(AND(R44="N/A",$G44&lt;&gt;""),0,$F44+SUMPRODUCT(($G$14:$G$71=$A44)*($E$14:$E$71=1)*(R$14:R$71="N/A")*$F$14:$F$71)))</f>
        <v/>
      </c>
      <c r="T44" s="22">
        <f>IF(R44="SI",S44,0)</f>
        <v/>
      </c>
      <c r="U44" s="21" t="n"/>
      <c r="V44" s="22">
        <f>IF(OR($E44=0,U$78=0),0,IF(AND(U44="N/A",$G44&lt;&gt;""),0,$F44+SUMPRODUCT(($G$14:$G$71=$A44)*($E$14:$E$71=1)*(U$14:U$71="N/A")*$F$14:$F$71)))</f>
        <v/>
      </c>
      <c r="W44" s="22">
        <f>IF(U44="SI",V44,0)</f>
        <v/>
      </c>
      <c r="X44" s="21" t="n"/>
      <c r="Y44" s="22">
        <f>IF(OR($E44=0,X$78=0),0,IF(AND(X44="N/A",$G44&lt;&gt;""),0,$F44+SUMPRODUCT(($G$14:$G$71=$A44)*($E$14:$E$71=1)*(X$14:X$71="N/A")*$F$14:$F$71)))</f>
        <v/>
      </c>
      <c r="Z44" s="22">
        <f>IF(X44="SI",Y44,0)</f>
        <v/>
      </c>
      <c r="AA44" s="22">
        <f>SUM(J44,M44,P44,S44,V44,Y44)</f>
        <v/>
      </c>
      <c r="AB44" s="22">
        <f>SUM(K44,N44,Q44,T44,W44,Z44)</f>
        <v/>
      </c>
      <c r="AC44" s="23">
        <f>IF(AA44=0,"",AB44/AA44)</f>
        <v/>
      </c>
      <c r="AD44" s="22">
        <f>CRITERIOS!Q32</f>
        <v/>
      </c>
      <c r="AE44" s="22">
        <f>IF(AND(E44=1,H44&lt;&gt;"X",((I44="N/A")+(L44="N/A")+(O44="N/A")+(R44="N/A")+(U44="N/A")+(X44="N/A"))&gt;0),"REVISAR","")</f>
        <v/>
      </c>
    </row>
    <row r="45">
      <c r="A45" s="22">
        <f>CRITERIOS!B33</f>
        <v/>
      </c>
      <c r="B45" s="22">
        <f>CRITERIOS!C33</f>
        <v/>
      </c>
      <c r="C45" s="8">
        <f>CRITERIOS!D33</f>
        <v/>
      </c>
      <c r="D45" s="22">
        <f>CRITERIOS!E33</f>
        <v/>
      </c>
      <c r="E45" s="22">
        <f>IFERROR(IF(AND(OR(CRITERIOS!F33="Todos",CRITERIOS!F33=$B$4),INDEX(CRITERIOS!H33:J33,MATCH($B$5,VARIABLES!$E$2:$E$4,0))=1),1,0),0)</f>
        <v/>
      </c>
      <c r="F45" s="22">
        <f>IFERROR(IF(E45=1,INDEX(CRITERIOS!K33:M33,MATCH($B$5,VARIABLES!$E$2:$E$4,0)),0),0)</f>
        <v/>
      </c>
      <c r="G45" s="22">
        <f>IF(CRITERIOS!N33="","",CRITERIOS!N33)</f>
        <v/>
      </c>
      <c r="H45" s="22">
        <f>IF(CRITERIOS!O33="","",CRITERIOS!O33)</f>
        <v/>
      </c>
      <c r="I45" s="21" t="n"/>
      <c r="J45" s="22">
        <f>IF(OR($E45=0,I$78=0),0,IF(AND(I45="N/A",$G45&lt;&gt;""),0,$F45+SUMPRODUCT(($G$14:$G$71=$A45)*($E$14:$E$71=1)*(I$14:I$71="N/A")*$F$14:$F$71)))</f>
        <v/>
      </c>
      <c r="K45" s="22">
        <f>IF(I45="SI",J45,0)</f>
        <v/>
      </c>
      <c r="L45" s="21" t="n"/>
      <c r="M45" s="22">
        <f>IF(OR($E45=0,L$78=0),0,IF(AND(L45="N/A",$G45&lt;&gt;""),0,$F45+SUMPRODUCT(($G$14:$G$71=$A45)*($E$14:$E$71=1)*(L$14:L$71="N/A")*$F$14:$F$71)))</f>
        <v/>
      </c>
      <c r="N45" s="22">
        <f>IF(L45="SI",M45,0)</f>
        <v/>
      </c>
      <c r="O45" s="21" t="n"/>
      <c r="P45" s="22">
        <f>IF(OR($E45=0,O$78=0),0,IF(AND(O45="N/A",$G45&lt;&gt;""),0,$F45+SUMPRODUCT(($G$14:$G$71=$A45)*($E$14:$E$71=1)*(O$14:O$71="N/A")*$F$14:$F$71)))</f>
        <v/>
      </c>
      <c r="Q45" s="22">
        <f>IF(O45="SI",P45,0)</f>
        <v/>
      </c>
      <c r="R45" s="21" t="n"/>
      <c r="S45" s="22">
        <f>IF(OR($E45=0,R$78=0),0,IF(AND(R45="N/A",$G45&lt;&gt;""),0,$F45+SUMPRODUCT(($G$14:$G$71=$A45)*($E$14:$E$71=1)*(R$14:R$71="N/A")*$F$14:$F$71)))</f>
        <v/>
      </c>
      <c r="T45" s="22">
        <f>IF(R45="SI",S45,0)</f>
        <v/>
      </c>
      <c r="U45" s="21" t="n"/>
      <c r="V45" s="22">
        <f>IF(OR($E45=0,U$78=0),0,IF(AND(U45="N/A",$G45&lt;&gt;""),0,$F45+SUMPRODUCT(($G$14:$G$71=$A45)*($E$14:$E$71=1)*(U$14:U$71="N/A")*$F$14:$F$71)))</f>
        <v/>
      </c>
      <c r="W45" s="22">
        <f>IF(U45="SI",V45,0)</f>
        <v/>
      </c>
      <c r="X45" s="21" t="n"/>
      <c r="Y45" s="22">
        <f>IF(OR($E45=0,X$78=0),0,IF(AND(X45="N/A",$G45&lt;&gt;""),0,$F45+SUMPRODUCT(($G$14:$G$71=$A45)*($E$14:$E$71=1)*(X$14:X$71="N/A")*$F$14:$F$71)))</f>
        <v/>
      </c>
      <c r="Z45" s="22">
        <f>IF(X45="SI",Y45,0)</f>
        <v/>
      </c>
      <c r="AA45" s="22">
        <f>SUM(J45,M45,P45,S45,V45,Y45)</f>
        <v/>
      </c>
      <c r="AB45" s="22">
        <f>SUM(K45,N45,Q45,T45,W45,Z45)</f>
        <v/>
      </c>
      <c r="AC45" s="23">
        <f>IF(AA45=0,"",AB45/AA45)</f>
        <v/>
      </c>
      <c r="AD45" s="22">
        <f>CRITERIOS!Q33</f>
        <v/>
      </c>
      <c r="AE45" s="22">
        <f>IF(AND(E45=1,H45&lt;&gt;"X",((I45="N/A")+(L45="N/A")+(O45="N/A")+(R45="N/A")+(U45="N/A")+(X45="N/A"))&gt;0),"REVISAR","")</f>
        <v/>
      </c>
    </row>
    <row r="46">
      <c r="A46" s="24">
        <f>CRITERIOS!B34</f>
        <v/>
      </c>
      <c r="B46" s="24">
        <f>CRITERIOS!C34</f>
        <v/>
      </c>
      <c r="C46" s="25">
        <f>CRITERIOS!D34</f>
        <v/>
      </c>
      <c r="D46" s="24">
        <f>CRITERIOS!E34</f>
        <v/>
      </c>
      <c r="E46" s="24">
        <f>IFERROR(IF(AND(OR(CRITERIOS!F34="Todos",CRITERIOS!F34=$B$4),INDEX(CRITERIOS!H34:J34,MATCH($B$5,VARIABLES!$E$2:$E$4,0))=1),1,0),0)</f>
        <v/>
      </c>
      <c r="F46" s="24">
        <f>IFERROR(IF(E46=1,INDEX(CRITERIOS!K34:M34,MATCH($B$5,VARIABLES!$E$2:$E$4,0)),0),0)</f>
        <v/>
      </c>
      <c r="G46" s="24">
        <f>IF(CRITERIOS!N34="","",CRITERIOS!N34)</f>
        <v/>
      </c>
      <c r="H46" s="24">
        <f>IF(CRITERIOS!O34="","",CRITERIOS!O34)</f>
        <v/>
      </c>
      <c r="I46" s="21" t="n"/>
      <c r="J46" s="22">
        <f>IF(OR($E46=0,I$78=0),0,IF(AND(I46="N/A",$G46&lt;&gt;""),0,$F46+SUMPRODUCT(($G$14:$G$71=$A46)*($E$14:$E$71=1)*(I$14:I$71="N/A")*$F$14:$F$71)))</f>
        <v/>
      </c>
      <c r="K46" s="22">
        <f>IF(I46="SI",J46,0)</f>
        <v/>
      </c>
      <c r="L46" s="21" t="n"/>
      <c r="M46" s="22">
        <f>IF(OR($E46=0,L$78=0),0,IF(AND(L46="N/A",$G46&lt;&gt;""),0,$F46+SUMPRODUCT(($G$14:$G$71=$A46)*($E$14:$E$71=1)*(L$14:L$71="N/A")*$F$14:$F$71)))</f>
        <v/>
      </c>
      <c r="N46" s="22">
        <f>IF(L46="SI",M46,0)</f>
        <v/>
      </c>
      <c r="O46" s="21" t="n"/>
      <c r="P46" s="22">
        <f>IF(OR($E46=0,O$78=0),0,IF(AND(O46="N/A",$G46&lt;&gt;""),0,$F46+SUMPRODUCT(($G$14:$G$71=$A46)*($E$14:$E$71=1)*(O$14:O$71="N/A")*$F$14:$F$71)))</f>
        <v/>
      </c>
      <c r="Q46" s="22">
        <f>IF(O46="SI",P46,0)</f>
        <v/>
      </c>
      <c r="R46" s="21" t="n"/>
      <c r="S46" s="22">
        <f>IF(OR($E46=0,R$78=0),0,IF(AND(R46="N/A",$G46&lt;&gt;""),0,$F46+SUMPRODUCT(($G$14:$G$71=$A46)*($E$14:$E$71=1)*(R$14:R$71="N/A")*$F$14:$F$71)))</f>
        <v/>
      </c>
      <c r="T46" s="22">
        <f>IF(R46="SI",S46,0)</f>
        <v/>
      </c>
      <c r="U46" s="21" t="n"/>
      <c r="V46" s="22">
        <f>IF(OR($E46=0,U$78=0),0,IF(AND(U46="N/A",$G46&lt;&gt;""),0,$F46+SUMPRODUCT(($G$14:$G$71=$A46)*($E$14:$E$71=1)*(U$14:U$71="N/A")*$F$14:$F$71)))</f>
        <v/>
      </c>
      <c r="W46" s="22">
        <f>IF(U46="SI",V46,0)</f>
        <v/>
      </c>
      <c r="X46" s="21" t="n"/>
      <c r="Y46" s="22">
        <f>IF(OR($E46=0,X$78=0),0,IF(AND(X46="N/A",$G46&lt;&gt;""),0,$F46+SUMPRODUCT(($G$14:$G$71=$A46)*($E$14:$E$71=1)*(X$14:X$71="N/A")*$F$14:$F$71)))</f>
        <v/>
      </c>
      <c r="Z46" s="22">
        <f>IF(X46="SI",Y46,0)</f>
        <v/>
      </c>
      <c r="AA46" s="22">
        <f>SUM(J46,M46,P46,S46,V46,Y46)</f>
        <v/>
      </c>
      <c r="AB46" s="22">
        <f>SUM(K46,N46,Q46,T46,W46,Z46)</f>
        <v/>
      </c>
      <c r="AC46" s="23">
        <f>IF(AA46=0,"",AB46/AA46)</f>
        <v/>
      </c>
      <c r="AD46" s="22">
        <f>CRITERIOS!Q34</f>
        <v/>
      </c>
      <c r="AE46" s="22">
        <f>IF(AND(E46=1,H46&lt;&gt;"X",((I46="N/A")+(L46="N/A")+(O46="N/A")+(R46="N/A")+(U46="N/A")+(X46="N/A"))&gt;0),"REVISAR","")</f>
        <v/>
      </c>
    </row>
    <row r="47">
      <c r="A47" s="22">
        <f>CRITERIOS!B35</f>
        <v/>
      </c>
      <c r="B47" s="22">
        <f>CRITERIOS!C35</f>
        <v/>
      </c>
      <c r="C47" s="8">
        <f>CRITERIOS!D35</f>
        <v/>
      </c>
      <c r="D47" s="22">
        <f>CRITERIOS!E35</f>
        <v/>
      </c>
      <c r="E47" s="22">
        <f>IFERROR(IF(AND(OR(CRITERIOS!F35="Todos",CRITERIOS!F35=$B$4),INDEX(CRITERIOS!H35:J35,MATCH($B$5,VARIABLES!$E$2:$E$4,0))=1),1,0),0)</f>
        <v/>
      </c>
      <c r="F47" s="22">
        <f>IFERROR(IF(E47=1,INDEX(CRITERIOS!K35:M35,MATCH($B$5,VARIABLES!$E$2:$E$4,0)),0),0)</f>
        <v/>
      </c>
      <c r="G47" s="22">
        <f>IF(CRITERIOS!N35="","",CRITERIOS!N35)</f>
        <v/>
      </c>
      <c r="H47" s="22">
        <f>IF(CRITERIOS!O35="","",CRITERIOS!O35)</f>
        <v/>
      </c>
      <c r="I47" s="21" t="n"/>
      <c r="J47" s="22">
        <f>IF(OR($E47=0,I$78=0),0,IF(AND(I47="N/A",$G47&lt;&gt;""),0,$F47+SUMPRODUCT(($G$14:$G$71=$A47)*($E$14:$E$71=1)*(I$14:I$71="N/A")*$F$14:$F$71)))</f>
        <v/>
      </c>
      <c r="K47" s="22">
        <f>IF(I47="SI",J47,0)</f>
        <v/>
      </c>
      <c r="L47" s="21" t="n"/>
      <c r="M47" s="22">
        <f>IF(OR($E47=0,L$78=0),0,IF(AND(L47="N/A",$G47&lt;&gt;""),0,$F47+SUMPRODUCT(($G$14:$G$71=$A47)*($E$14:$E$71=1)*(L$14:L$71="N/A")*$F$14:$F$71)))</f>
        <v/>
      </c>
      <c r="N47" s="22">
        <f>IF(L47="SI",M47,0)</f>
        <v/>
      </c>
      <c r="O47" s="21" t="n"/>
      <c r="P47" s="22">
        <f>IF(OR($E47=0,O$78=0),0,IF(AND(O47="N/A",$G47&lt;&gt;""),0,$F47+SUMPRODUCT(($G$14:$G$71=$A47)*($E$14:$E$71=1)*(O$14:O$71="N/A")*$F$14:$F$71)))</f>
        <v/>
      </c>
      <c r="Q47" s="22">
        <f>IF(O47="SI",P47,0)</f>
        <v/>
      </c>
      <c r="R47" s="21" t="n"/>
      <c r="S47" s="22">
        <f>IF(OR($E47=0,R$78=0),0,IF(AND(R47="N/A",$G47&lt;&gt;""),0,$F47+SUMPRODUCT(($G$14:$G$71=$A47)*($E$14:$E$71=1)*(R$14:R$71="N/A")*$F$14:$F$71)))</f>
        <v/>
      </c>
      <c r="T47" s="22">
        <f>IF(R47="SI",S47,0)</f>
        <v/>
      </c>
      <c r="U47" s="21" t="n"/>
      <c r="V47" s="22">
        <f>IF(OR($E47=0,U$78=0),0,IF(AND(U47="N/A",$G47&lt;&gt;""),0,$F47+SUMPRODUCT(($G$14:$G$71=$A47)*($E$14:$E$71=1)*(U$14:U$71="N/A")*$F$14:$F$71)))</f>
        <v/>
      </c>
      <c r="W47" s="22">
        <f>IF(U47="SI",V47,0)</f>
        <v/>
      </c>
      <c r="X47" s="21" t="n"/>
      <c r="Y47" s="22">
        <f>IF(OR($E47=0,X$78=0),0,IF(AND(X47="N/A",$G47&lt;&gt;""),0,$F47+SUMPRODUCT(($G$14:$G$71=$A47)*($E$14:$E$71=1)*(X$14:X$71="N/A")*$F$14:$F$71)))</f>
        <v/>
      </c>
      <c r="Z47" s="22">
        <f>IF(X47="SI",Y47,0)</f>
        <v/>
      </c>
      <c r="AA47" s="22">
        <f>SUM(J47,M47,P47,S47,V47,Y47)</f>
        <v/>
      </c>
      <c r="AB47" s="22">
        <f>SUM(K47,N47,Q47,T47,W47,Z47)</f>
        <v/>
      </c>
      <c r="AC47" s="23">
        <f>IF(AA47=0,"",AB47/AA47)</f>
        <v/>
      </c>
      <c r="AD47" s="22">
        <f>CRITERIOS!Q35</f>
        <v/>
      </c>
      <c r="AE47" s="22">
        <f>IF(AND(E47=1,H47&lt;&gt;"X",((I47="N/A")+(L47="N/A")+(O47="N/A")+(R47="N/A")+(U47="N/A")+(X47="N/A"))&gt;0),"REVISAR","")</f>
        <v/>
      </c>
    </row>
    <row r="48">
      <c r="A48" s="24">
        <f>CRITERIOS!B36</f>
        <v/>
      </c>
      <c r="B48" s="24">
        <f>CRITERIOS!C36</f>
        <v/>
      </c>
      <c r="C48" s="25">
        <f>CRITERIOS!D36</f>
        <v/>
      </c>
      <c r="D48" s="24">
        <f>CRITERIOS!E36</f>
        <v/>
      </c>
      <c r="E48" s="24">
        <f>IFERROR(IF(AND(OR(CRITERIOS!F36="Todos",CRITERIOS!F36=$B$4),INDEX(CRITERIOS!H36:J36,MATCH($B$5,VARIABLES!$E$2:$E$4,0))=1),1,0),0)</f>
        <v/>
      </c>
      <c r="F48" s="24">
        <f>IFERROR(IF(E48=1,INDEX(CRITERIOS!K36:M36,MATCH($B$5,VARIABLES!$E$2:$E$4,0)),0),0)</f>
        <v/>
      </c>
      <c r="G48" s="24">
        <f>IF(CRITERIOS!N36="","",CRITERIOS!N36)</f>
        <v/>
      </c>
      <c r="H48" s="24">
        <f>IF(CRITERIOS!O36="","",CRITERIOS!O36)</f>
        <v/>
      </c>
      <c r="I48" s="21" t="n"/>
      <c r="J48" s="22">
        <f>IF(OR($E48=0,I$78=0),0,IF(AND(I48="N/A",$G48&lt;&gt;""),0,$F48+SUMPRODUCT(($G$14:$G$71=$A48)*($E$14:$E$71=1)*(I$14:I$71="N/A")*$F$14:$F$71)))</f>
        <v/>
      </c>
      <c r="K48" s="22">
        <f>IF(I48="SI",J48,0)</f>
        <v/>
      </c>
      <c r="L48" s="21" t="n"/>
      <c r="M48" s="22">
        <f>IF(OR($E48=0,L$78=0),0,IF(AND(L48="N/A",$G48&lt;&gt;""),0,$F48+SUMPRODUCT(($G$14:$G$71=$A48)*($E$14:$E$71=1)*(L$14:L$71="N/A")*$F$14:$F$71)))</f>
        <v/>
      </c>
      <c r="N48" s="22">
        <f>IF(L48="SI",M48,0)</f>
        <v/>
      </c>
      <c r="O48" s="21" t="n"/>
      <c r="P48" s="22">
        <f>IF(OR($E48=0,O$78=0),0,IF(AND(O48="N/A",$G48&lt;&gt;""),0,$F48+SUMPRODUCT(($G$14:$G$71=$A48)*($E$14:$E$71=1)*(O$14:O$71="N/A")*$F$14:$F$71)))</f>
        <v/>
      </c>
      <c r="Q48" s="22">
        <f>IF(O48="SI",P48,0)</f>
        <v/>
      </c>
      <c r="R48" s="21" t="n"/>
      <c r="S48" s="22">
        <f>IF(OR($E48=0,R$78=0),0,IF(AND(R48="N/A",$G48&lt;&gt;""),0,$F48+SUMPRODUCT(($G$14:$G$71=$A48)*($E$14:$E$71=1)*(R$14:R$71="N/A")*$F$14:$F$71)))</f>
        <v/>
      </c>
      <c r="T48" s="22">
        <f>IF(R48="SI",S48,0)</f>
        <v/>
      </c>
      <c r="U48" s="21" t="n"/>
      <c r="V48" s="22">
        <f>IF(OR($E48=0,U$78=0),0,IF(AND(U48="N/A",$G48&lt;&gt;""),0,$F48+SUMPRODUCT(($G$14:$G$71=$A48)*($E$14:$E$71=1)*(U$14:U$71="N/A")*$F$14:$F$71)))</f>
        <v/>
      </c>
      <c r="W48" s="22">
        <f>IF(U48="SI",V48,0)</f>
        <v/>
      </c>
      <c r="X48" s="21" t="n"/>
      <c r="Y48" s="22">
        <f>IF(OR($E48=0,X$78=0),0,IF(AND(X48="N/A",$G48&lt;&gt;""),0,$F48+SUMPRODUCT(($G$14:$G$71=$A48)*($E$14:$E$71=1)*(X$14:X$71="N/A")*$F$14:$F$71)))</f>
        <v/>
      </c>
      <c r="Z48" s="22">
        <f>IF(X48="SI",Y48,0)</f>
        <v/>
      </c>
      <c r="AA48" s="22">
        <f>SUM(J48,M48,P48,S48,V48,Y48)</f>
        <v/>
      </c>
      <c r="AB48" s="22">
        <f>SUM(K48,N48,Q48,T48,W48,Z48)</f>
        <v/>
      </c>
      <c r="AC48" s="23">
        <f>IF(AA48=0,"",AB48/AA48)</f>
        <v/>
      </c>
      <c r="AD48" s="22">
        <f>CRITERIOS!Q36</f>
        <v/>
      </c>
      <c r="AE48" s="22">
        <f>IF(AND(E48=1,H48&lt;&gt;"X",((I48="N/A")+(L48="N/A")+(O48="N/A")+(R48="N/A")+(U48="N/A")+(X48="N/A"))&gt;0),"REVISAR","")</f>
        <v/>
      </c>
    </row>
    <row r="49">
      <c r="A49" s="24">
        <f>CRITERIOS!B37</f>
        <v/>
      </c>
      <c r="B49" s="24">
        <f>CRITERIOS!C37</f>
        <v/>
      </c>
      <c r="C49" s="25">
        <f>CRITERIOS!D37</f>
        <v/>
      </c>
      <c r="D49" s="24">
        <f>CRITERIOS!E37</f>
        <v/>
      </c>
      <c r="E49" s="24">
        <f>IFERROR(IF(AND(OR(CRITERIOS!F37="Todos",CRITERIOS!F37=$B$4),INDEX(CRITERIOS!H37:J37,MATCH($B$5,VARIABLES!$E$2:$E$4,0))=1),1,0),0)</f>
        <v/>
      </c>
      <c r="F49" s="24">
        <f>IFERROR(IF(E49=1,INDEX(CRITERIOS!K37:M37,MATCH($B$5,VARIABLES!$E$2:$E$4,0)),0),0)</f>
        <v/>
      </c>
      <c r="G49" s="24">
        <f>IF(CRITERIOS!N37="","",CRITERIOS!N37)</f>
        <v/>
      </c>
      <c r="H49" s="24">
        <f>IF(CRITERIOS!O37="","",CRITERIOS!O37)</f>
        <v/>
      </c>
      <c r="I49" s="21" t="n"/>
      <c r="J49" s="22">
        <f>IF(OR($E49=0,I$78=0),0,IF(AND(I49="N/A",$G49&lt;&gt;""),0,$F49+SUMPRODUCT(($G$14:$G$71=$A49)*($E$14:$E$71=1)*(I$14:I$71="N/A")*$F$14:$F$71)))</f>
        <v/>
      </c>
      <c r="K49" s="22">
        <f>IF(I49="SI",J49,0)</f>
        <v/>
      </c>
      <c r="L49" s="21" t="n"/>
      <c r="M49" s="22">
        <f>IF(OR($E49=0,L$78=0),0,IF(AND(L49="N/A",$G49&lt;&gt;""),0,$F49+SUMPRODUCT(($G$14:$G$71=$A49)*($E$14:$E$71=1)*(L$14:L$71="N/A")*$F$14:$F$71)))</f>
        <v/>
      </c>
      <c r="N49" s="22">
        <f>IF(L49="SI",M49,0)</f>
        <v/>
      </c>
      <c r="O49" s="21" t="n"/>
      <c r="P49" s="22">
        <f>IF(OR($E49=0,O$78=0),0,IF(AND(O49="N/A",$G49&lt;&gt;""),0,$F49+SUMPRODUCT(($G$14:$G$71=$A49)*($E$14:$E$71=1)*(O$14:O$71="N/A")*$F$14:$F$71)))</f>
        <v/>
      </c>
      <c r="Q49" s="22">
        <f>IF(O49="SI",P49,0)</f>
        <v/>
      </c>
      <c r="R49" s="21" t="n"/>
      <c r="S49" s="22">
        <f>IF(OR($E49=0,R$78=0),0,IF(AND(R49="N/A",$G49&lt;&gt;""),0,$F49+SUMPRODUCT(($G$14:$G$71=$A49)*($E$14:$E$71=1)*(R$14:R$71="N/A")*$F$14:$F$71)))</f>
        <v/>
      </c>
      <c r="T49" s="22">
        <f>IF(R49="SI",S49,0)</f>
        <v/>
      </c>
      <c r="U49" s="21" t="n"/>
      <c r="V49" s="22">
        <f>IF(OR($E49=0,U$78=0),0,IF(AND(U49="N/A",$G49&lt;&gt;""),0,$F49+SUMPRODUCT(($G$14:$G$71=$A49)*($E$14:$E$71=1)*(U$14:U$71="N/A")*$F$14:$F$71)))</f>
        <v/>
      </c>
      <c r="W49" s="22">
        <f>IF(U49="SI",V49,0)</f>
        <v/>
      </c>
      <c r="X49" s="21" t="n"/>
      <c r="Y49" s="22">
        <f>IF(OR($E49=0,X$78=0),0,IF(AND(X49="N/A",$G49&lt;&gt;""),0,$F49+SUMPRODUCT(($G$14:$G$71=$A49)*($E$14:$E$71=1)*(X$14:X$71="N/A")*$F$14:$F$71)))</f>
        <v/>
      </c>
      <c r="Z49" s="22">
        <f>IF(X49="SI",Y49,0)</f>
        <v/>
      </c>
      <c r="AA49" s="22">
        <f>SUM(J49,M49,P49,S49,V49,Y49)</f>
        <v/>
      </c>
      <c r="AB49" s="22">
        <f>SUM(K49,N49,Q49,T49,W49,Z49)</f>
        <v/>
      </c>
      <c r="AC49" s="23">
        <f>IF(AA49=0,"",AB49/AA49)</f>
        <v/>
      </c>
      <c r="AD49" s="22">
        <f>CRITERIOS!Q37</f>
        <v/>
      </c>
      <c r="AE49" s="22">
        <f>IF(AND(E49=1,H49&lt;&gt;"X",((I49="N/A")+(L49="N/A")+(O49="N/A")+(R49="N/A")+(U49="N/A")+(X49="N/A"))&gt;0),"REVISAR","")</f>
        <v/>
      </c>
    </row>
    <row r="50">
      <c r="A50" s="24">
        <f>CRITERIOS!B38</f>
        <v/>
      </c>
      <c r="B50" s="24">
        <f>CRITERIOS!C38</f>
        <v/>
      </c>
      <c r="C50" s="25">
        <f>CRITERIOS!D38</f>
        <v/>
      </c>
      <c r="D50" s="24">
        <f>CRITERIOS!E38</f>
        <v/>
      </c>
      <c r="E50" s="24">
        <f>IFERROR(IF(AND(OR(CRITERIOS!F38="Todos",CRITERIOS!F38=$B$4),INDEX(CRITERIOS!H38:J38,MATCH($B$5,VARIABLES!$E$2:$E$4,0))=1),1,0),0)</f>
        <v/>
      </c>
      <c r="F50" s="24">
        <f>IFERROR(IF(E50=1,INDEX(CRITERIOS!K38:M38,MATCH($B$5,VARIABLES!$E$2:$E$4,0)),0),0)</f>
        <v/>
      </c>
      <c r="G50" s="24">
        <f>IF(CRITERIOS!N38="","",CRITERIOS!N38)</f>
        <v/>
      </c>
      <c r="H50" s="24">
        <f>IF(CRITERIOS!O38="","",CRITERIOS!O38)</f>
        <v/>
      </c>
      <c r="I50" s="21" t="n"/>
      <c r="J50" s="22">
        <f>IF(OR($E50=0,I$78=0),0,IF(AND(I50="N/A",$G50&lt;&gt;""),0,$F50+SUMPRODUCT(($G$14:$G$71=$A50)*($E$14:$E$71=1)*(I$14:I$71="N/A")*$F$14:$F$71)))</f>
        <v/>
      </c>
      <c r="K50" s="22">
        <f>IF(I50="SI",J50,0)</f>
        <v/>
      </c>
      <c r="L50" s="21" t="n"/>
      <c r="M50" s="22">
        <f>IF(OR($E50=0,L$78=0),0,IF(AND(L50="N/A",$G50&lt;&gt;""),0,$F50+SUMPRODUCT(($G$14:$G$71=$A50)*($E$14:$E$71=1)*(L$14:L$71="N/A")*$F$14:$F$71)))</f>
        <v/>
      </c>
      <c r="N50" s="22">
        <f>IF(L50="SI",M50,0)</f>
        <v/>
      </c>
      <c r="O50" s="21" t="n"/>
      <c r="P50" s="22">
        <f>IF(OR($E50=0,O$78=0),0,IF(AND(O50="N/A",$G50&lt;&gt;""),0,$F50+SUMPRODUCT(($G$14:$G$71=$A50)*($E$14:$E$71=1)*(O$14:O$71="N/A")*$F$14:$F$71)))</f>
        <v/>
      </c>
      <c r="Q50" s="22">
        <f>IF(O50="SI",P50,0)</f>
        <v/>
      </c>
      <c r="R50" s="21" t="n"/>
      <c r="S50" s="22">
        <f>IF(OR($E50=0,R$78=0),0,IF(AND(R50="N/A",$G50&lt;&gt;""),0,$F50+SUMPRODUCT(($G$14:$G$71=$A50)*($E$14:$E$71=1)*(R$14:R$71="N/A")*$F$14:$F$71)))</f>
        <v/>
      </c>
      <c r="T50" s="22">
        <f>IF(R50="SI",S50,0)</f>
        <v/>
      </c>
      <c r="U50" s="21" t="n"/>
      <c r="V50" s="22">
        <f>IF(OR($E50=0,U$78=0),0,IF(AND(U50="N/A",$G50&lt;&gt;""),0,$F50+SUMPRODUCT(($G$14:$G$71=$A50)*($E$14:$E$71=1)*(U$14:U$71="N/A")*$F$14:$F$71)))</f>
        <v/>
      </c>
      <c r="W50" s="22">
        <f>IF(U50="SI",V50,0)</f>
        <v/>
      </c>
      <c r="X50" s="21" t="n"/>
      <c r="Y50" s="22">
        <f>IF(OR($E50=0,X$78=0),0,IF(AND(X50="N/A",$G50&lt;&gt;""),0,$F50+SUMPRODUCT(($G$14:$G$71=$A50)*($E$14:$E$71=1)*(X$14:X$71="N/A")*$F$14:$F$71)))</f>
        <v/>
      </c>
      <c r="Z50" s="22">
        <f>IF(X50="SI",Y50,0)</f>
        <v/>
      </c>
      <c r="AA50" s="22">
        <f>SUM(J50,M50,P50,S50,V50,Y50)</f>
        <v/>
      </c>
      <c r="AB50" s="22">
        <f>SUM(K50,N50,Q50,T50,W50,Z50)</f>
        <v/>
      </c>
      <c r="AC50" s="23">
        <f>IF(AA50=0,"",AB50/AA50)</f>
        <v/>
      </c>
      <c r="AD50" s="22">
        <f>CRITERIOS!Q38</f>
        <v/>
      </c>
      <c r="AE50" s="22">
        <f>IF(AND(E50=1,H50&lt;&gt;"X",((I50="N/A")+(L50="N/A")+(O50="N/A")+(R50="N/A")+(U50="N/A")+(X50="N/A"))&gt;0),"REVISAR","")</f>
        <v/>
      </c>
    </row>
    <row r="51">
      <c r="A51" s="24">
        <f>CRITERIOS!B39</f>
        <v/>
      </c>
      <c r="B51" s="24">
        <f>CRITERIOS!C39</f>
        <v/>
      </c>
      <c r="C51" s="25">
        <f>CRITERIOS!D39</f>
        <v/>
      </c>
      <c r="D51" s="24">
        <f>CRITERIOS!E39</f>
        <v/>
      </c>
      <c r="E51" s="24">
        <f>IFERROR(IF(AND(OR(CRITERIOS!F39="Todos",CRITERIOS!F39=$B$4),INDEX(CRITERIOS!H39:J39,MATCH($B$5,VARIABLES!$E$2:$E$4,0))=1),1,0),0)</f>
        <v/>
      </c>
      <c r="F51" s="24">
        <f>IFERROR(IF(E51=1,INDEX(CRITERIOS!K39:M39,MATCH($B$5,VARIABLES!$E$2:$E$4,0)),0),0)</f>
        <v/>
      </c>
      <c r="G51" s="24">
        <f>IF(CRITERIOS!N39="","",CRITERIOS!N39)</f>
        <v/>
      </c>
      <c r="H51" s="24">
        <f>IF(CRITERIOS!O39="","",CRITERIOS!O39)</f>
        <v/>
      </c>
      <c r="I51" s="21" t="n"/>
      <c r="J51" s="22">
        <f>IF(OR($E51=0,I$78=0),0,IF(AND(I51="N/A",$G51&lt;&gt;""),0,$F51+SUMPRODUCT(($G$14:$G$71=$A51)*($E$14:$E$71=1)*(I$14:I$71="N/A")*$F$14:$F$71)))</f>
        <v/>
      </c>
      <c r="K51" s="22">
        <f>IF(I51="SI",J51,0)</f>
        <v/>
      </c>
      <c r="L51" s="21" t="n"/>
      <c r="M51" s="22">
        <f>IF(OR($E51=0,L$78=0),0,IF(AND(L51="N/A",$G51&lt;&gt;""),0,$F51+SUMPRODUCT(($G$14:$G$71=$A51)*($E$14:$E$71=1)*(L$14:L$71="N/A")*$F$14:$F$71)))</f>
        <v/>
      </c>
      <c r="N51" s="22">
        <f>IF(L51="SI",M51,0)</f>
        <v/>
      </c>
      <c r="O51" s="21" t="n"/>
      <c r="P51" s="22">
        <f>IF(OR($E51=0,O$78=0),0,IF(AND(O51="N/A",$G51&lt;&gt;""),0,$F51+SUMPRODUCT(($G$14:$G$71=$A51)*($E$14:$E$71=1)*(O$14:O$71="N/A")*$F$14:$F$71)))</f>
        <v/>
      </c>
      <c r="Q51" s="22">
        <f>IF(O51="SI",P51,0)</f>
        <v/>
      </c>
      <c r="R51" s="21" t="n"/>
      <c r="S51" s="22">
        <f>IF(OR($E51=0,R$78=0),0,IF(AND(R51="N/A",$G51&lt;&gt;""),0,$F51+SUMPRODUCT(($G$14:$G$71=$A51)*($E$14:$E$71=1)*(R$14:R$71="N/A")*$F$14:$F$71)))</f>
        <v/>
      </c>
      <c r="T51" s="22">
        <f>IF(R51="SI",S51,0)</f>
        <v/>
      </c>
      <c r="U51" s="21" t="n"/>
      <c r="V51" s="22">
        <f>IF(OR($E51=0,U$78=0),0,IF(AND(U51="N/A",$G51&lt;&gt;""),0,$F51+SUMPRODUCT(($G$14:$G$71=$A51)*($E$14:$E$71=1)*(U$14:U$71="N/A")*$F$14:$F$71)))</f>
        <v/>
      </c>
      <c r="W51" s="22">
        <f>IF(U51="SI",V51,0)</f>
        <v/>
      </c>
      <c r="X51" s="21" t="n"/>
      <c r="Y51" s="22">
        <f>IF(OR($E51=0,X$78=0),0,IF(AND(X51="N/A",$G51&lt;&gt;""),0,$F51+SUMPRODUCT(($G$14:$G$71=$A51)*($E$14:$E$71=1)*(X$14:X$71="N/A")*$F$14:$F$71)))</f>
        <v/>
      </c>
      <c r="Z51" s="22">
        <f>IF(X51="SI",Y51,0)</f>
        <v/>
      </c>
      <c r="AA51" s="22">
        <f>SUM(J51,M51,P51,S51,V51,Y51)</f>
        <v/>
      </c>
      <c r="AB51" s="22">
        <f>SUM(K51,N51,Q51,T51,W51,Z51)</f>
        <v/>
      </c>
      <c r="AC51" s="23">
        <f>IF(AA51=0,"",AB51/AA51)</f>
        <v/>
      </c>
      <c r="AD51" s="22">
        <f>CRITERIOS!Q39</f>
        <v/>
      </c>
      <c r="AE51" s="22">
        <f>IF(AND(E51=1,H51&lt;&gt;"X",((I51="N/A")+(L51="N/A")+(O51="N/A")+(R51="N/A")+(U51="N/A")+(X51="N/A"))&gt;0),"REVISAR","")</f>
        <v/>
      </c>
    </row>
    <row r="52">
      <c r="A52" s="24">
        <f>CRITERIOS!B40</f>
        <v/>
      </c>
      <c r="B52" s="24">
        <f>CRITERIOS!C40</f>
        <v/>
      </c>
      <c r="C52" s="25">
        <f>CRITERIOS!D40</f>
        <v/>
      </c>
      <c r="D52" s="24">
        <f>CRITERIOS!E40</f>
        <v/>
      </c>
      <c r="E52" s="24">
        <f>IFERROR(IF(AND(OR(CRITERIOS!F40="Todos",CRITERIOS!F40=$B$4),INDEX(CRITERIOS!H40:J40,MATCH($B$5,VARIABLES!$E$2:$E$4,0))=1),1,0),0)</f>
        <v/>
      </c>
      <c r="F52" s="24">
        <f>IFERROR(IF(E52=1,INDEX(CRITERIOS!K40:M40,MATCH($B$5,VARIABLES!$E$2:$E$4,0)),0),0)</f>
        <v/>
      </c>
      <c r="G52" s="24">
        <f>IF(CRITERIOS!N40="","",CRITERIOS!N40)</f>
        <v/>
      </c>
      <c r="H52" s="24">
        <f>IF(CRITERIOS!O40="","",CRITERIOS!O40)</f>
        <v/>
      </c>
      <c r="I52" s="21" t="n"/>
      <c r="J52" s="22">
        <f>IF(OR($E52=0,I$78=0),0,IF(AND(I52="N/A",$G52&lt;&gt;""),0,$F52+SUMPRODUCT(($G$14:$G$71=$A52)*($E$14:$E$71=1)*(I$14:I$71="N/A")*$F$14:$F$71)))</f>
        <v/>
      </c>
      <c r="K52" s="22">
        <f>IF(I52="SI",J52,0)</f>
        <v/>
      </c>
      <c r="L52" s="21" t="n"/>
      <c r="M52" s="22">
        <f>IF(OR($E52=0,L$78=0),0,IF(AND(L52="N/A",$G52&lt;&gt;""),0,$F52+SUMPRODUCT(($G$14:$G$71=$A52)*($E$14:$E$71=1)*(L$14:L$71="N/A")*$F$14:$F$71)))</f>
        <v/>
      </c>
      <c r="N52" s="22">
        <f>IF(L52="SI",M52,0)</f>
        <v/>
      </c>
      <c r="O52" s="21" t="n"/>
      <c r="P52" s="22">
        <f>IF(OR($E52=0,O$78=0),0,IF(AND(O52="N/A",$G52&lt;&gt;""),0,$F52+SUMPRODUCT(($G$14:$G$71=$A52)*($E$14:$E$71=1)*(O$14:O$71="N/A")*$F$14:$F$71)))</f>
        <v/>
      </c>
      <c r="Q52" s="22">
        <f>IF(O52="SI",P52,0)</f>
        <v/>
      </c>
      <c r="R52" s="21" t="n"/>
      <c r="S52" s="22">
        <f>IF(OR($E52=0,R$78=0),0,IF(AND(R52="N/A",$G52&lt;&gt;""),0,$F52+SUMPRODUCT(($G$14:$G$71=$A52)*($E$14:$E$71=1)*(R$14:R$71="N/A")*$F$14:$F$71)))</f>
        <v/>
      </c>
      <c r="T52" s="22">
        <f>IF(R52="SI",S52,0)</f>
        <v/>
      </c>
      <c r="U52" s="21" t="n"/>
      <c r="V52" s="22">
        <f>IF(OR($E52=0,U$78=0),0,IF(AND(U52="N/A",$G52&lt;&gt;""),0,$F52+SUMPRODUCT(($G$14:$G$71=$A52)*($E$14:$E$71=1)*(U$14:U$71="N/A")*$F$14:$F$71)))</f>
        <v/>
      </c>
      <c r="W52" s="22">
        <f>IF(U52="SI",V52,0)</f>
        <v/>
      </c>
      <c r="X52" s="21" t="n"/>
      <c r="Y52" s="22">
        <f>IF(OR($E52=0,X$78=0),0,IF(AND(X52="N/A",$G52&lt;&gt;""),0,$F52+SUMPRODUCT(($G$14:$G$71=$A52)*($E$14:$E$71=1)*(X$14:X$71="N/A")*$F$14:$F$71)))</f>
        <v/>
      </c>
      <c r="Z52" s="22">
        <f>IF(X52="SI",Y52,0)</f>
        <v/>
      </c>
      <c r="AA52" s="22">
        <f>SUM(J52,M52,P52,S52,V52,Y52)</f>
        <v/>
      </c>
      <c r="AB52" s="22">
        <f>SUM(K52,N52,Q52,T52,W52,Z52)</f>
        <v/>
      </c>
      <c r="AC52" s="23">
        <f>IF(AA52=0,"",AB52/AA52)</f>
        <v/>
      </c>
      <c r="AD52" s="22">
        <f>CRITERIOS!Q40</f>
        <v/>
      </c>
      <c r="AE52" s="22">
        <f>IF(AND(E52=1,H52&lt;&gt;"X",((I52="N/A")+(L52="N/A")+(O52="N/A")+(R52="N/A")+(U52="N/A")+(X52="N/A"))&gt;0),"REVISAR","")</f>
        <v/>
      </c>
    </row>
    <row r="53">
      <c r="A53" s="22">
        <f>CRITERIOS!B41</f>
        <v/>
      </c>
      <c r="B53" s="22">
        <f>CRITERIOS!C41</f>
        <v/>
      </c>
      <c r="C53" s="8">
        <f>CRITERIOS!D41</f>
        <v/>
      </c>
      <c r="D53" s="22">
        <f>CRITERIOS!E41</f>
        <v/>
      </c>
      <c r="E53" s="22">
        <f>IFERROR(IF(AND(OR(CRITERIOS!F41="Todos",CRITERIOS!F41=$B$4),INDEX(CRITERIOS!H41:J41,MATCH($B$5,VARIABLES!$E$2:$E$4,0))=1),1,0),0)</f>
        <v/>
      </c>
      <c r="F53" s="22">
        <f>IFERROR(IF(E53=1,INDEX(CRITERIOS!K41:M41,MATCH($B$5,VARIABLES!$E$2:$E$4,0)),0),0)</f>
        <v/>
      </c>
      <c r="G53" s="22">
        <f>IF(CRITERIOS!N41="","",CRITERIOS!N41)</f>
        <v/>
      </c>
      <c r="H53" s="22">
        <f>IF(CRITERIOS!O41="","",CRITERIOS!O41)</f>
        <v/>
      </c>
      <c r="I53" s="21" t="n"/>
      <c r="J53" s="22">
        <f>IF(OR($E53=0,I$78=0),0,IF(AND(I53="N/A",$G53&lt;&gt;""),0,$F53+SUMPRODUCT(($G$14:$G$71=$A53)*($E$14:$E$71=1)*(I$14:I$71="N/A")*$F$14:$F$71)))</f>
        <v/>
      </c>
      <c r="K53" s="22">
        <f>IF(I53="SI",J53,0)</f>
        <v/>
      </c>
      <c r="L53" s="21" t="n"/>
      <c r="M53" s="22">
        <f>IF(OR($E53=0,L$78=0),0,IF(AND(L53="N/A",$G53&lt;&gt;""),0,$F53+SUMPRODUCT(($G$14:$G$71=$A53)*($E$14:$E$71=1)*(L$14:L$71="N/A")*$F$14:$F$71)))</f>
        <v/>
      </c>
      <c r="N53" s="22">
        <f>IF(L53="SI",M53,0)</f>
        <v/>
      </c>
      <c r="O53" s="21" t="n"/>
      <c r="P53" s="22">
        <f>IF(OR($E53=0,O$78=0),0,IF(AND(O53="N/A",$G53&lt;&gt;""),0,$F53+SUMPRODUCT(($G$14:$G$71=$A53)*($E$14:$E$71=1)*(O$14:O$71="N/A")*$F$14:$F$71)))</f>
        <v/>
      </c>
      <c r="Q53" s="22">
        <f>IF(O53="SI",P53,0)</f>
        <v/>
      </c>
      <c r="R53" s="21" t="n"/>
      <c r="S53" s="22">
        <f>IF(OR($E53=0,R$78=0),0,IF(AND(R53="N/A",$G53&lt;&gt;""),0,$F53+SUMPRODUCT(($G$14:$G$71=$A53)*($E$14:$E$71=1)*(R$14:R$71="N/A")*$F$14:$F$71)))</f>
        <v/>
      </c>
      <c r="T53" s="22">
        <f>IF(R53="SI",S53,0)</f>
        <v/>
      </c>
      <c r="U53" s="21" t="n"/>
      <c r="V53" s="22">
        <f>IF(OR($E53=0,U$78=0),0,IF(AND(U53="N/A",$G53&lt;&gt;""),0,$F53+SUMPRODUCT(($G$14:$G$71=$A53)*($E$14:$E$71=1)*(U$14:U$71="N/A")*$F$14:$F$71)))</f>
        <v/>
      </c>
      <c r="W53" s="22">
        <f>IF(U53="SI",V53,0)</f>
        <v/>
      </c>
      <c r="X53" s="21" t="n"/>
      <c r="Y53" s="22">
        <f>IF(OR($E53=0,X$78=0),0,IF(AND(X53="N/A",$G53&lt;&gt;""),0,$F53+SUMPRODUCT(($G$14:$G$71=$A53)*($E$14:$E$71=1)*(X$14:X$71="N/A")*$F$14:$F$71)))</f>
        <v/>
      </c>
      <c r="Z53" s="22">
        <f>IF(X53="SI",Y53,0)</f>
        <v/>
      </c>
      <c r="AA53" s="22">
        <f>SUM(J53,M53,P53,S53,V53,Y53)</f>
        <v/>
      </c>
      <c r="AB53" s="22">
        <f>SUM(K53,N53,Q53,T53,W53,Z53)</f>
        <v/>
      </c>
      <c r="AC53" s="23">
        <f>IF(AA53=0,"",AB53/AA53)</f>
        <v/>
      </c>
      <c r="AD53" s="22">
        <f>CRITERIOS!Q41</f>
        <v/>
      </c>
      <c r="AE53" s="22">
        <f>IF(AND(E53=1,H53&lt;&gt;"X",((I53="N/A")+(L53="N/A")+(O53="N/A")+(R53="N/A")+(U53="N/A")+(X53="N/A"))&gt;0),"REVISAR","")</f>
        <v/>
      </c>
    </row>
    <row r="54">
      <c r="A54" s="22">
        <f>CRITERIOS!B42</f>
        <v/>
      </c>
      <c r="B54" s="22">
        <f>CRITERIOS!C42</f>
        <v/>
      </c>
      <c r="C54" s="8">
        <f>CRITERIOS!D42</f>
        <v/>
      </c>
      <c r="D54" s="22">
        <f>CRITERIOS!E42</f>
        <v/>
      </c>
      <c r="E54" s="22">
        <f>IFERROR(IF(AND(OR(CRITERIOS!F42="Todos",CRITERIOS!F42=$B$4),INDEX(CRITERIOS!H42:J42,MATCH($B$5,VARIABLES!$E$2:$E$4,0))=1),1,0),0)</f>
        <v/>
      </c>
      <c r="F54" s="22">
        <f>IFERROR(IF(E54=1,INDEX(CRITERIOS!K42:M42,MATCH($B$5,VARIABLES!$E$2:$E$4,0)),0),0)</f>
        <v/>
      </c>
      <c r="G54" s="22">
        <f>IF(CRITERIOS!N42="","",CRITERIOS!N42)</f>
        <v/>
      </c>
      <c r="H54" s="22">
        <f>IF(CRITERIOS!O42="","",CRITERIOS!O42)</f>
        <v/>
      </c>
      <c r="I54" s="21" t="n"/>
      <c r="J54" s="22">
        <f>IF(OR($E54=0,I$78=0),0,IF(AND(I54="N/A",$G54&lt;&gt;""),0,$F54+SUMPRODUCT(($G$14:$G$71=$A54)*($E$14:$E$71=1)*(I$14:I$71="N/A")*$F$14:$F$71)))</f>
        <v/>
      </c>
      <c r="K54" s="22">
        <f>IF(I54="SI",J54,0)</f>
        <v/>
      </c>
      <c r="L54" s="21" t="n"/>
      <c r="M54" s="22">
        <f>IF(OR($E54=0,L$78=0),0,IF(AND(L54="N/A",$G54&lt;&gt;""),0,$F54+SUMPRODUCT(($G$14:$G$71=$A54)*($E$14:$E$71=1)*(L$14:L$71="N/A")*$F$14:$F$71)))</f>
        <v/>
      </c>
      <c r="N54" s="22">
        <f>IF(L54="SI",M54,0)</f>
        <v/>
      </c>
      <c r="O54" s="21" t="n"/>
      <c r="P54" s="22">
        <f>IF(OR($E54=0,O$78=0),0,IF(AND(O54="N/A",$G54&lt;&gt;""),0,$F54+SUMPRODUCT(($G$14:$G$71=$A54)*($E$14:$E$71=1)*(O$14:O$71="N/A")*$F$14:$F$71)))</f>
        <v/>
      </c>
      <c r="Q54" s="22">
        <f>IF(O54="SI",P54,0)</f>
        <v/>
      </c>
      <c r="R54" s="21" t="n"/>
      <c r="S54" s="22">
        <f>IF(OR($E54=0,R$78=0),0,IF(AND(R54="N/A",$G54&lt;&gt;""),0,$F54+SUMPRODUCT(($G$14:$G$71=$A54)*($E$14:$E$71=1)*(R$14:R$71="N/A")*$F$14:$F$71)))</f>
        <v/>
      </c>
      <c r="T54" s="22">
        <f>IF(R54="SI",S54,0)</f>
        <v/>
      </c>
      <c r="U54" s="21" t="n"/>
      <c r="V54" s="22">
        <f>IF(OR($E54=0,U$78=0),0,IF(AND(U54="N/A",$G54&lt;&gt;""),0,$F54+SUMPRODUCT(($G$14:$G$71=$A54)*($E$14:$E$71=1)*(U$14:U$71="N/A")*$F$14:$F$71)))</f>
        <v/>
      </c>
      <c r="W54" s="22">
        <f>IF(U54="SI",V54,0)</f>
        <v/>
      </c>
      <c r="X54" s="21" t="n"/>
      <c r="Y54" s="22">
        <f>IF(OR($E54=0,X$78=0),0,IF(AND(X54="N/A",$G54&lt;&gt;""),0,$F54+SUMPRODUCT(($G$14:$G$71=$A54)*($E$14:$E$71=1)*(X$14:X$71="N/A")*$F$14:$F$71)))</f>
        <v/>
      </c>
      <c r="Z54" s="22">
        <f>IF(X54="SI",Y54,0)</f>
        <v/>
      </c>
      <c r="AA54" s="22">
        <f>SUM(J54,M54,P54,S54,V54,Y54)</f>
        <v/>
      </c>
      <c r="AB54" s="22">
        <f>SUM(K54,N54,Q54,T54,W54,Z54)</f>
        <v/>
      </c>
      <c r="AC54" s="23">
        <f>IF(AA54=0,"",AB54/AA54)</f>
        <v/>
      </c>
      <c r="AD54" s="22">
        <f>CRITERIOS!Q42</f>
        <v/>
      </c>
      <c r="AE54" s="22">
        <f>IF(AND(E54=1,H54&lt;&gt;"X",((I54="N/A")+(L54="N/A")+(O54="N/A")+(R54="N/A")+(U54="N/A")+(X54="N/A"))&gt;0),"REVISAR","")</f>
        <v/>
      </c>
    </row>
    <row r="55">
      <c r="A55" s="24">
        <f>CRITERIOS!B43</f>
        <v/>
      </c>
      <c r="B55" s="24">
        <f>CRITERIOS!C43</f>
        <v/>
      </c>
      <c r="C55" s="25">
        <f>CRITERIOS!D43</f>
        <v/>
      </c>
      <c r="D55" s="24">
        <f>CRITERIOS!E43</f>
        <v/>
      </c>
      <c r="E55" s="24">
        <f>IFERROR(IF(AND(OR(CRITERIOS!F43="Todos",CRITERIOS!F43=$B$4),INDEX(CRITERIOS!H43:J43,MATCH($B$5,VARIABLES!$E$2:$E$4,0))=1),1,0),0)</f>
        <v/>
      </c>
      <c r="F55" s="24">
        <f>IFERROR(IF(E55=1,INDEX(CRITERIOS!K43:M43,MATCH($B$5,VARIABLES!$E$2:$E$4,0)),0),0)</f>
        <v/>
      </c>
      <c r="G55" s="24">
        <f>IF(CRITERIOS!N43="","",CRITERIOS!N43)</f>
        <v/>
      </c>
      <c r="H55" s="24">
        <f>IF(CRITERIOS!O43="","",CRITERIOS!O43)</f>
        <v/>
      </c>
      <c r="I55" s="21" t="n"/>
      <c r="J55" s="22">
        <f>IF(OR($E55=0,I$78=0),0,IF(AND(I55="N/A",$G55&lt;&gt;""),0,$F55+SUMPRODUCT(($G$14:$G$71=$A55)*($E$14:$E$71=1)*(I$14:I$71="N/A")*$F$14:$F$71)))</f>
        <v/>
      </c>
      <c r="K55" s="22">
        <f>IF(I55="SI",J55,0)</f>
        <v/>
      </c>
      <c r="L55" s="21" t="n"/>
      <c r="M55" s="22">
        <f>IF(OR($E55=0,L$78=0),0,IF(AND(L55="N/A",$G55&lt;&gt;""),0,$F55+SUMPRODUCT(($G$14:$G$71=$A55)*($E$14:$E$71=1)*(L$14:L$71="N/A")*$F$14:$F$71)))</f>
        <v/>
      </c>
      <c r="N55" s="22">
        <f>IF(L55="SI",M55,0)</f>
        <v/>
      </c>
      <c r="O55" s="21" t="n"/>
      <c r="P55" s="22">
        <f>IF(OR($E55=0,O$78=0),0,IF(AND(O55="N/A",$G55&lt;&gt;""),0,$F55+SUMPRODUCT(($G$14:$G$71=$A55)*($E$14:$E$71=1)*(O$14:O$71="N/A")*$F$14:$F$71)))</f>
        <v/>
      </c>
      <c r="Q55" s="22">
        <f>IF(O55="SI",P55,0)</f>
        <v/>
      </c>
      <c r="R55" s="21" t="n"/>
      <c r="S55" s="22">
        <f>IF(OR($E55=0,R$78=0),0,IF(AND(R55="N/A",$G55&lt;&gt;""),0,$F55+SUMPRODUCT(($G$14:$G$71=$A55)*($E$14:$E$71=1)*(R$14:R$71="N/A")*$F$14:$F$71)))</f>
        <v/>
      </c>
      <c r="T55" s="22">
        <f>IF(R55="SI",S55,0)</f>
        <v/>
      </c>
      <c r="U55" s="21" t="n"/>
      <c r="V55" s="22">
        <f>IF(OR($E55=0,U$78=0),0,IF(AND(U55="N/A",$G55&lt;&gt;""),0,$F55+SUMPRODUCT(($G$14:$G$71=$A55)*($E$14:$E$71=1)*(U$14:U$71="N/A")*$F$14:$F$71)))</f>
        <v/>
      </c>
      <c r="W55" s="22">
        <f>IF(U55="SI",V55,0)</f>
        <v/>
      </c>
      <c r="X55" s="21" t="n"/>
      <c r="Y55" s="22">
        <f>IF(OR($E55=0,X$78=0),0,IF(AND(X55="N/A",$G55&lt;&gt;""),0,$F55+SUMPRODUCT(($G$14:$G$71=$A55)*($E$14:$E$71=1)*(X$14:X$71="N/A")*$F$14:$F$71)))</f>
        <v/>
      </c>
      <c r="Z55" s="22">
        <f>IF(X55="SI",Y55,0)</f>
        <v/>
      </c>
      <c r="AA55" s="22">
        <f>SUM(J55,M55,P55,S55,V55,Y55)</f>
        <v/>
      </c>
      <c r="AB55" s="22">
        <f>SUM(K55,N55,Q55,T55,W55,Z55)</f>
        <v/>
      </c>
      <c r="AC55" s="23">
        <f>IF(AA55=0,"",AB55/AA55)</f>
        <v/>
      </c>
      <c r="AD55" s="22">
        <f>CRITERIOS!Q43</f>
        <v/>
      </c>
      <c r="AE55" s="22">
        <f>IF(AND(E55=1,H55&lt;&gt;"X",((I55="N/A")+(L55="N/A")+(O55="N/A")+(R55="N/A")+(U55="N/A")+(X55="N/A"))&gt;0),"REVISAR","")</f>
        <v/>
      </c>
    </row>
    <row r="56">
      <c r="A56" s="24">
        <f>CRITERIOS!B44</f>
        <v/>
      </c>
      <c r="B56" s="24">
        <f>CRITERIOS!C44</f>
        <v/>
      </c>
      <c r="C56" s="25">
        <f>CRITERIOS!D44</f>
        <v/>
      </c>
      <c r="D56" s="24">
        <f>CRITERIOS!E44</f>
        <v/>
      </c>
      <c r="E56" s="24">
        <f>IFERROR(IF(AND(OR(CRITERIOS!F44="Todos",CRITERIOS!F44=$B$4),INDEX(CRITERIOS!H44:J44,MATCH($B$5,VARIABLES!$E$2:$E$4,0))=1),1,0),0)</f>
        <v/>
      </c>
      <c r="F56" s="24">
        <f>IFERROR(IF(E56=1,INDEX(CRITERIOS!K44:M44,MATCH($B$5,VARIABLES!$E$2:$E$4,0)),0),0)</f>
        <v/>
      </c>
      <c r="G56" s="24">
        <f>IF(CRITERIOS!N44="","",CRITERIOS!N44)</f>
        <v/>
      </c>
      <c r="H56" s="24">
        <f>IF(CRITERIOS!O44="","",CRITERIOS!O44)</f>
        <v/>
      </c>
      <c r="I56" s="21" t="n"/>
      <c r="J56" s="22">
        <f>IF(OR($E56=0,I$78=0),0,IF(AND(I56="N/A",$G56&lt;&gt;""),0,$F56+SUMPRODUCT(($G$14:$G$71=$A56)*($E$14:$E$71=1)*(I$14:I$71="N/A")*$F$14:$F$71)))</f>
        <v/>
      </c>
      <c r="K56" s="22">
        <f>IF(I56="SI",J56,0)</f>
        <v/>
      </c>
      <c r="L56" s="21" t="n"/>
      <c r="M56" s="22">
        <f>IF(OR($E56=0,L$78=0),0,IF(AND(L56="N/A",$G56&lt;&gt;""),0,$F56+SUMPRODUCT(($G$14:$G$71=$A56)*($E$14:$E$71=1)*(L$14:L$71="N/A")*$F$14:$F$71)))</f>
        <v/>
      </c>
      <c r="N56" s="22">
        <f>IF(L56="SI",M56,0)</f>
        <v/>
      </c>
      <c r="O56" s="21" t="n"/>
      <c r="P56" s="22">
        <f>IF(OR($E56=0,O$78=0),0,IF(AND(O56="N/A",$G56&lt;&gt;""),0,$F56+SUMPRODUCT(($G$14:$G$71=$A56)*($E$14:$E$71=1)*(O$14:O$71="N/A")*$F$14:$F$71)))</f>
        <v/>
      </c>
      <c r="Q56" s="22">
        <f>IF(O56="SI",P56,0)</f>
        <v/>
      </c>
      <c r="R56" s="21" t="n"/>
      <c r="S56" s="22">
        <f>IF(OR($E56=0,R$78=0),0,IF(AND(R56="N/A",$G56&lt;&gt;""),0,$F56+SUMPRODUCT(($G$14:$G$71=$A56)*($E$14:$E$71=1)*(R$14:R$71="N/A")*$F$14:$F$71)))</f>
        <v/>
      </c>
      <c r="T56" s="22">
        <f>IF(R56="SI",S56,0)</f>
        <v/>
      </c>
      <c r="U56" s="21" t="n"/>
      <c r="V56" s="22">
        <f>IF(OR($E56=0,U$78=0),0,IF(AND(U56="N/A",$G56&lt;&gt;""),0,$F56+SUMPRODUCT(($G$14:$G$71=$A56)*($E$14:$E$71=1)*(U$14:U$71="N/A")*$F$14:$F$71)))</f>
        <v/>
      </c>
      <c r="W56" s="22">
        <f>IF(U56="SI",V56,0)</f>
        <v/>
      </c>
      <c r="X56" s="21" t="n"/>
      <c r="Y56" s="22">
        <f>IF(OR($E56=0,X$78=0),0,IF(AND(X56="N/A",$G56&lt;&gt;""),0,$F56+SUMPRODUCT(($G$14:$G$71=$A56)*($E$14:$E$71=1)*(X$14:X$71="N/A")*$F$14:$F$71)))</f>
        <v/>
      </c>
      <c r="Z56" s="22">
        <f>IF(X56="SI",Y56,0)</f>
        <v/>
      </c>
      <c r="AA56" s="22">
        <f>SUM(J56,M56,P56,S56,V56,Y56)</f>
        <v/>
      </c>
      <c r="AB56" s="22">
        <f>SUM(K56,N56,Q56,T56,W56,Z56)</f>
        <v/>
      </c>
      <c r="AC56" s="23">
        <f>IF(AA56=0,"",AB56/AA56)</f>
        <v/>
      </c>
      <c r="AD56" s="22">
        <f>CRITERIOS!Q44</f>
        <v/>
      </c>
      <c r="AE56" s="22">
        <f>IF(AND(E56=1,H56&lt;&gt;"X",((I56="N/A")+(L56="N/A")+(O56="N/A")+(R56="N/A")+(U56="N/A")+(X56="N/A"))&gt;0),"REVISAR","")</f>
        <v/>
      </c>
    </row>
    <row r="57">
      <c r="A57" s="24">
        <f>CRITERIOS!B45</f>
        <v/>
      </c>
      <c r="B57" s="24">
        <f>CRITERIOS!C45</f>
        <v/>
      </c>
      <c r="C57" s="25">
        <f>CRITERIOS!D45</f>
        <v/>
      </c>
      <c r="D57" s="24">
        <f>CRITERIOS!E45</f>
        <v/>
      </c>
      <c r="E57" s="24">
        <f>IFERROR(IF(AND(OR(CRITERIOS!F45="Todos",CRITERIOS!F45=$B$4),INDEX(CRITERIOS!H45:J45,MATCH($B$5,VARIABLES!$E$2:$E$4,0))=1),1,0),0)</f>
        <v/>
      </c>
      <c r="F57" s="24">
        <f>IFERROR(IF(E57=1,INDEX(CRITERIOS!K45:M45,MATCH($B$5,VARIABLES!$E$2:$E$4,0)),0),0)</f>
        <v/>
      </c>
      <c r="G57" s="24">
        <f>IF(CRITERIOS!N45="","",CRITERIOS!N45)</f>
        <v/>
      </c>
      <c r="H57" s="24">
        <f>IF(CRITERIOS!O45="","",CRITERIOS!O45)</f>
        <v/>
      </c>
      <c r="I57" s="21" t="n"/>
      <c r="J57" s="22">
        <f>IF(OR($E57=0,I$78=0),0,IF(AND(I57="N/A",$G57&lt;&gt;""),0,$F57+SUMPRODUCT(($G$14:$G$71=$A57)*($E$14:$E$71=1)*(I$14:I$71="N/A")*$F$14:$F$71)))</f>
        <v/>
      </c>
      <c r="K57" s="22">
        <f>IF(I57="SI",J57,0)</f>
        <v/>
      </c>
      <c r="L57" s="21" t="n"/>
      <c r="M57" s="22">
        <f>IF(OR($E57=0,L$78=0),0,IF(AND(L57="N/A",$G57&lt;&gt;""),0,$F57+SUMPRODUCT(($G$14:$G$71=$A57)*($E$14:$E$71=1)*(L$14:L$71="N/A")*$F$14:$F$71)))</f>
        <v/>
      </c>
      <c r="N57" s="22">
        <f>IF(L57="SI",M57,0)</f>
        <v/>
      </c>
      <c r="O57" s="21" t="n"/>
      <c r="P57" s="22">
        <f>IF(OR($E57=0,O$78=0),0,IF(AND(O57="N/A",$G57&lt;&gt;""),0,$F57+SUMPRODUCT(($G$14:$G$71=$A57)*($E$14:$E$71=1)*(O$14:O$71="N/A")*$F$14:$F$71)))</f>
        <v/>
      </c>
      <c r="Q57" s="22">
        <f>IF(O57="SI",P57,0)</f>
        <v/>
      </c>
      <c r="R57" s="21" t="n"/>
      <c r="S57" s="22">
        <f>IF(OR($E57=0,R$78=0),0,IF(AND(R57="N/A",$G57&lt;&gt;""),0,$F57+SUMPRODUCT(($G$14:$G$71=$A57)*($E$14:$E$71=1)*(R$14:R$71="N/A")*$F$14:$F$71)))</f>
        <v/>
      </c>
      <c r="T57" s="22">
        <f>IF(R57="SI",S57,0)</f>
        <v/>
      </c>
      <c r="U57" s="21" t="n"/>
      <c r="V57" s="22">
        <f>IF(OR($E57=0,U$78=0),0,IF(AND(U57="N/A",$G57&lt;&gt;""),0,$F57+SUMPRODUCT(($G$14:$G$71=$A57)*($E$14:$E$71=1)*(U$14:U$71="N/A")*$F$14:$F$71)))</f>
        <v/>
      </c>
      <c r="W57" s="22">
        <f>IF(U57="SI",V57,0)</f>
        <v/>
      </c>
      <c r="X57" s="21" t="n"/>
      <c r="Y57" s="22">
        <f>IF(OR($E57=0,X$78=0),0,IF(AND(X57="N/A",$G57&lt;&gt;""),0,$F57+SUMPRODUCT(($G$14:$G$71=$A57)*($E$14:$E$71=1)*(X$14:X$71="N/A")*$F$14:$F$71)))</f>
        <v/>
      </c>
      <c r="Z57" s="22">
        <f>IF(X57="SI",Y57,0)</f>
        <v/>
      </c>
      <c r="AA57" s="22">
        <f>SUM(J57,M57,P57,S57,V57,Y57)</f>
        <v/>
      </c>
      <c r="AB57" s="22">
        <f>SUM(K57,N57,Q57,T57,W57,Z57)</f>
        <v/>
      </c>
      <c r="AC57" s="23">
        <f>IF(AA57=0,"",AB57/AA57)</f>
        <v/>
      </c>
      <c r="AD57" s="22">
        <f>CRITERIOS!Q45</f>
        <v/>
      </c>
      <c r="AE57" s="22">
        <f>IF(AND(E57=1,H57&lt;&gt;"X",((I57="N/A")+(L57="N/A")+(O57="N/A")+(R57="N/A")+(U57="N/A")+(X57="N/A"))&gt;0),"REVISAR","")</f>
        <v/>
      </c>
    </row>
    <row r="58">
      <c r="A58" s="24">
        <f>CRITERIOS!B46</f>
        <v/>
      </c>
      <c r="B58" s="24">
        <f>CRITERIOS!C46</f>
        <v/>
      </c>
      <c r="C58" s="25">
        <f>CRITERIOS!D46</f>
        <v/>
      </c>
      <c r="D58" s="24">
        <f>CRITERIOS!E46</f>
        <v/>
      </c>
      <c r="E58" s="24">
        <f>IFERROR(IF(AND(OR(CRITERIOS!F46="Todos",CRITERIOS!F46=$B$4),INDEX(CRITERIOS!H46:J46,MATCH($B$5,VARIABLES!$E$2:$E$4,0))=1),1,0),0)</f>
        <v/>
      </c>
      <c r="F58" s="24">
        <f>IFERROR(IF(E58=1,INDEX(CRITERIOS!K46:M46,MATCH($B$5,VARIABLES!$E$2:$E$4,0)),0),0)</f>
        <v/>
      </c>
      <c r="G58" s="24">
        <f>IF(CRITERIOS!N46="","",CRITERIOS!N46)</f>
        <v/>
      </c>
      <c r="H58" s="24">
        <f>IF(CRITERIOS!O46="","",CRITERIOS!O46)</f>
        <v/>
      </c>
      <c r="I58" s="21" t="n"/>
      <c r="J58" s="22">
        <f>IF(OR($E58=0,I$78=0),0,IF(AND(I58="N/A",$G58&lt;&gt;""),0,$F58+SUMPRODUCT(($G$14:$G$71=$A58)*($E$14:$E$71=1)*(I$14:I$71="N/A")*$F$14:$F$71)))</f>
        <v/>
      </c>
      <c r="K58" s="22">
        <f>IF(I58="SI",J58,0)</f>
        <v/>
      </c>
      <c r="L58" s="21" t="n"/>
      <c r="M58" s="22">
        <f>IF(OR($E58=0,L$78=0),0,IF(AND(L58="N/A",$G58&lt;&gt;""),0,$F58+SUMPRODUCT(($G$14:$G$71=$A58)*($E$14:$E$71=1)*(L$14:L$71="N/A")*$F$14:$F$71)))</f>
        <v/>
      </c>
      <c r="N58" s="22">
        <f>IF(L58="SI",M58,0)</f>
        <v/>
      </c>
      <c r="O58" s="21" t="n"/>
      <c r="P58" s="22">
        <f>IF(OR($E58=0,O$78=0),0,IF(AND(O58="N/A",$G58&lt;&gt;""),0,$F58+SUMPRODUCT(($G$14:$G$71=$A58)*($E$14:$E$71=1)*(O$14:O$71="N/A")*$F$14:$F$71)))</f>
        <v/>
      </c>
      <c r="Q58" s="22">
        <f>IF(O58="SI",P58,0)</f>
        <v/>
      </c>
      <c r="R58" s="21" t="n"/>
      <c r="S58" s="22">
        <f>IF(OR($E58=0,R$78=0),0,IF(AND(R58="N/A",$G58&lt;&gt;""),0,$F58+SUMPRODUCT(($G$14:$G$71=$A58)*($E$14:$E$71=1)*(R$14:R$71="N/A")*$F$14:$F$71)))</f>
        <v/>
      </c>
      <c r="T58" s="22">
        <f>IF(R58="SI",S58,0)</f>
        <v/>
      </c>
      <c r="U58" s="21" t="n"/>
      <c r="V58" s="22">
        <f>IF(OR($E58=0,U$78=0),0,IF(AND(U58="N/A",$G58&lt;&gt;""),0,$F58+SUMPRODUCT(($G$14:$G$71=$A58)*($E$14:$E$71=1)*(U$14:U$71="N/A")*$F$14:$F$71)))</f>
        <v/>
      </c>
      <c r="W58" s="22">
        <f>IF(U58="SI",V58,0)</f>
        <v/>
      </c>
      <c r="X58" s="21" t="n"/>
      <c r="Y58" s="22">
        <f>IF(OR($E58=0,X$78=0),0,IF(AND(X58="N/A",$G58&lt;&gt;""),0,$F58+SUMPRODUCT(($G$14:$G$71=$A58)*($E$14:$E$71=1)*(X$14:X$71="N/A")*$F$14:$F$71)))</f>
        <v/>
      </c>
      <c r="Z58" s="22">
        <f>IF(X58="SI",Y58,0)</f>
        <v/>
      </c>
      <c r="AA58" s="22">
        <f>SUM(J58,M58,P58,S58,V58,Y58)</f>
        <v/>
      </c>
      <c r="AB58" s="22">
        <f>SUM(K58,N58,Q58,T58,W58,Z58)</f>
        <v/>
      </c>
      <c r="AC58" s="23">
        <f>IF(AA58=0,"",AB58/AA58)</f>
        <v/>
      </c>
      <c r="AD58" s="22">
        <f>CRITERIOS!Q46</f>
        <v/>
      </c>
      <c r="AE58" s="22">
        <f>IF(AND(E58=1,H58&lt;&gt;"X",((I58="N/A")+(L58="N/A")+(O58="N/A")+(R58="N/A")+(U58="N/A")+(X58="N/A"))&gt;0),"REVISAR","")</f>
        <v/>
      </c>
    </row>
    <row r="59">
      <c r="A59" s="24">
        <f>CRITERIOS!B47</f>
        <v/>
      </c>
      <c r="B59" s="24">
        <f>CRITERIOS!C47</f>
        <v/>
      </c>
      <c r="C59" s="25">
        <f>CRITERIOS!D47</f>
        <v/>
      </c>
      <c r="D59" s="24">
        <f>CRITERIOS!E47</f>
        <v/>
      </c>
      <c r="E59" s="24">
        <f>IFERROR(IF(AND(OR(CRITERIOS!F47="Todos",CRITERIOS!F47=$B$4),INDEX(CRITERIOS!H47:J47,MATCH($B$5,VARIABLES!$E$2:$E$4,0))=1),1,0),0)</f>
        <v/>
      </c>
      <c r="F59" s="24">
        <f>IFERROR(IF(E59=1,INDEX(CRITERIOS!K47:M47,MATCH($B$5,VARIABLES!$E$2:$E$4,0)),0),0)</f>
        <v/>
      </c>
      <c r="G59" s="24">
        <f>IF(CRITERIOS!N47="","",CRITERIOS!N47)</f>
        <v/>
      </c>
      <c r="H59" s="24">
        <f>IF(CRITERIOS!O47="","",CRITERIOS!O47)</f>
        <v/>
      </c>
      <c r="I59" s="21" t="n"/>
      <c r="J59" s="22">
        <f>IF(OR($E59=0,I$78=0),0,IF(AND(I59="N/A",$G59&lt;&gt;""),0,$F59+SUMPRODUCT(($G$14:$G$71=$A59)*($E$14:$E$71=1)*(I$14:I$71="N/A")*$F$14:$F$71)))</f>
        <v/>
      </c>
      <c r="K59" s="22">
        <f>IF(I59="SI",J59,0)</f>
        <v/>
      </c>
      <c r="L59" s="21" t="n"/>
      <c r="M59" s="22">
        <f>IF(OR($E59=0,L$78=0),0,IF(AND(L59="N/A",$G59&lt;&gt;""),0,$F59+SUMPRODUCT(($G$14:$G$71=$A59)*($E$14:$E$71=1)*(L$14:L$71="N/A")*$F$14:$F$71)))</f>
        <v/>
      </c>
      <c r="N59" s="22">
        <f>IF(L59="SI",M59,0)</f>
        <v/>
      </c>
      <c r="O59" s="21" t="n"/>
      <c r="P59" s="22">
        <f>IF(OR($E59=0,O$78=0),0,IF(AND(O59="N/A",$G59&lt;&gt;""),0,$F59+SUMPRODUCT(($G$14:$G$71=$A59)*($E$14:$E$71=1)*(O$14:O$71="N/A")*$F$14:$F$71)))</f>
        <v/>
      </c>
      <c r="Q59" s="22">
        <f>IF(O59="SI",P59,0)</f>
        <v/>
      </c>
      <c r="R59" s="21" t="n"/>
      <c r="S59" s="22">
        <f>IF(OR($E59=0,R$78=0),0,IF(AND(R59="N/A",$G59&lt;&gt;""),0,$F59+SUMPRODUCT(($G$14:$G$71=$A59)*($E$14:$E$71=1)*(R$14:R$71="N/A")*$F$14:$F$71)))</f>
        <v/>
      </c>
      <c r="T59" s="22">
        <f>IF(R59="SI",S59,0)</f>
        <v/>
      </c>
      <c r="U59" s="21" t="n"/>
      <c r="V59" s="22">
        <f>IF(OR($E59=0,U$78=0),0,IF(AND(U59="N/A",$G59&lt;&gt;""),0,$F59+SUMPRODUCT(($G$14:$G$71=$A59)*($E$14:$E$71=1)*(U$14:U$71="N/A")*$F$14:$F$71)))</f>
        <v/>
      </c>
      <c r="W59" s="22">
        <f>IF(U59="SI",V59,0)</f>
        <v/>
      </c>
      <c r="X59" s="21" t="n"/>
      <c r="Y59" s="22">
        <f>IF(OR($E59=0,X$78=0),0,IF(AND(X59="N/A",$G59&lt;&gt;""),0,$F59+SUMPRODUCT(($G$14:$G$71=$A59)*($E$14:$E$71=1)*(X$14:X$71="N/A")*$F$14:$F$71)))</f>
        <v/>
      </c>
      <c r="Z59" s="22">
        <f>IF(X59="SI",Y59,0)</f>
        <v/>
      </c>
      <c r="AA59" s="22">
        <f>SUM(J59,M59,P59,S59,V59,Y59)</f>
        <v/>
      </c>
      <c r="AB59" s="22">
        <f>SUM(K59,N59,Q59,T59,W59,Z59)</f>
        <v/>
      </c>
      <c r="AC59" s="23">
        <f>IF(AA59=0,"",AB59/AA59)</f>
        <v/>
      </c>
      <c r="AD59" s="22">
        <f>CRITERIOS!Q47</f>
        <v/>
      </c>
      <c r="AE59" s="22">
        <f>IF(AND(E59=1,H59&lt;&gt;"X",((I59="N/A")+(L59="N/A")+(O59="N/A")+(R59="N/A")+(U59="N/A")+(X59="N/A"))&gt;0),"REVISAR","")</f>
        <v/>
      </c>
    </row>
    <row r="60">
      <c r="A60" s="24">
        <f>CRITERIOS!B48</f>
        <v/>
      </c>
      <c r="B60" s="24">
        <f>CRITERIOS!C48</f>
        <v/>
      </c>
      <c r="C60" s="25">
        <f>CRITERIOS!D48</f>
        <v/>
      </c>
      <c r="D60" s="24">
        <f>CRITERIOS!E48</f>
        <v/>
      </c>
      <c r="E60" s="24">
        <f>IFERROR(IF(AND(OR(CRITERIOS!F48="Todos",CRITERIOS!F48=$B$4),INDEX(CRITERIOS!H48:J48,MATCH($B$5,VARIABLES!$E$2:$E$4,0))=1),1,0),0)</f>
        <v/>
      </c>
      <c r="F60" s="24">
        <f>IFERROR(IF(E60=1,INDEX(CRITERIOS!K48:M48,MATCH($B$5,VARIABLES!$E$2:$E$4,0)),0),0)</f>
        <v/>
      </c>
      <c r="G60" s="24">
        <f>IF(CRITERIOS!N48="","",CRITERIOS!N48)</f>
        <v/>
      </c>
      <c r="H60" s="24">
        <f>IF(CRITERIOS!O48="","",CRITERIOS!O48)</f>
        <v/>
      </c>
      <c r="I60" s="21" t="n"/>
      <c r="J60" s="22">
        <f>IF(OR($E60=0,I$78=0),0,IF(AND(I60="N/A",$G60&lt;&gt;""),0,$F60+SUMPRODUCT(($G$14:$G$71=$A60)*($E$14:$E$71=1)*(I$14:I$71="N/A")*$F$14:$F$71)))</f>
        <v/>
      </c>
      <c r="K60" s="22">
        <f>IF(I60="SI",J60,0)</f>
        <v/>
      </c>
      <c r="L60" s="21" t="n"/>
      <c r="M60" s="22">
        <f>IF(OR($E60=0,L$78=0),0,IF(AND(L60="N/A",$G60&lt;&gt;""),0,$F60+SUMPRODUCT(($G$14:$G$71=$A60)*($E$14:$E$71=1)*(L$14:L$71="N/A")*$F$14:$F$71)))</f>
        <v/>
      </c>
      <c r="N60" s="22">
        <f>IF(L60="SI",M60,0)</f>
        <v/>
      </c>
      <c r="O60" s="21" t="n"/>
      <c r="P60" s="22">
        <f>IF(OR($E60=0,O$78=0),0,IF(AND(O60="N/A",$G60&lt;&gt;""),0,$F60+SUMPRODUCT(($G$14:$G$71=$A60)*($E$14:$E$71=1)*(O$14:O$71="N/A")*$F$14:$F$71)))</f>
        <v/>
      </c>
      <c r="Q60" s="22">
        <f>IF(O60="SI",P60,0)</f>
        <v/>
      </c>
      <c r="R60" s="21" t="n"/>
      <c r="S60" s="22">
        <f>IF(OR($E60=0,R$78=0),0,IF(AND(R60="N/A",$G60&lt;&gt;""),0,$F60+SUMPRODUCT(($G$14:$G$71=$A60)*($E$14:$E$71=1)*(R$14:R$71="N/A")*$F$14:$F$71)))</f>
        <v/>
      </c>
      <c r="T60" s="22">
        <f>IF(R60="SI",S60,0)</f>
        <v/>
      </c>
      <c r="U60" s="21" t="n"/>
      <c r="V60" s="22">
        <f>IF(OR($E60=0,U$78=0),0,IF(AND(U60="N/A",$G60&lt;&gt;""),0,$F60+SUMPRODUCT(($G$14:$G$71=$A60)*($E$14:$E$71=1)*(U$14:U$71="N/A")*$F$14:$F$71)))</f>
        <v/>
      </c>
      <c r="W60" s="22">
        <f>IF(U60="SI",V60,0)</f>
        <v/>
      </c>
      <c r="X60" s="21" t="n"/>
      <c r="Y60" s="22">
        <f>IF(OR($E60=0,X$78=0),0,IF(AND(X60="N/A",$G60&lt;&gt;""),0,$F60+SUMPRODUCT(($G$14:$G$71=$A60)*($E$14:$E$71=1)*(X$14:X$71="N/A")*$F$14:$F$71)))</f>
        <v/>
      </c>
      <c r="Z60" s="22">
        <f>IF(X60="SI",Y60,0)</f>
        <v/>
      </c>
      <c r="AA60" s="22">
        <f>SUM(J60,M60,P60,S60,V60,Y60)</f>
        <v/>
      </c>
      <c r="AB60" s="22">
        <f>SUM(K60,N60,Q60,T60,W60,Z60)</f>
        <v/>
      </c>
      <c r="AC60" s="23">
        <f>IF(AA60=0,"",AB60/AA60)</f>
        <v/>
      </c>
      <c r="AD60" s="22">
        <f>CRITERIOS!Q48</f>
        <v/>
      </c>
      <c r="AE60" s="22">
        <f>IF(AND(E60=1,H60&lt;&gt;"X",((I60="N/A")+(L60="N/A")+(O60="N/A")+(R60="N/A")+(U60="N/A")+(X60="N/A"))&gt;0),"REVISAR","")</f>
        <v/>
      </c>
    </row>
    <row r="61">
      <c r="A61" s="22">
        <f>CRITERIOS!B49</f>
        <v/>
      </c>
      <c r="B61" s="22">
        <f>CRITERIOS!C49</f>
        <v/>
      </c>
      <c r="C61" s="8">
        <f>CRITERIOS!D49</f>
        <v/>
      </c>
      <c r="D61" s="22">
        <f>CRITERIOS!E49</f>
        <v/>
      </c>
      <c r="E61" s="22">
        <f>IFERROR(IF(AND(OR(CRITERIOS!F49="Todos",CRITERIOS!F49=$B$4),INDEX(CRITERIOS!H49:J49,MATCH($B$5,VARIABLES!$E$2:$E$4,0))=1),1,0),0)</f>
        <v/>
      </c>
      <c r="F61" s="22">
        <f>IFERROR(IF(E61=1,INDEX(CRITERIOS!K49:M49,MATCH($B$5,VARIABLES!$E$2:$E$4,0)),0),0)</f>
        <v/>
      </c>
      <c r="G61" s="22">
        <f>IF(CRITERIOS!N49="","",CRITERIOS!N49)</f>
        <v/>
      </c>
      <c r="H61" s="22">
        <f>IF(CRITERIOS!O49="","",CRITERIOS!O49)</f>
        <v/>
      </c>
      <c r="I61" s="21" t="n"/>
      <c r="J61" s="22">
        <f>IF(OR($E61=0,I$78=0),0,IF(AND(I61="N/A",$G61&lt;&gt;""),0,$F61+SUMPRODUCT(($G$14:$G$71=$A61)*($E$14:$E$71=1)*(I$14:I$71="N/A")*$F$14:$F$71)))</f>
        <v/>
      </c>
      <c r="K61" s="22">
        <f>IF(I61="SI",J61,0)</f>
        <v/>
      </c>
      <c r="L61" s="21" t="n"/>
      <c r="M61" s="22">
        <f>IF(OR($E61=0,L$78=0),0,IF(AND(L61="N/A",$G61&lt;&gt;""),0,$F61+SUMPRODUCT(($G$14:$G$71=$A61)*($E$14:$E$71=1)*(L$14:L$71="N/A")*$F$14:$F$71)))</f>
        <v/>
      </c>
      <c r="N61" s="22">
        <f>IF(L61="SI",M61,0)</f>
        <v/>
      </c>
      <c r="O61" s="21" t="n"/>
      <c r="P61" s="22">
        <f>IF(OR($E61=0,O$78=0),0,IF(AND(O61="N/A",$G61&lt;&gt;""),0,$F61+SUMPRODUCT(($G$14:$G$71=$A61)*($E$14:$E$71=1)*(O$14:O$71="N/A")*$F$14:$F$71)))</f>
        <v/>
      </c>
      <c r="Q61" s="22">
        <f>IF(O61="SI",P61,0)</f>
        <v/>
      </c>
      <c r="R61" s="21" t="n"/>
      <c r="S61" s="22">
        <f>IF(OR($E61=0,R$78=0),0,IF(AND(R61="N/A",$G61&lt;&gt;""),0,$F61+SUMPRODUCT(($G$14:$G$71=$A61)*($E$14:$E$71=1)*(R$14:R$71="N/A")*$F$14:$F$71)))</f>
        <v/>
      </c>
      <c r="T61" s="22">
        <f>IF(R61="SI",S61,0)</f>
        <v/>
      </c>
      <c r="U61" s="21" t="n"/>
      <c r="V61" s="22">
        <f>IF(OR($E61=0,U$78=0),0,IF(AND(U61="N/A",$G61&lt;&gt;""),0,$F61+SUMPRODUCT(($G$14:$G$71=$A61)*($E$14:$E$71=1)*(U$14:U$71="N/A")*$F$14:$F$71)))</f>
        <v/>
      </c>
      <c r="W61" s="22">
        <f>IF(U61="SI",V61,0)</f>
        <v/>
      </c>
      <c r="X61" s="21" t="n"/>
      <c r="Y61" s="22">
        <f>IF(OR($E61=0,X$78=0),0,IF(AND(X61="N/A",$G61&lt;&gt;""),0,$F61+SUMPRODUCT(($G$14:$G$71=$A61)*($E$14:$E$71=1)*(X$14:X$71="N/A")*$F$14:$F$71)))</f>
        <v/>
      </c>
      <c r="Z61" s="22">
        <f>IF(X61="SI",Y61,0)</f>
        <v/>
      </c>
      <c r="AA61" s="22">
        <f>SUM(J61,M61,P61,S61,V61,Y61)</f>
        <v/>
      </c>
      <c r="AB61" s="22">
        <f>SUM(K61,N61,Q61,T61,W61,Z61)</f>
        <v/>
      </c>
      <c r="AC61" s="23">
        <f>IF(AA61=0,"",AB61/AA61)</f>
        <v/>
      </c>
      <c r="AD61" s="22">
        <f>CRITERIOS!Q49</f>
        <v/>
      </c>
      <c r="AE61" s="22">
        <f>IF(AND(E61=1,H61&lt;&gt;"X",((I61="N/A")+(L61="N/A")+(O61="N/A")+(R61="N/A")+(U61="N/A")+(X61="N/A"))&gt;0),"REVISAR","")</f>
        <v/>
      </c>
    </row>
    <row r="62">
      <c r="A62" s="24">
        <f>CRITERIOS!B50</f>
        <v/>
      </c>
      <c r="B62" s="24">
        <f>CRITERIOS!C50</f>
        <v/>
      </c>
      <c r="C62" s="25">
        <f>CRITERIOS!D50</f>
        <v/>
      </c>
      <c r="D62" s="24">
        <f>CRITERIOS!E50</f>
        <v/>
      </c>
      <c r="E62" s="24">
        <f>IFERROR(IF(AND(OR(CRITERIOS!F50="Todos",CRITERIOS!F50=$B$4),INDEX(CRITERIOS!H50:J50,MATCH($B$5,VARIABLES!$E$2:$E$4,0))=1),1,0),0)</f>
        <v/>
      </c>
      <c r="F62" s="24">
        <f>IFERROR(IF(E62=1,INDEX(CRITERIOS!K50:M50,MATCH($B$5,VARIABLES!$E$2:$E$4,0)),0),0)</f>
        <v/>
      </c>
      <c r="G62" s="24">
        <f>IF(CRITERIOS!N50="","",CRITERIOS!N50)</f>
        <v/>
      </c>
      <c r="H62" s="24">
        <f>IF(CRITERIOS!O50="","",CRITERIOS!O50)</f>
        <v/>
      </c>
      <c r="I62" s="21" t="n"/>
      <c r="J62" s="22">
        <f>IF(OR($E62=0,I$78=0),0,IF(AND(I62="N/A",$G62&lt;&gt;""),0,$F62+SUMPRODUCT(($G$14:$G$71=$A62)*($E$14:$E$71=1)*(I$14:I$71="N/A")*$F$14:$F$71)))</f>
        <v/>
      </c>
      <c r="K62" s="22">
        <f>IF(I62="SI",J62,0)</f>
        <v/>
      </c>
      <c r="L62" s="21" t="n"/>
      <c r="M62" s="22">
        <f>IF(OR($E62=0,L$78=0),0,IF(AND(L62="N/A",$G62&lt;&gt;""),0,$F62+SUMPRODUCT(($G$14:$G$71=$A62)*($E$14:$E$71=1)*(L$14:L$71="N/A")*$F$14:$F$71)))</f>
        <v/>
      </c>
      <c r="N62" s="22">
        <f>IF(L62="SI",M62,0)</f>
        <v/>
      </c>
      <c r="O62" s="21" t="n"/>
      <c r="P62" s="22">
        <f>IF(OR($E62=0,O$78=0),0,IF(AND(O62="N/A",$G62&lt;&gt;""),0,$F62+SUMPRODUCT(($G$14:$G$71=$A62)*($E$14:$E$71=1)*(O$14:O$71="N/A")*$F$14:$F$71)))</f>
        <v/>
      </c>
      <c r="Q62" s="22">
        <f>IF(O62="SI",P62,0)</f>
        <v/>
      </c>
      <c r="R62" s="21" t="n"/>
      <c r="S62" s="22">
        <f>IF(OR($E62=0,R$78=0),0,IF(AND(R62="N/A",$G62&lt;&gt;""),0,$F62+SUMPRODUCT(($G$14:$G$71=$A62)*($E$14:$E$71=1)*(R$14:R$71="N/A")*$F$14:$F$71)))</f>
        <v/>
      </c>
      <c r="T62" s="22">
        <f>IF(R62="SI",S62,0)</f>
        <v/>
      </c>
      <c r="U62" s="21" t="n"/>
      <c r="V62" s="22">
        <f>IF(OR($E62=0,U$78=0),0,IF(AND(U62="N/A",$G62&lt;&gt;""),0,$F62+SUMPRODUCT(($G$14:$G$71=$A62)*($E$14:$E$71=1)*(U$14:U$71="N/A")*$F$14:$F$71)))</f>
        <v/>
      </c>
      <c r="W62" s="22">
        <f>IF(U62="SI",V62,0)</f>
        <v/>
      </c>
      <c r="X62" s="21" t="n"/>
      <c r="Y62" s="22">
        <f>IF(OR($E62=0,X$78=0),0,IF(AND(X62="N/A",$G62&lt;&gt;""),0,$F62+SUMPRODUCT(($G$14:$G$71=$A62)*($E$14:$E$71=1)*(X$14:X$71="N/A")*$F$14:$F$71)))</f>
        <v/>
      </c>
      <c r="Z62" s="22">
        <f>IF(X62="SI",Y62,0)</f>
        <v/>
      </c>
      <c r="AA62" s="22">
        <f>SUM(J62,M62,P62,S62,V62,Y62)</f>
        <v/>
      </c>
      <c r="AB62" s="22">
        <f>SUM(K62,N62,Q62,T62,W62,Z62)</f>
        <v/>
      </c>
      <c r="AC62" s="23">
        <f>IF(AA62=0,"",AB62/AA62)</f>
        <v/>
      </c>
      <c r="AD62" s="22">
        <f>CRITERIOS!Q50</f>
        <v/>
      </c>
      <c r="AE62" s="22">
        <f>IF(AND(E62=1,H62&lt;&gt;"X",((I62="N/A")+(L62="N/A")+(O62="N/A")+(R62="N/A")+(U62="N/A")+(X62="N/A"))&gt;0),"REVISAR","")</f>
        <v/>
      </c>
    </row>
    <row r="63">
      <c r="A63" s="24">
        <f>CRITERIOS!B51</f>
        <v/>
      </c>
      <c r="B63" s="24">
        <f>CRITERIOS!C51</f>
        <v/>
      </c>
      <c r="C63" s="25">
        <f>CRITERIOS!D51</f>
        <v/>
      </c>
      <c r="D63" s="24">
        <f>CRITERIOS!E51</f>
        <v/>
      </c>
      <c r="E63" s="24">
        <f>IFERROR(IF(AND(OR(CRITERIOS!F51="Todos",CRITERIOS!F51=$B$4),INDEX(CRITERIOS!H51:J51,MATCH($B$5,VARIABLES!$E$2:$E$4,0))=1),1,0),0)</f>
        <v/>
      </c>
      <c r="F63" s="24">
        <f>IFERROR(IF(E63=1,INDEX(CRITERIOS!K51:M51,MATCH($B$5,VARIABLES!$E$2:$E$4,0)),0),0)</f>
        <v/>
      </c>
      <c r="G63" s="24">
        <f>IF(CRITERIOS!N51="","",CRITERIOS!N51)</f>
        <v/>
      </c>
      <c r="H63" s="24">
        <f>IF(CRITERIOS!O51="","",CRITERIOS!O51)</f>
        <v/>
      </c>
      <c r="I63" s="21" t="n"/>
      <c r="J63" s="22">
        <f>IF(OR($E63=0,I$78=0),0,IF(AND(I63="N/A",$G63&lt;&gt;""),0,$F63+SUMPRODUCT(($G$14:$G$71=$A63)*($E$14:$E$71=1)*(I$14:I$71="N/A")*$F$14:$F$71)))</f>
        <v/>
      </c>
      <c r="K63" s="22">
        <f>IF(I63="SI",J63,0)</f>
        <v/>
      </c>
      <c r="L63" s="21" t="n"/>
      <c r="M63" s="22">
        <f>IF(OR($E63=0,L$78=0),0,IF(AND(L63="N/A",$G63&lt;&gt;""),0,$F63+SUMPRODUCT(($G$14:$G$71=$A63)*($E$14:$E$71=1)*(L$14:L$71="N/A")*$F$14:$F$71)))</f>
        <v/>
      </c>
      <c r="N63" s="22">
        <f>IF(L63="SI",M63,0)</f>
        <v/>
      </c>
      <c r="O63" s="21" t="n"/>
      <c r="P63" s="22">
        <f>IF(OR($E63=0,O$78=0),0,IF(AND(O63="N/A",$G63&lt;&gt;""),0,$F63+SUMPRODUCT(($G$14:$G$71=$A63)*($E$14:$E$71=1)*(O$14:O$71="N/A")*$F$14:$F$71)))</f>
        <v/>
      </c>
      <c r="Q63" s="22">
        <f>IF(O63="SI",P63,0)</f>
        <v/>
      </c>
      <c r="R63" s="21" t="n"/>
      <c r="S63" s="22">
        <f>IF(OR($E63=0,R$78=0),0,IF(AND(R63="N/A",$G63&lt;&gt;""),0,$F63+SUMPRODUCT(($G$14:$G$71=$A63)*($E$14:$E$71=1)*(R$14:R$71="N/A")*$F$14:$F$71)))</f>
        <v/>
      </c>
      <c r="T63" s="22">
        <f>IF(R63="SI",S63,0)</f>
        <v/>
      </c>
      <c r="U63" s="21" t="n"/>
      <c r="V63" s="22">
        <f>IF(OR($E63=0,U$78=0),0,IF(AND(U63="N/A",$G63&lt;&gt;""),0,$F63+SUMPRODUCT(($G$14:$G$71=$A63)*($E$14:$E$71=1)*(U$14:U$71="N/A")*$F$14:$F$71)))</f>
        <v/>
      </c>
      <c r="W63" s="22">
        <f>IF(U63="SI",V63,0)</f>
        <v/>
      </c>
      <c r="X63" s="21" t="n"/>
      <c r="Y63" s="22">
        <f>IF(OR($E63=0,X$78=0),0,IF(AND(X63="N/A",$G63&lt;&gt;""),0,$F63+SUMPRODUCT(($G$14:$G$71=$A63)*($E$14:$E$71=1)*(X$14:X$71="N/A")*$F$14:$F$71)))</f>
        <v/>
      </c>
      <c r="Z63" s="22">
        <f>IF(X63="SI",Y63,0)</f>
        <v/>
      </c>
      <c r="AA63" s="22">
        <f>SUM(J63,M63,P63,S63,V63,Y63)</f>
        <v/>
      </c>
      <c r="AB63" s="22">
        <f>SUM(K63,N63,Q63,T63,W63,Z63)</f>
        <v/>
      </c>
      <c r="AC63" s="23">
        <f>IF(AA63=0,"",AB63/AA63)</f>
        <v/>
      </c>
      <c r="AD63" s="22">
        <f>CRITERIOS!Q51</f>
        <v/>
      </c>
      <c r="AE63" s="22">
        <f>IF(AND(E63=1,H63&lt;&gt;"X",((I63="N/A")+(L63="N/A")+(O63="N/A")+(R63="N/A")+(U63="N/A")+(X63="N/A"))&gt;0),"REVISAR","")</f>
        <v/>
      </c>
    </row>
    <row r="64">
      <c r="A64" s="22">
        <f>CRITERIOS!B52</f>
        <v/>
      </c>
      <c r="B64" s="22">
        <f>CRITERIOS!C52</f>
        <v/>
      </c>
      <c r="C64" s="8">
        <f>CRITERIOS!D52</f>
        <v/>
      </c>
      <c r="D64" s="22">
        <f>CRITERIOS!E52</f>
        <v/>
      </c>
      <c r="E64" s="22">
        <f>IFERROR(IF(AND(OR(CRITERIOS!F52="Todos",CRITERIOS!F52=$B$4),INDEX(CRITERIOS!H52:J52,MATCH($B$5,VARIABLES!$E$2:$E$4,0))=1),1,0),0)</f>
        <v/>
      </c>
      <c r="F64" s="22">
        <f>IFERROR(IF(E64=1,INDEX(CRITERIOS!K52:M52,MATCH($B$5,VARIABLES!$E$2:$E$4,0)),0),0)</f>
        <v/>
      </c>
      <c r="G64" s="22">
        <f>IF(CRITERIOS!N52="","",CRITERIOS!N52)</f>
        <v/>
      </c>
      <c r="H64" s="22">
        <f>IF(CRITERIOS!O52="","",CRITERIOS!O52)</f>
        <v/>
      </c>
      <c r="I64" s="21" t="n"/>
      <c r="J64" s="22">
        <f>IF(OR($E64=0,I$78=0),0,IF(AND(I64="N/A",$G64&lt;&gt;""),0,$F64+SUMPRODUCT(($G$14:$G$71=$A64)*($E$14:$E$71=1)*(I$14:I$71="N/A")*$F$14:$F$71)))</f>
        <v/>
      </c>
      <c r="K64" s="22">
        <f>IF(I64="SI",J64,0)</f>
        <v/>
      </c>
      <c r="L64" s="21" t="n"/>
      <c r="M64" s="22">
        <f>IF(OR($E64=0,L$78=0),0,IF(AND(L64="N/A",$G64&lt;&gt;""),0,$F64+SUMPRODUCT(($G$14:$G$71=$A64)*($E$14:$E$71=1)*(L$14:L$71="N/A")*$F$14:$F$71)))</f>
        <v/>
      </c>
      <c r="N64" s="22">
        <f>IF(L64="SI",M64,0)</f>
        <v/>
      </c>
      <c r="O64" s="21" t="n"/>
      <c r="P64" s="22">
        <f>IF(OR($E64=0,O$78=0),0,IF(AND(O64="N/A",$G64&lt;&gt;""),0,$F64+SUMPRODUCT(($G$14:$G$71=$A64)*($E$14:$E$71=1)*(O$14:O$71="N/A")*$F$14:$F$71)))</f>
        <v/>
      </c>
      <c r="Q64" s="22">
        <f>IF(O64="SI",P64,0)</f>
        <v/>
      </c>
      <c r="R64" s="21" t="n"/>
      <c r="S64" s="22">
        <f>IF(OR($E64=0,R$78=0),0,IF(AND(R64="N/A",$G64&lt;&gt;""),0,$F64+SUMPRODUCT(($G$14:$G$71=$A64)*($E$14:$E$71=1)*(R$14:R$71="N/A")*$F$14:$F$71)))</f>
        <v/>
      </c>
      <c r="T64" s="22">
        <f>IF(R64="SI",S64,0)</f>
        <v/>
      </c>
      <c r="U64" s="21" t="n"/>
      <c r="V64" s="22">
        <f>IF(OR($E64=0,U$78=0),0,IF(AND(U64="N/A",$G64&lt;&gt;""),0,$F64+SUMPRODUCT(($G$14:$G$71=$A64)*($E$14:$E$71=1)*(U$14:U$71="N/A")*$F$14:$F$71)))</f>
        <v/>
      </c>
      <c r="W64" s="22">
        <f>IF(U64="SI",V64,0)</f>
        <v/>
      </c>
      <c r="X64" s="21" t="n"/>
      <c r="Y64" s="22">
        <f>IF(OR($E64=0,X$78=0),0,IF(AND(X64="N/A",$G64&lt;&gt;""),0,$F64+SUMPRODUCT(($G$14:$G$71=$A64)*($E$14:$E$71=1)*(X$14:X$71="N/A")*$F$14:$F$71)))</f>
        <v/>
      </c>
      <c r="Z64" s="22">
        <f>IF(X64="SI",Y64,0)</f>
        <v/>
      </c>
      <c r="AA64" s="22">
        <f>SUM(J64,M64,P64,S64,V64,Y64)</f>
        <v/>
      </c>
      <c r="AB64" s="22">
        <f>SUM(K64,N64,Q64,T64,W64,Z64)</f>
        <v/>
      </c>
      <c r="AC64" s="23">
        <f>IF(AA64=0,"",AB64/AA64)</f>
        <v/>
      </c>
      <c r="AD64" s="22">
        <f>CRITERIOS!Q52</f>
        <v/>
      </c>
      <c r="AE64" s="22">
        <f>IF(AND(E64=1,H64&lt;&gt;"X",((I64="N/A")+(L64="N/A")+(O64="N/A")+(R64="N/A")+(U64="N/A")+(X64="N/A"))&gt;0),"REVISAR","")</f>
        <v/>
      </c>
    </row>
    <row r="65">
      <c r="A65" s="24">
        <f>CRITERIOS!B53</f>
        <v/>
      </c>
      <c r="B65" s="24">
        <f>CRITERIOS!C53</f>
        <v/>
      </c>
      <c r="C65" s="25">
        <f>CRITERIOS!D53</f>
        <v/>
      </c>
      <c r="D65" s="24">
        <f>CRITERIOS!E53</f>
        <v/>
      </c>
      <c r="E65" s="24">
        <f>IFERROR(IF(AND(OR(CRITERIOS!F53="Todos",CRITERIOS!F53=$B$4),INDEX(CRITERIOS!H53:J53,MATCH($B$5,VARIABLES!$E$2:$E$4,0))=1),1,0),0)</f>
        <v/>
      </c>
      <c r="F65" s="24">
        <f>IFERROR(IF(E65=1,INDEX(CRITERIOS!K53:M53,MATCH($B$5,VARIABLES!$E$2:$E$4,0)),0),0)</f>
        <v/>
      </c>
      <c r="G65" s="24">
        <f>IF(CRITERIOS!N53="","",CRITERIOS!N53)</f>
        <v/>
      </c>
      <c r="H65" s="24">
        <f>IF(CRITERIOS!O53="","",CRITERIOS!O53)</f>
        <v/>
      </c>
      <c r="I65" s="21" t="n"/>
      <c r="J65" s="22">
        <f>IF(OR($E65=0,I$78=0),0,IF(AND(I65="N/A",$G65&lt;&gt;""),0,$F65+SUMPRODUCT(($G$14:$G$71=$A65)*($E$14:$E$71=1)*(I$14:I$71="N/A")*$F$14:$F$71)))</f>
        <v/>
      </c>
      <c r="K65" s="22">
        <f>IF(I65="SI",J65,0)</f>
        <v/>
      </c>
      <c r="L65" s="21" t="n"/>
      <c r="M65" s="22">
        <f>IF(OR($E65=0,L$78=0),0,IF(AND(L65="N/A",$G65&lt;&gt;""),0,$F65+SUMPRODUCT(($G$14:$G$71=$A65)*($E$14:$E$71=1)*(L$14:L$71="N/A")*$F$14:$F$71)))</f>
        <v/>
      </c>
      <c r="N65" s="22">
        <f>IF(L65="SI",M65,0)</f>
        <v/>
      </c>
      <c r="O65" s="21" t="n"/>
      <c r="P65" s="22">
        <f>IF(OR($E65=0,O$78=0),0,IF(AND(O65="N/A",$G65&lt;&gt;""),0,$F65+SUMPRODUCT(($G$14:$G$71=$A65)*($E$14:$E$71=1)*(O$14:O$71="N/A")*$F$14:$F$71)))</f>
        <v/>
      </c>
      <c r="Q65" s="22">
        <f>IF(O65="SI",P65,0)</f>
        <v/>
      </c>
      <c r="R65" s="21" t="n"/>
      <c r="S65" s="22">
        <f>IF(OR($E65=0,R$78=0),0,IF(AND(R65="N/A",$G65&lt;&gt;""),0,$F65+SUMPRODUCT(($G$14:$G$71=$A65)*($E$14:$E$71=1)*(R$14:R$71="N/A")*$F$14:$F$71)))</f>
        <v/>
      </c>
      <c r="T65" s="22">
        <f>IF(R65="SI",S65,0)</f>
        <v/>
      </c>
      <c r="U65" s="21" t="n"/>
      <c r="V65" s="22">
        <f>IF(OR($E65=0,U$78=0),0,IF(AND(U65="N/A",$G65&lt;&gt;""),0,$F65+SUMPRODUCT(($G$14:$G$71=$A65)*($E$14:$E$71=1)*(U$14:U$71="N/A")*$F$14:$F$71)))</f>
        <v/>
      </c>
      <c r="W65" s="22">
        <f>IF(U65="SI",V65,0)</f>
        <v/>
      </c>
      <c r="X65" s="21" t="n"/>
      <c r="Y65" s="22">
        <f>IF(OR($E65=0,X$78=0),0,IF(AND(X65="N/A",$G65&lt;&gt;""),0,$F65+SUMPRODUCT(($G$14:$G$71=$A65)*($E$14:$E$71=1)*(X$14:X$71="N/A")*$F$14:$F$71)))</f>
        <v/>
      </c>
      <c r="Z65" s="22">
        <f>IF(X65="SI",Y65,0)</f>
        <v/>
      </c>
      <c r="AA65" s="22">
        <f>SUM(J65,M65,P65,S65,V65,Y65)</f>
        <v/>
      </c>
      <c r="AB65" s="22">
        <f>SUM(K65,N65,Q65,T65,W65,Z65)</f>
        <v/>
      </c>
      <c r="AC65" s="23">
        <f>IF(AA65=0,"",AB65/AA65)</f>
        <v/>
      </c>
      <c r="AD65" s="22">
        <f>CRITERIOS!Q53</f>
        <v/>
      </c>
      <c r="AE65" s="22">
        <f>IF(AND(E65=1,H65&lt;&gt;"X",((I65="N/A")+(L65="N/A")+(O65="N/A")+(R65="N/A")+(U65="N/A")+(X65="N/A"))&gt;0),"REVISAR","")</f>
        <v/>
      </c>
    </row>
    <row r="66">
      <c r="A66" s="24">
        <f>CRITERIOS!B54</f>
        <v/>
      </c>
      <c r="B66" s="24">
        <f>CRITERIOS!C54</f>
        <v/>
      </c>
      <c r="C66" s="25">
        <f>CRITERIOS!D54</f>
        <v/>
      </c>
      <c r="D66" s="24">
        <f>CRITERIOS!E54</f>
        <v/>
      </c>
      <c r="E66" s="24">
        <f>IFERROR(IF(AND(OR(CRITERIOS!F54="Todos",CRITERIOS!F54=$B$4),INDEX(CRITERIOS!H54:J54,MATCH($B$5,VARIABLES!$E$2:$E$4,0))=1),1,0),0)</f>
        <v/>
      </c>
      <c r="F66" s="24">
        <f>IFERROR(IF(E66=1,INDEX(CRITERIOS!K54:M54,MATCH($B$5,VARIABLES!$E$2:$E$4,0)),0),0)</f>
        <v/>
      </c>
      <c r="G66" s="24">
        <f>IF(CRITERIOS!N54="","",CRITERIOS!N54)</f>
        <v/>
      </c>
      <c r="H66" s="24">
        <f>IF(CRITERIOS!O54="","",CRITERIOS!O54)</f>
        <v/>
      </c>
      <c r="I66" s="21" t="n"/>
      <c r="J66" s="22">
        <f>IF(OR($E66=0,I$78=0),0,IF(AND(I66="N/A",$G66&lt;&gt;""),0,$F66+SUMPRODUCT(($G$14:$G$71=$A66)*($E$14:$E$71=1)*(I$14:I$71="N/A")*$F$14:$F$71)))</f>
        <v/>
      </c>
      <c r="K66" s="22">
        <f>IF(I66="SI",J66,0)</f>
        <v/>
      </c>
      <c r="L66" s="21" t="n"/>
      <c r="M66" s="22">
        <f>IF(OR($E66=0,L$78=0),0,IF(AND(L66="N/A",$G66&lt;&gt;""),0,$F66+SUMPRODUCT(($G$14:$G$71=$A66)*($E$14:$E$71=1)*(L$14:L$71="N/A")*$F$14:$F$71)))</f>
        <v/>
      </c>
      <c r="N66" s="22">
        <f>IF(L66="SI",M66,0)</f>
        <v/>
      </c>
      <c r="O66" s="21" t="n"/>
      <c r="P66" s="22">
        <f>IF(OR($E66=0,O$78=0),0,IF(AND(O66="N/A",$G66&lt;&gt;""),0,$F66+SUMPRODUCT(($G$14:$G$71=$A66)*($E$14:$E$71=1)*(O$14:O$71="N/A")*$F$14:$F$71)))</f>
        <v/>
      </c>
      <c r="Q66" s="22">
        <f>IF(O66="SI",P66,0)</f>
        <v/>
      </c>
      <c r="R66" s="21" t="n"/>
      <c r="S66" s="22">
        <f>IF(OR($E66=0,R$78=0),0,IF(AND(R66="N/A",$G66&lt;&gt;""),0,$F66+SUMPRODUCT(($G$14:$G$71=$A66)*($E$14:$E$71=1)*(R$14:R$71="N/A")*$F$14:$F$71)))</f>
        <v/>
      </c>
      <c r="T66" s="22">
        <f>IF(R66="SI",S66,0)</f>
        <v/>
      </c>
      <c r="U66" s="21" t="n"/>
      <c r="V66" s="22">
        <f>IF(OR($E66=0,U$78=0),0,IF(AND(U66="N/A",$G66&lt;&gt;""),0,$F66+SUMPRODUCT(($G$14:$G$71=$A66)*($E$14:$E$71=1)*(U$14:U$71="N/A")*$F$14:$F$71)))</f>
        <v/>
      </c>
      <c r="W66" s="22">
        <f>IF(U66="SI",V66,0)</f>
        <v/>
      </c>
      <c r="X66" s="21" t="n"/>
      <c r="Y66" s="22">
        <f>IF(OR($E66=0,X$78=0),0,IF(AND(X66="N/A",$G66&lt;&gt;""),0,$F66+SUMPRODUCT(($G$14:$G$71=$A66)*($E$14:$E$71=1)*(X$14:X$71="N/A")*$F$14:$F$71)))</f>
        <v/>
      </c>
      <c r="Z66" s="22">
        <f>IF(X66="SI",Y66,0)</f>
        <v/>
      </c>
      <c r="AA66" s="22">
        <f>SUM(J66,M66,P66,S66,V66,Y66)</f>
        <v/>
      </c>
      <c r="AB66" s="22">
        <f>SUM(K66,N66,Q66,T66,W66,Z66)</f>
        <v/>
      </c>
      <c r="AC66" s="23">
        <f>IF(AA66=0,"",AB66/AA66)</f>
        <v/>
      </c>
      <c r="AD66" s="22">
        <f>CRITERIOS!Q54</f>
        <v/>
      </c>
      <c r="AE66" s="22">
        <f>IF(AND(E66=1,H66&lt;&gt;"X",((I66="N/A")+(L66="N/A")+(O66="N/A")+(R66="N/A")+(U66="N/A")+(X66="N/A"))&gt;0),"REVISAR","")</f>
        <v/>
      </c>
    </row>
    <row r="67">
      <c r="A67" s="24">
        <f>CRITERIOS!B55</f>
        <v/>
      </c>
      <c r="B67" s="24">
        <f>CRITERIOS!C55</f>
        <v/>
      </c>
      <c r="C67" s="25">
        <f>CRITERIOS!D55</f>
        <v/>
      </c>
      <c r="D67" s="24">
        <f>CRITERIOS!E55</f>
        <v/>
      </c>
      <c r="E67" s="24">
        <f>IFERROR(IF(AND(OR(CRITERIOS!F55="Todos",CRITERIOS!F55=$B$4),INDEX(CRITERIOS!H55:J55,MATCH($B$5,VARIABLES!$E$2:$E$4,0))=1),1,0),0)</f>
        <v/>
      </c>
      <c r="F67" s="24">
        <f>IFERROR(IF(E67=1,INDEX(CRITERIOS!K55:M55,MATCH($B$5,VARIABLES!$E$2:$E$4,0)),0),0)</f>
        <v/>
      </c>
      <c r="G67" s="24">
        <f>IF(CRITERIOS!N55="","",CRITERIOS!N55)</f>
        <v/>
      </c>
      <c r="H67" s="24">
        <f>IF(CRITERIOS!O55="","",CRITERIOS!O55)</f>
        <v/>
      </c>
      <c r="I67" s="21" t="n"/>
      <c r="J67" s="22">
        <f>IF(OR($E67=0,I$78=0),0,IF(AND(I67="N/A",$G67&lt;&gt;""),0,$F67+SUMPRODUCT(($G$14:$G$71=$A67)*($E$14:$E$71=1)*(I$14:I$71="N/A")*$F$14:$F$71)))</f>
        <v/>
      </c>
      <c r="K67" s="22">
        <f>IF(I67="SI",J67,0)</f>
        <v/>
      </c>
      <c r="L67" s="21" t="n"/>
      <c r="M67" s="22">
        <f>IF(OR($E67=0,L$78=0),0,IF(AND(L67="N/A",$G67&lt;&gt;""),0,$F67+SUMPRODUCT(($G$14:$G$71=$A67)*($E$14:$E$71=1)*(L$14:L$71="N/A")*$F$14:$F$71)))</f>
        <v/>
      </c>
      <c r="N67" s="22">
        <f>IF(L67="SI",M67,0)</f>
        <v/>
      </c>
      <c r="O67" s="21" t="n"/>
      <c r="P67" s="22">
        <f>IF(OR($E67=0,O$78=0),0,IF(AND(O67="N/A",$G67&lt;&gt;""),0,$F67+SUMPRODUCT(($G$14:$G$71=$A67)*($E$14:$E$71=1)*(O$14:O$71="N/A")*$F$14:$F$71)))</f>
        <v/>
      </c>
      <c r="Q67" s="22">
        <f>IF(O67="SI",P67,0)</f>
        <v/>
      </c>
      <c r="R67" s="21" t="n"/>
      <c r="S67" s="22">
        <f>IF(OR($E67=0,R$78=0),0,IF(AND(R67="N/A",$G67&lt;&gt;""),0,$F67+SUMPRODUCT(($G$14:$G$71=$A67)*($E$14:$E$71=1)*(R$14:R$71="N/A")*$F$14:$F$71)))</f>
        <v/>
      </c>
      <c r="T67" s="22">
        <f>IF(R67="SI",S67,0)</f>
        <v/>
      </c>
      <c r="U67" s="21" t="n"/>
      <c r="V67" s="22">
        <f>IF(OR($E67=0,U$78=0),0,IF(AND(U67="N/A",$G67&lt;&gt;""),0,$F67+SUMPRODUCT(($G$14:$G$71=$A67)*($E$14:$E$71=1)*(U$14:U$71="N/A")*$F$14:$F$71)))</f>
        <v/>
      </c>
      <c r="W67" s="22">
        <f>IF(U67="SI",V67,0)</f>
        <v/>
      </c>
      <c r="X67" s="21" t="n"/>
      <c r="Y67" s="22">
        <f>IF(OR($E67=0,X$78=0),0,IF(AND(X67="N/A",$G67&lt;&gt;""),0,$F67+SUMPRODUCT(($G$14:$G$71=$A67)*($E$14:$E$71=1)*(X$14:X$71="N/A")*$F$14:$F$71)))</f>
        <v/>
      </c>
      <c r="Z67" s="22">
        <f>IF(X67="SI",Y67,0)</f>
        <v/>
      </c>
      <c r="AA67" s="22">
        <f>SUM(J67,M67,P67,S67,V67,Y67)</f>
        <v/>
      </c>
      <c r="AB67" s="22">
        <f>SUM(K67,N67,Q67,T67,W67,Z67)</f>
        <v/>
      </c>
      <c r="AC67" s="23">
        <f>IF(AA67=0,"",AB67/AA67)</f>
        <v/>
      </c>
      <c r="AD67" s="22">
        <f>CRITERIOS!Q55</f>
        <v/>
      </c>
      <c r="AE67" s="22">
        <f>IF(AND(E67=1,H67&lt;&gt;"X",((I67="N/A")+(L67="N/A")+(O67="N/A")+(R67="N/A")+(U67="N/A")+(X67="N/A"))&gt;0),"REVISAR","")</f>
        <v/>
      </c>
    </row>
    <row r="68">
      <c r="A68" s="24">
        <f>CRITERIOS!B56</f>
        <v/>
      </c>
      <c r="B68" s="24">
        <f>CRITERIOS!C56</f>
        <v/>
      </c>
      <c r="C68" s="25">
        <f>CRITERIOS!D56</f>
        <v/>
      </c>
      <c r="D68" s="24">
        <f>CRITERIOS!E56</f>
        <v/>
      </c>
      <c r="E68" s="24">
        <f>IFERROR(IF(AND(OR(CRITERIOS!F56="Todos",CRITERIOS!F56=$B$4),INDEX(CRITERIOS!H56:J56,MATCH($B$5,VARIABLES!$E$2:$E$4,0))=1),1,0),0)</f>
        <v/>
      </c>
      <c r="F68" s="24">
        <f>IFERROR(IF(E68=1,INDEX(CRITERIOS!K56:M56,MATCH($B$5,VARIABLES!$E$2:$E$4,0)),0),0)</f>
        <v/>
      </c>
      <c r="G68" s="24">
        <f>IF(CRITERIOS!N56="","",CRITERIOS!N56)</f>
        <v/>
      </c>
      <c r="H68" s="24">
        <f>IF(CRITERIOS!O56="","",CRITERIOS!O56)</f>
        <v/>
      </c>
      <c r="I68" s="21" t="n"/>
      <c r="J68" s="22">
        <f>IF(OR($E68=0,I$78=0),0,IF(AND(I68="N/A",$G68&lt;&gt;""),0,$F68+SUMPRODUCT(($G$14:$G$71=$A68)*($E$14:$E$71=1)*(I$14:I$71="N/A")*$F$14:$F$71)))</f>
        <v/>
      </c>
      <c r="K68" s="22">
        <f>IF(I68="SI",J68,0)</f>
        <v/>
      </c>
      <c r="L68" s="21" t="n"/>
      <c r="M68" s="22">
        <f>IF(OR($E68=0,L$78=0),0,IF(AND(L68="N/A",$G68&lt;&gt;""),0,$F68+SUMPRODUCT(($G$14:$G$71=$A68)*($E$14:$E$71=1)*(L$14:L$71="N/A")*$F$14:$F$71)))</f>
        <v/>
      </c>
      <c r="N68" s="22">
        <f>IF(L68="SI",M68,0)</f>
        <v/>
      </c>
      <c r="O68" s="21" t="n"/>
      <c r="P68" s="22">
        <f>IF(OR($E68=0,O$78=0),0,IF(AND(O68="N/A",$G68&lt;&gt;""),0,$F68+SUMPRODUCT(($G$14:$G$71=$A68)*($E$14:$E$71=1)*(O$14:O$71="N/A")*$F$14:$F$71)))</f>
        <v/>
      </c>
      <c r="Q68" s="22">
        <f>IF(O68="SI",P68,0)</f>
        <v/>
      </c>
      <c r="R68" s="21" t="n"/>
      <c r="S68" s="22">
        <f>IF(OR($E68=0,R$78=0),0,IF(AND(R68="N/A",$G68&lt;&gt;""),0,$F68+SUMPRODUCT(($G$14:$G$71=$A68)*($E$14:$E$71=1)*(R$14:R$71="N/A")*$F$14:$F$71)))</f>
        <v/>
      </c>
      <c r="T68" s="22">
        <f>IF(R68="SI",S68,0)</f>
        <v/>
      </c>
      <c r="U68" s="21" t="n"/>
      <c r="V68" s="22">
        <f>IF(OR($E68=0,U$78=0),0,IF(AND(U68="N/A",$G68&lt;&gt;""),0,$F68+SUMPRODUCT(($G$14:$G$71=$A68)*($E$14:$E$71=1)*(U$14:U$71="N/A")*$F$14:$F$71)))</f>
        <v/>
      </c>
      <c r="W68" s="22">
        <f>IF(U68="SI",V68,0)</f>
        <v/>
      </c>
      <c r="X68" s="21" t="n"/>
      <c r="Y68" s="22">
        <f>IF(OR($E68=0,X$78=0),0,IF(AND(X68="N/A",$G68&lt;&gt;""),0,$F68+SUMPRODUCT(($G$14:$G$71=$A68)*($E$14:$E$71=1)*(X$14:X$71="N/A")*$F$14:$F$71)))</f>
        <v/>
      </c>
      <c r="Z68" s="22">
        <f>IF(X68="SI",Y68,0)</f>
        <v/>
      </c>
      <c r="AA68" s="22">
        <f>SUM(J68,M68,P68,S68,V68,Y68)</f>
        <v/>
      </c>
      <c r="AB68" s="22">
        <f>SUM(K68,N68,Q68,T68,W68,Z68)</f>
        <v/>
      </c>
      <c r="AC68" s="23">
        <f>IF(AA68=0,"",AB68/AA68)</f>
        <v/>
      </c>
      <c r="AD68" s="22">
        <f>CRITERIOS!Q56</f>
        <v/>
      </c>
      <c r="AE68" s="22">
        <f>IF(AND(E68=1,H68&lt;&gt;"X",((I68="N/A")+(L68="N/A")+(O68="N/A")+(R68="N/A")+(U68="N/A")+(X68="N/A"))&gt;0),"REVISAR","")</f>
        <v/>
      </c>
    </row>
    <row r="69">
      <c r="A69" s="22">
        <f>CRITERIOS!B57</f>
        <v/>
      </c>
      <c r="B69" s="22">
        <f>CRITERIOS!C57</f>
        <v/>
      </c>
      <c r="C69" s="8">
        <f>CRITERIOS!D57</f>
        <v/>
      </c>
      <c r="D69" s="22">
        <f>CRITERIOS!E57</f>
        <v/>
      </c>
      <c r="E69" s="22">
        <f>IFERROR(IF(AND(OR(CRITERIOS!F57="Todos",CRITERIOS!F57=$B$4),INDEX(CRITERIOS!H57:J57,MATCH($B$5,VARIABLES!$E$2:$E$4,0))=1),1,0),0)</f>
        <v/>
      </c>
      <c r="F69" s="22">
        <f>IFERROR(IF(E69=1,INDEX(CRITERIOS!K57:M57,MATCH($B$5,VARIABLES!$E$2:$E$4,0)),0),0)</f>
        <v/>
      </c>
      <c r="G69" s="22">
        <f>IF(CRITERIOS!N57="","",CRITERIOS!N57)</f>
        <v/>
      </c>
      <c r="H69" s="22">
        <f>IF(CRITERIOS!O57="","",CRITERIOS!O57)</f>
        <v/>
      </c>
      <c r="I69" s="21" t="n"/>
      <c r="J69" s="22">
        <f>IF(OR($E69=0,I$78=0),0,IF(AND(I69="N/A",$G69&lt;&gt;""),0,$F69+SUMPRODUCT(($G$14:$G$71=$A69)*($E$14:$E$71=1)*(I$14:I$71="N/A")*$F$14:$F$71)))</f>
        <v/>
      </c>
      <c r="K69" s="22">
        <f>IF(I69="SI",J69,0)</f>
        <v/>
      </c>
      <c r="L69" s="21" t="n"/>
      <c r="M69" s="22">
        <f>IF(OR($E69=0,L$78=0),0,IF(AND(L69="N/A",$G69&lt;&gt;""),0,$F69+SUMPRODUCT(($G$14:$G$71=$A69)*($E$14:$E$71=1)*(L$14:L$71="N/A")*$F$14:$F$71)))</f>
        <v/>
      </c>
      <c r="N69" s="22">
        <f>IF(L69="SI",M69,0)</f>
        <v/>
      </c>
      <c r="O69" s="21" t="n"/>
      <c r="P69" s="22">
        <f>IF(OR($E69=0,O$78=0),0,IF(AND(O69="N/A",$G69&lt;&gt;""),0,$F69+SUMPRODUCT(($G$14:$G$71=$A69)*($E$14:$E$71=1)*(O$14:O$71="N/A")*$F$14:$F$71)))</f>
        <v/>
      </c>
      <c r="Q69" s="22">
        <f>IF(O69="SI",P69,0)</f>
        <v/>
      </c>
      <c r="R69" s="21" t="n"/>
      <c r="S69" s="22">
        <f>IF(OR($E69=0,R$78=0),0,IF(AND(R69="N/A",$G69&lt;&gt;""),0,$F69+SUMPRODUCT(($G$14:$G$71=$A69)*($E$14:$E$71=1)*(R$14:R$71="N/A")*$F$14:$F$71)))</f>
        <v/>
      </c>
      <c r="T69" s="22">
        <f>IF(R69="SI",S69,0)</f>
        <v/>
      </c>
      <c r="U69" s="21" t="n"/>
      <c r="V69" s="22">
        <f>IF(OR($E69=0,U$78=0),0,IF(AND(U69="N/A",$G69&lt;&gt;""),0,$F69+SUMPRODUCT(($G$14:$G$71=$A69)*($E$14:$E$71=1)*(U$14:U$71="N/A")*$F$14:$F$71)))</f>
        <v/>
      </c>
      <c r="W69" s="22">
        <f>IF(U69="SI",V69,0)</f>
        <v/>
      </c>
      <c r="X69" s="21" t="n"/>
      <c r="Y69" s="22">
        <f>IF(OR($E69=0,X$78=0),0,IF(AND(X69="N/A",$G69&lt;&gt;""),0,$F69+SUMPRODUCT(($G$14:$G$71=$A69)*($E$14:$E$71=1)*(X$14:X$71="N/A")*$F$14:$F$71)))</f>
        <v/>
      </c>
      <c r="Z69" s="22">
        <f>IF(X69="SI",Y69,0)</f>
        <v/>
      </c>
      <c r="AA69" s="22">
        <f>SUM(J69,M69,P69,S69,V69,Y69)</f>
        <v/>
      </c>
      <c r="AB69" s="22">
        <f>SUM(K69,N69,Q69,T69,W69,Z69)</f>
        <v/>
      </c>
      <c r="AC69" s="23">
        <f>IF(AA69=0,"",AB69/AA69)</f>
        <v/>
      </c>
      <c r="AD69" s="22">
        <f>CRITERIOS!Q57</f>
        <v/>
      </c>
      <c r="AE69" s="22">
        <f>IF(AND(E69=1,H69&lt;&gt;"X",((I69="N/A")+(L69="N/A")+(O69="N/A")+(R69="N/A")+(U69="N/A")+(X69="N/A"))&gt;0),"REVISAR","")</f>
        <v/>
      </c>
    </row>
    <row r="70">
      <c r="A70" s="22">
        <f>CRITERIOS!B58</f>
        <v/>
      </c>
      <c r="B70" s="22">
        <f>CRITERIOS!C58</f>
        <v/>
      </c>
      <c r="C70" s="8">
        <f>CRITERIOS!D58</f>
        <v/>
      </c>
      <c r="D70" s="22">
        <f>CRITERIOS!E58</f>
        <v/>
      </c>
      <c r="E70" s="22">
        <f>IFERROR(IF(AND(OR(CRITERIOS!F58="Todos",CRITERIOS!F58=$B$4),INDEX(CRITERIOS!H58:J58,MATCH($B$5,VARIABLES!$E$2:$E$4,0))=1),1,0),0)</f>
        <v/>
      </c>
      <c r="F70" s="22">
        <f>IFERROR(IF(E70=1,INDEX(CRITERIOS!K58:M58,MATCH($B$5,VARIABLES!$E$2:$E$4,0)),0),0)</f>
        <v/>
      </c>
      <c r="G70" s="22">
        <f>IF(CRITERIOS!N58="","",CRITERIOS!N58)</f>
        <v/>
      </c>
      <c r="H70" s="22">
        <f>IF(CRITERIOS!O58="","",CRITERIOS!O58)</f>
        <v/>
      </c>
      <c r="I70" s="21" t="n"/>
      <c r="J70" s="22">
        <f>IF(OR($E70=0,I$78=0),0,IF(AND(I70="N/A",$G70&lt;&gt;""),0,$F70+SUMPRODUCT(($G$14:$G$71=$A70)*($E$14:$E$71=1)*(I$14:I$71="N/A")*$F$14:$F$71)))</f>
        <v/>
      </c>
      <c r="K70" s="22">
        <f>IF(I70="SI",J70,0)</f>
        <v/>
      </c>
      <c r="L70" s="21" t="n"/>
      <c r="M70" s="22">
        <f>IF(OR($E70=0,L$78=0),0,IF(AND(L70="N/A",$G70&lt;&gt;""),0,$F70+SUMPRODUCT(($G$14:$G$71=$A70)*($E$14:$E$71=1)*(L$14:L$71="N/A")*$F$14:$F$71)))</f>
        <v/>
      </c>
      <c r="N70" s="22">
        <f>IF(L70="SI",M70,0)</f>
        <v/>
      </c>
      <c r="O70" s="21" t="n"/>
      <c r="P70" s="22">
        <f>IF(OR($E70=0,O$78=0),0,IF(AND(O70="N/A",$G70&lt;&gt;""),0,$F70+SUMPRODUCT(($G$14:$G$71=$A70)*($E$14:$E$71=1)*(O$14:O$71="N/A")*$F$14:$F$71)))</f>
        <v/>
      </c>
      <c r="Q70" s="22">
        <f>IF(O70="SI",P70,0)</f>
        <v/>
      </c>
      <c r="R70" s="21" t="n"/>
      <c r="S70" s="22">
        <f>IF(OR($E70=0,R$78=0),0,IF(AND(R70="N/A",$G70&lt;&gt;""),0,$F70+SUMPRODUCT(($G$14:$G$71=$A70)*($E$14:$E$71=1)*(R$14:R$71="N/A")*$F$14:$F$71)))</f>
        <v/>
      </c>
      <c r="T70" s="22">
        <f>IF(R70="SI",S70,0)</f>
        <v/>
      </c>
      <c r="U70" s="21" t="n"/>
      <c r="V70" s="22">
        <f>IF(OR($E70=0,U$78=0),0,IF(AND(U70="N/A",$G70&lt;&gt;""),0,$F70+SUMPRODUCT(($G$14:$G$71=$A70)*($E$14:$E$71=1)*(U$14:U$71="N/A")*$F$14:$F$71)))</f>
        <v/>
      </c>
      <c r="W70" s="22">
        <f>IF(U70="SI",V70,0)</f>
        <v/>
      </c>
      <c r="X70" s="21" t="n"/>
      <c r="Y70" s="22">
        <f>IF(OR($E70=0,X$78=0),0,IF(AND(X70="N/A",$G70&lt;&gt;""),0,$F70+SUMPRODUCT(($G$14:$G$71=$A70)*($E$14:$E$71=1)*(X$14:X$71="N/A")*$F$14:$F$71)))</f>
        <v/>
      </c>
      <c r="Z70" s="22">
        <f>IF(X70="SI",Y70,0)</f>
        <v/>
      </c>
      <c r="AA70" s="22">
        <f>SUM(J70,M70,P70,S70,V70,Y70)</f>
        <v/>
      </c>
      <c r="AB70" s="22">
        <f>SUM(K70,N70,Q70,T70,W70,Z70)</f>
        <v/>
      </c>
      <c r="AC70" s="23">
        <f>IF(AA70=0,"",AB70/AA70)</f>
        <v/>
      </c>
      <c r="AD70" s="22">
        <f>CRITERIOS!Q58</f>
        <v/>
      </c>
      <c r="AE70" s="22">
        <f>IF(AND(E70=1,H70&lt;&gt;"X",((I70="N/A")+(L70="N/A")+(O70="N/A")+(R70="N/A")+(U70="N/A")+(X70="N/A"))&gt;0),"REVISAR","")</f>
        <v/>
      </c>
    </row>
    <row r="71">
      <c r="A71" s="24">
        <f>CRITERIOS!B59</f>
        <v/>
      </c>
      <c r="B71" s="24">
        <f>CRITERIOS!C59</f>
        <v/>
      </c>
      <c r="C71" s="25">
        <f>CRITERIOS!D59</f>
        <v/>
      </c>
      <c r="D71" s="24">
        <f>CRITERIOS!E59</f>
        <v/>
      </c>
      <c r="E71" s="24">
        <f>IFERROR(IF(AND(OR(CRITERIOS!F59="Todos",CRITERIOS!F59=$B$4),INDEX(CRITERIOS!H59:J59,MATCH($B$5,VARIABLES!$E$2:$E$4,0))=1),1,0),0)</f>
        <v/>
      </c>
      <c r="F71" s="24">
        <f>IFERROR(IF(E71=1,INDEX(CRITERIOS!K59:M59,MATCH($B$5,VARIABLES!$E$2:$E$4,0)),0),0)</f>
        <v/>
      </c>
      <c r="G71" s="24">
        <f>IF(CRITERIOS!N59="","",CRITERIOS!N59)</f>
        <v/>
      </c>
      <c r="H71" s="24">
        <f>IF(CRITERIOS!O59="","",CRITERIOS!O59)</f>
        <v/>
      </c>
      <c r="I71" s="21" t="n"/>
      <c r="J71" s="22">
        <f>IF(OR($E71=0,I$78=0),0,IF(AND(I71="N/A",$G71&lt;&gt;""),0,$F71+SUMPRODUCT(($G$14:$G$71=$A71)*($E$14:$E$71=1)*(I$14:I$71="N/A")*$F$14:$F$71)))</f>
        <v/>
      </c>
      <c r="K71" s="22">
        <f>IF(I71="SI",J71,0)</f>
        <v/>
      </c>
      <c r="L71" s="21" t="n"/>
      <c r="M71" s="22">
        <f>IF(OR($E71=0,L$78=0),0,IF(AND(L71="N/A",$G71&lt;&gt;""),0,$F71+SUMPRODUCT(($G$14:$G$71=$A71)*($E$14:$E$71=1)*(L$14:L$71="N/A")*$F$14:$F$71)))</f>
        <v/>
      </c>
      <c r="N71" s="22">
        <f>IF(L71="SI",M71,0)</f>
        <v/>
      </c>
      <c r="O71" s="21" t="n"/>
      <c r="P71" s="22">
        <f>IF(OR($E71=0,O$78=0),0,IF(AND(O71="N/A",$G71&lt;&gt;""),0,$F71+SUMPRODUCT(($G$14:$G$71=$A71)*($E$14:$E$71=1)*(O$14:O$71="N/A")*$F$14:$F$71)))</f>
        <v/>
      </c>
      <c r="Q71" s="22">
        <f>IF(O71="SI",P71,0)</f>
        <v/>
      </c>
      <c r="R71" s="21" t="n"/>
      <c r="S71" s="22">
        <f>IF(OR($E71=0,R$78=0),0,IF(AND(R71="N/A",$G71&lt;&gt;""),0,$F71+SUMPRODUCT(($G$14:$G$71=$A71)*($E$14:$E$71=1)*(R$14:R$71="N/A")*$F$14:$F$71)))</f>
        <v/>
      </c>
      <c r="T71" s="22">
        <f>IF(R71="SI",S71,0)</f>
        <v/>
      </c>
      <c r="U71" s="21" t="n"/>
      <c r="V71" s="22">
        <f>IF(OR($E71=0,U$78=0),0,IF(AND(U71="N/A",$G71&lt;&gt;""),0,$F71+SUMPRODUCT(($G$14:$G$71=$A71)*($E$14:$E$71=1)*(U$14:U$71="N/A")*$F$14:$F$71)))</f>
        <v/>
      </c>
      <c r="W71" s="22">
        <f>IF(U71="SI",V71,0)</f>
        <v/>
      </c>
      <c r="X71" s="21" t="n"/>
      <c r="Y71" s="22">
        <f>IF(OR($E71=0,X$78=0),0,IF(AND(X71="N/A",$G71&lt;&gt;""),0,$F71+SUMPRODUCT(($G$14:$G$71=$A71)*($E$14:$E$71=1)*(X$14:X$71="N/A")*$F$14:$F$71)))</f>
        <v/>
      </c>
      <c r="Z71" s="22">
        <f>IF(X71="SI",Y71,0)</f>
        <v/>
      </c>
      <c r="AA71" s="22">
        <f>SUM(J71,M71,P71,S71,V71,Y71)</f>
        <v/>
      </c>
      <c r="AB71" s="22">
        <f>SUM(K71,N71,Q71,T71,W71,Z71)</f>
        <v/>
      </c>
      <c r="AC71" s="23">
        <f>IF(AA71=0,"",AB71/AA71)</f>
        <v/>
      </c>
      <c r="AD71" s="22">
        <f>CRITERIOS!Q59</f>
        <v/>
      </c>
      <c r="AE71" s="22">
        <f>IF(AND(E71=1,H71&lt;&gt;"X",((I71="N/A")+(L71="N/A")+(O71="N/A")+(R71="N/A")+(U71="N/A")+(X71="N/A"))&gt;0),"REVISAR","")</f>
        <v/>
      </c>
    </row>
    <row r="73">
      <c r="C73" s="4" t="inlineStr">
        <is>
          <t>Puntaje de la conversación (/100)</t>
        </is>
      </c>
      <c r="K73" s="26">
        <f>IF(I78=1,SUM(K14:K71),"")</f>
        <v/>
      </c>
      <c r="N73" s="26">
        <f>IF(L78=1,SUM(N14:N71),"")</f>
        <v/>
      </c>
      <c r="Q73" s="26">
        <f>IF(O78=1,SUM(Q14:Q71),"")</f>
        <v/>
      </c>
      <c r="T73" s="26">
        <f>IF(R78=1,SUM(T14:T71),"")</f>
        <v/>
      </c>
      <c r="W73" s="26">
        <f>IF(U78=1,SUM(W14:W71),"")</f>
        <v/>
      </c>
      <c r="Z73" s="26">
        <f>IF(X78=1,SUM(Z14:Z71),"")</f>
        <v/>
      </c>
    </row>
    <row r="74">
      <c r="C74" s="4" t="inlineStr">
        <is>
          <t>Fase I: HD con NO (1 = reprueba)</t>
        </is>
      </c>
      <c r="I74">
        <f>IF(I78=1,IF(COUNTIFS($D$14:$D$71,"Control HD",I14:I71,"NO")&gt;0,1,0),0)</f>
        <v/>
      </c>
      <c r="L74">
        <f>IF(L78=1,IF(COUNTIFS($D$14:$D$71,"Control HD",L14:L71,"NO")&gt;0,1,0),0)</f>
        <v/>
      </c>
      <c r="O74">
        <f>IF(O78=1,IF(COUNTIFS($D$14:$D$71,"Control HD",O14:O71,"NO")&gt;0,1,0),0)</f>
        <v/>
      </c>
      <c r="R74">
        <f>IF(R78=1,IF(COUNTIFS($D$14:$D$71,"Control HD",R14:R71,"NO")&gt;0,1,0),0)</f>
        <v/>
      </c>
      <c r="U74">
        <f>IF(U78=1,IF(COUNTIFS($D$14:$D$71,"Control HD",U14:U71,"NO")&gt;0,1,0),0)</f>
        <v/>
      </c>
      <c r="X74">
        <f>IF(X78=1,IF(COUNTIFS($D$14:$D$71,"Control HD",X14:X71,"NO")&gt;0,1,0),0)</f>
        <v/>
      </c>
    </row>
    <row r="75">
      <c r="C75" s="4" t="inlineStr">
        <is>
          <t>ECU con error (1 = sí)</t>
        </is>
      </c>
      <c r="I75">
        <f>IF(I78=1,IF(COUNTIFS($D$14:$D$71,"ECU",I14:I71,"NO")&gt;0,1,0),0)</f>
        <v/>
      </c>
      <c r="L75">
        <f>IF(L78=1,IF(COUNTIFS($D$14:$D$71,"ECU",L14:L71,"NO")&gt;0,1,0),0)</f>
        <v/>
      </c>
      <c r="O75">
        <f>IF(O78=1,IF(COUNTIFS($D$14:$D$71,"ECU",O14:O71,"NO")&gt;0,1,0),0)</f>
        <v/>
      </c>
      <c r="R75">
        <f>IF(R78=1,IF(COUNTIFS($D$14:$D$71,"ECU",R14:R71,"NO")&gt;0,1,0),0)</f>
        <v/>
      </c>
      <c r="U75">
        <f>IF(U78=1,IF(COUNTIFS($D$14:$D$71,"ECU",U14:U71,"NO")&gt;0,1,0),0)</f>
        <v/>
      </c>
      <c r="X75">
        <f>IF(X78=1,IF(COUNTIFS($D$14:$D$71,"ECU",X14:X71,"NO")&gt;0,1,0),0)</f>
        <v/>
      </c>
    </row>
    <row r="76">
      <c r="C76" s="4" t="inlineStr">
        <is>
          <t>ECN con error (1 = sí)</t>
        </is>
      </c>
      <c r="I76">
        <f>IF(I78=1,IF(COUNTIFS($D$14:$D$71,"ECN",I14:I71,"NO")&gt;0,1,0),0)</f>
        <v/>
      </c>
      <c r="L76">
        <f>IF(L78=1,IF(COUNTIFS($D$14:$D$71,"ECN",L14:L71,"NO")&gt;0,1,0),0)</f>
        <v/>
      </c>
      <c r="O76">
        <f>IF(O78=1,IF(COUNTIFS($D$14:$D$71,"ECN",O14:O71,"NO")&gt;0,1,0),0)</f>
        <v/>
      </c>
      <c r="R76">
        <f>IF(R78=1,IF(COUNTIFS($D$14:$D$71,"ECN",R14:R71,"NO")&gt;0,1,0),0)</f>
        <v/>
      </c>
      <c r="U76">
        <f>IF(U78=1,IF(COUNTIFS($D$14:$D$71,"ECN",U14:U71,"NO")&gt;0,1,0),0)</f>
        <v/>
      </c>
      <c r="X76">
        <f>IF(X78=1,IF(COUNTIFS($D$14:$D$71,"ECN",X14:X71,"NO")&gt;0,1,0),0)</f>
        <v/>
      </c>
    </row>
    <row r="77">
      <c r="C77" s="4" t="inlineStr">
        <is>
          <t>ECC con error (1 = sí)</t>
        </is>
      </c>
      <c r="I77">
        <f>IF(I78=1,IF(COUNTIFS($D$14:$D$71,"ECC",I14:I71,"NO")&gt;0,1,0),0)</f>
        <v/>
      </c>
      <c r="L77">
        <f>IF(L78=1,IF(COUNTIFS($D$14:$D$71,"ECC",L14:L71,"NO")&gt;0,1,0),0)</f>
        <v/>
      </c>
      <c r="O77">
        <f>IF(O78=1,IF(COUNTIFS($D$14:$D$71,"ECC",O14:O71,"NO")&gt;0,1,0),0)</f>
        <v/>
      </c>
      <c r="R77">
        <f>IF(R78=1,IF(COUNTIFS($D$14:$D$71,"ECC",R14:R71,"NO")&gt;0,1,0),0)</f>
        <v/>
      </c>
      <c r="U77">
        <f>IF(U78=1,IF(COUNTIFS($D$14:$D$71,"ECC",U14:U71,"NO")&gt;0,1,0),0)</f>
        <v/>
      </c>
      <c r="X77">
        <f>IF(X78=1,IF(COUNTIFS($D$14:$D$71,"ECC",X14:X71,"NO")&gt;0,1,0),0)</f>
        <v/>
      </c>
    </row>
    <row r="78">
      <c r="C78" s="4" t="inlineStr">
        <is>
          <t>Conversación evaluada (1 = sí)</t>
        </is>
      </c>
      <c r="I78">
        <f>IF(COUNTA(I14:I71)&gt;0,1,0)</f>
        <v/>
      </c>
      <c r="L78">
        <f>IF(COUNTA(L14:L71)&gt;0,1,0)</f>
        <v/>
      </c>
      <c r="O78">
        <f>IF(COUNTA(O14:O71)&gt;0,1,0)</f>
        <v/>
      </c>
      <c r="R78">
        <f>IF(COUNTA(R14:R71)&gt;0,1,0)</f>
        <v/>
      </c>
      <c r="U78">
        <f>IF(COUNTA(U14:U71)&gt;0,1,0)</f>
        <v/>
      </c>
      <c r="X78">
        <f>IF(COUNTA(X14:X71)&gt;0,1,0)</f>
        <v/>
      </c>
    </row>
    <row r="79">
      <c r="C79" s="4" t="inlineStr">
        <is>
          <t>Casillas aplicables sin diligenciar</t>
        </is>
      </c>
      <c r="I79">
        <f>IF(I78=1,SUMPRODUCT(($E$14:$E$71=1)*(I14:I71="")),0)</f>
        <v/>
      </c>
      <c r="L79">
        <f>IF(L78=1,SUMPRODUCT(($E$14:$E$71=1)*(L14:L71="")),0)</f>
        <v/>
      </c>
      <c r="O79">
        <f>IF(O78=1,SUMPRODUCT(($E$14:$E$71=1)*(O14:O71="")),0)</f>
        <v/>
      </c>
      <c r="R79">
        <f>IF(R78=1,SUMPRODUCT(($E$14:$E$71=1)*(R14:R71="")),0)</f>
        <v/>
      </c>
      <c r="U79">
        <f>IF(U78=1,SUMPRODUCT(($E$14:$E$71=1)*(U14:U71="")),0)</f>
        <v/>
      </c>
      <c r="X79">
        <f>IF(X78=1,SUMPRODUCT(($E$14:$E$71=1)*(X14:X71="")),0)</f>
        <v/>
      </c>
    </row>
  </sheetData>
  <mergeCells count="18">
    <mergeCell ref="X10:Z10"/>
    <mergeCell ref="I11:K11"/>
    <mergeCell ref="X11:Z11"/>
    <mergeCell ref="I10:K10"/>
    <mergeCell ref="L11:N11"/>
    <mergeCell ref="L10:N10"/>
    <mergeCell ref="R11:T11"/>
    <mergeCell ref="R10:T10"/>
    <mergeCell ref="X9:Z9"/>
    <mergeCell ref="U10:W10"/>
    <mergeCell ref="I9:K9"/>
    <mergeCell ref="O9:Q9"/>
    <mergeCell ref="L9:N9"/>
    <mergeCell ref="R9:T9"/>
    <mergeCell ref="U9:W9"/>
    <mergeCell ref="U11:W11"/>
    <mergeCell ref="O10:Q10"/>
    <mergeCell ref="O11:Q11"/>
  </mergeCells>
  <dataValidations count="5">
    <dataValidation sqref="I14:I71 L14:L71 O14:O71 R14:R71 U14:U71 X14:X71" showDropDown="0" showInputMessage="0" showErrorMessage="0" allowBlank="1" type="list">
      <formula1>"SI,NO,N/A"</formula1>
    </dataValidation>
    <dataValidation sqref="B4" showDropDown="0" showInputMessage="0" showErrorMessage="0" allowBlank="1" type="list">
      <formula1>VARIABLES!$D$2:$D$5</formula1>
    </dataValidation>
    <dataValidation sqref="B5" showDropDown="0" showInputMessage="0" showErrorMessage="0" allowBlank="1" type="list">
      <formula1>VARIABLES!$E$2:$E$4</formula1>
    </dataValidation>
    <dataValidation sqref="I11 L11 O11 R11 U11 X11" showDropDown="0" showInputMessage="0" showErrorMessage="0" allowBlank="1" type="list">
      <formula1>VARIABLES!$B$2:$B$3</formula1>
    </dataValidation>
    <dataValidation sqref="B6" showDropDown="0" showInputMessage="0" showErrorMessage="0" allowBlank="1" type="list">
      <formula1>VARIABLES!$C$2:$C$13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9"/>
  <sheetViews>
    <sheetView workbookViewId="0">
      <pane xSplit="3" ySplit="13" topLeftCell="D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60" customWidth="1" min="3" max="3"/>
    <col width="11" customWidth="1" min="4" max="4"/>
    <col outlineLevel="1" width="7" customWidth="1" min="5" max="5"/>
    <col outlineLevel="1" width="7" customWidth="1" min="6" max="6"/>
    <col outlineLevel="1" width="9" customWidth="1" min="7" max="7"/>
    <col outlineLevel="1" width="8" customWidth="1" min="8" max="8"/>
    <col width="11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11" customWidth="1" min="15" max="15"/>
    <col width="8" customWidth="1" min="16" max="16"/>
    <col width="8" customWidth="1" min="17" max="17"/>
    <col width="11" customWidth="1" min="18" max="18"/>
    <col width="8" customWidth="1" min="19" max="19"/>
    <col width="8" customWidth="1" min="20" max="20"/>
    <col width="11" customWidth="1" min="21" max="21"/>
    <col width="8" customWidth="1" min="22" max="22"/>
    <col width="8" customWidth="1" min="23" max="23"/>
    <col width="11" customWidth="1" min="24" max="24"/>
    <col width="8" customWidth="1" min="25" max="25"/>
    <col width="8" customWidth="1" min="26" max="26"/>
    <col outlineLevel="1" width="10" customWidth="1" min="27" max="27"/>
    <col outlineLevel="1" width="10" customWidth="1" min="28" max="28"/>
    <col width="10" customWidth="1" min="29" max="29"/>
    <col outlineLevel="1" width="10" customWidth="1" min="30" max="30"/>
    <col width="10" customWidth="1" min="31" max="31"/>
  </cols>
  <sheetData>
    <row r="1">
      <c r="A1" s="3" t="inlineStr">
        <is>
          <t>FORMATO DE MONITOREO COMERCIAL · PREVENTA Y VENTA</t>
        </is>
      </c>
    </row>
    <row r="3">
      <c r="A3" s="4" t="inlineStr">
        <is>
          <t>Asesor</t>
        </is>
      </c>
      <c r="B3" s="5" t="n"/>
      <c r="I3" s="4" t="inlineStr">
        <is>
          <t>Fase I (Habeas Data)</t>
        </is>
      </c>
      <c r="P3" s="16">
        <f>IF($B$7=0,"",IF(SUM(I74,L74,O74,R74,U74,X74)&gt;0,"Reprobada","Aprobada"))</f>
        <v/>
      </c>
      <c r="S3" s="4" t="inlineStr">
        <is>
          <t>ECU · % sin error</t>
        </is>
      </c>
      <c r="Z3" s="17">
        <f>IF($B$7=0,"",1-SUM(I75,L75,O75,R75,U75,X75)/$B$7)</f>
        <v/>
      </c>
    </row>
    <row r="4">
      <c r="A4" s="4" t="inlineStr">
        <is>
          <t>Canal</t>
        </is>
      </c>
      <c r="B4" s="5" t="n"/>
      <c r="I4" s="4" t="inlineStr">
        <is>
          <t>Nota /100</t>
        </is>
      </c>
      <c r="P4" s="18">
        <f>IF($B$7=0,"",IF(P3="Reprobada",0,AVERAGE(K73,N73,Q73,T73,W73,Z73)*1))</f>
        <v/>
      </c>
      <c r="S4" s="4" t="inlineStr">
        <is>
          <t>ECN · % sin error</t>
        </is>
      </c>
      <c r="Z4" s="17">
        <f>IF($B$7=0,"",1-SUM(I76,L76,O76,R76,U76,X76)/$B$7)</f>
        <v/>
      </c>
    </row>
    <row r="5">
      <c r="A5" s="4" t="inlineStr">
        <is>
          <t>Gestión</t>
        </is>
      </c>
      <c r="B5" s="5" t="n"/>
      <c r="I5" s="4" t="inlineStr">
        <is>
          <t>Nota /300</t>
        </is>
      </c>
      <c r="P5" s="18">
        <f>IF(P4="","",P4*3)</f>
        <v/>
      </c>
      <c r="S5" s="4" t="inlineStr">
        <is>
          <t>ECC · % sin error</t>
        </is>
      </c>
      <c r="Z5" s="17">
        <f>IF($B$7=0,"",1-SUM(I77,L77,O77,R77,U77,X77)/$B$7)</f>
        <v/>
      </c>
    </row>
    <row r="6">
      <c r="A6" s="4" t="inlineStr">
        <is>
          <t>Mes</t>
        </is>
      </c>
      <c r="B6" s="5" t="n"/>
      <c r="I6" s="4" t="inlineStr">
        <is>
          <t>Nivel</t>
        </is>
      </c>
      <c r="P6" s="16">
        <f>IF(P4="","",IF(P3="Reprobada","Crítico",LOOKUP(P4/100,'TABLA GENERAL'!$I$7:$I$10,'TABLA GENERAL'!$F$7:$F$10)))</f>
        <v/>
      </c>
      <c r="S6" s="4" t="inlineStr">
        <is>
          <t>Alerta Dirección</t>
        </is>
      </c>
      <c r="Z6" s="16">
        <f>IF($B$7=0,"",IF(SUMPRODUCT($AD$14:$AD$71*((I14:I71="NO")+(L14:L71="NO")+(O14:O71="NO")+(R14:R71="NO")+(U14:U71="NO")+(X14:X71="NO")))&gt;0,"SÍ - reportar","No"))</f>
        <v/>
      </c>
    </row>
    <row r="7">
      <c r="A7" s="4" t="inlineStr">
        <is>
          <t>Conversaciones evaluadas</t>
        </is>
      </c>
      <c r="B7">
        <f>SUM(I78,L78,O78,R78,U78,X78)</f>
        <v/>
      </c>
      <c r="I7" s="4" t="inlineStr">
        <is>
          <t>Estado</t>
        </is>
      </c>
      <c r="P7" s="16">
        <f>IF(P4="","",IF(P3="Reprobada","Reprobado",IF(P4/100&gt;='TABLA GENERAL'!$C$21,"Aprobado","Plan de acción")))</f>
        <v/>
      </c>
      <c r="S7" s="4" t="inlineStr">
        <is>
          <t>Casillas por revisar</t>
        </is>
      </c>
      <c r="Z7" s="16">
        <f>SUM(I79,L79,O79,R79,U79,X79)+COUNTIF(AE14:AE71,"REVISAR")</f>
        <v/>
      </c>
    </row>
    <row r="9">
      <c r="I9" s="6" t="inlineStr">
        <is>
          <t>Conversación 1</t>
        </is>
      </c>
      <c r="L9" s="6" t="inlineStr">
        <is>
          <t>Conversación 2</t>
        </is>
      </c>
      <c r="O9" s="6" t="inlineStr">
        <is>
          <t>Conversación 3</t>
        </is>
      </c>
      <c r="R9" s="6" t="inlineStr">
        <is>
          <t>Conversación 4</t>
        </is>
      </c>
      <c r="U9" s="6" t="inlineStr">
        <is>
          <t>Conversación 5</t>
        </is>
      </c>
      <c r="X9" s="6" t="inlineStr">
        <is>
          <t>Conversación 6</t>
        </is>
      </c>
    </row>
    <row r="10">
      <c r="C10" s="4" t="inlineStr">
        <is>
          <t>Fecha / ID de la conversación</t>
        </is>
      </c>
      <c r="I10" s="5" t="n"/>
      <c r="L10" s="5" t="n"/>
      <c r="O10" s="5" t="n"/>
      <c r="R10" s="5" t="n"/>
      <c r="U10" s="5" t="n"/>
      <c r="X10" s="5" t="n"/>
    </row>
    <row r="11">
      <c r="C11" s="4" t="inlineStr">
        <is>
          <t>Modalidad</t>
        </is>
      </c>
      <c r="I11" s="5" t="n"/>
      <c r="L11" s="5" t="n"/>
      <c r="O11" s="5" t="n"/>
      <c r="R11" s="5" t="n"/>
      <c r="U11" s="5" t="n"/>
      <c r="X11" s="5" t="n"/>
    </row>
    <row r="13" ht="32" customHeight="1">
      <c r="A13" s="6" t="inlineStr">
        <is>
          <t>Código</t>
        </is>
      </c>
      <c r="B13" s="6" t="inlineStr">
        <is>
          <t>Dimensión</t>
        </is>
      </c>
      <c r="C13" s="6" t="inlineStr">
        <is>
          <t>Descripción</t>
        </is>
      </c>
      <c r="D13" s="6" t="inlineStr">
        <is>
          <t>Tipo</t>
        </is>
      </c>
      <c r="E13" s="6" t="inlineStr">
        <is>
          <t>Aplica</t>
        </is>
      </c>
      <c r="F13" s="6" t="inlineStr">
        <is>
          <t>Peso base</t>
        </is>
      </c>
      <c r="G13" s="6" t="inlineStr">
        <is>
          <t>Receptor N/A</t>
        </is>
      </c>
      <c r="H13" s="6" t="inlineStr">
        <is>
          <t>Admite N/A</t>
        </is>
      </c>
      <c r="I13" s="6" t="inlineStr">
        <is>
          <t>Resultado</t>
        </is>
      </c>
      <c r="J13" s="6" t="inlineStr">
        <is>
          <t>Peso estab.</t>
        </is>
      </c>
      <c r="K13" s="6" t="inlineStr">
        <is>
          <t>Peso logrado</t>
        </is>
      </c>
      <c r="L13" s="6" t="inlineStr">
        <is>
          <t>Resultado</t>
        </is>
      </c>
      <c r="M13" s="6" t="inlineStr">
        <is>
          <t>Peso estab.</t>
        </is>
      </c>
      <c r="N13" s="6" t="inlineStr">
        <is>
          <t>Peso logrado</t>
        </is>
      </c>
      <c r="O13" s="6" t="inlineStr">
        <is>
          <t>Resultado</t>
        </is>
      </c>
      <c r="P13" s="6" t="inlineStr">
        <is>
          <t>Peso estab.</t>
        </is>
      </c>
      <c r="Q13" s="6" t="inlineStr">
        <is>
          <t>Peso logrado</t>
        </is>
      </c>
      <c r="R13" s="6" t="inlineStr">
        <is>
          <t>Resultado</t>
        </is>
      </c>
      <c r="S13" s="6" t="inlineStr">
        <is>
          <t>Peso estab.</t>
        </is>
      </c>
      <c r="T13" s="6" t="inlineStr">
        <is>
          <t>Peso logrado</t>
        </is>
      </c>
      <c r="U13" s="6" t="inlineStr">
        <is>
          <t>Resultado</t>
        </is>
      </c>
      <c r="V13" s="6" t="inlineStr">
        <is>
          <t>Peso estab.</t>
        </is>
      </c>
      <c r="W13" s="6" t="inlineStr">
        <is>
          <t>Peso logrado</t>
        </is>
      </c>
      <c r="X13" s="6" t="inlineStr">
        <is>
          <t>Resultado</t>
        </is>
      </c>
      <c r="Y13" s="6" t="inlineStr">
        <is>
          <t>Peso estab.</t>
        </is>
      </c>
      <c r="Z13" s="6" t="inlineStr">
        <is>
          <t>Peso logrado</t>
        </is>
      </c>
      <c r="AA13" s="6" t="inlineStr">
        <is>
          <t>Σ peso estab.</t>
        </is>
      </c>
      <c r="AB13" s="6" t="inlineStr">
        <is>
          <t>Σ peso logrado</t>
        </is>
      </c>
      <c r="AC13" s="6" t="inlineStr">
        <is>
          <t>% cumplimiento</t>
        </is>
      </c>
      <c r="AD13" s="6" t="inlineStr">
        <is>
          <t>Alerta</t>
        </is>
      </c>
      <c r="AE13" s="6" t="inlineStr">
        <is>
          <t>Validación</t>
        </is>
      </c>
    </row>
    <row r="14">
      <c r="A14" s="19">
        <f>CRITERIOS!B2</f>
        <v/>
      </c>
      <c r="B14" s="19">
        <f>CRITERIOS!C2</f>
        <v/>
      </c>
      <c r="C14" s="20">
        <f>CRITERIOS!D2</f>
        <v/>
      </c>
      <c r="D14" s="19">
        <f>CRITERIOS!E2</f>
        <v/>
      </c>
      <c r="E14" s="19">
        <f>IFERROR(IF(AND(OR(CRITERIOS!F2="Todos",CRITERIOS!F2=$B$4),INDEX(CRITERIOS!H2:J2,MATCH($B$5,VARIABLES!$E$2:$E$4,0))=1),1,0),0)</f>
        <v/>
      </c>
      <c r="F14" s="19">
        <f>IFERROR(IF(E14=1,INDEX(CRITERIOS!K2:M2,MATCH($B$5,VARIABLES!$E$2:$E$4,0)),0),0)</f>
        <v/>
      </c>
      <c r="G14" s="19">
        <f>IF(CRITERIOS!N2="","",CRITERIOS!N2)</f>
        <v/>
      </c>
      <c r="H14" s="19">
        <f>IF(CRITERIOS!O2="","",CRITERIOS!O2)</f>
        <v/>
      </c>
      <c r="I14" s="21" t="n"/>
      <c r="J14" s="22">
        <f>IF(OR($E14=0,I$78=0),0,IF(AND(I14="N/A",$G14&lt;&gt;""),0,$F14+SUMPRODUCT(($G$14:$G$71=$A14)*($E$14:$E$71=1)*(I$14:I$71="N/A")*$F$14:$F$71)))</f>
        <v/>
      </c>
      <c r="K14" s="22">
        <f>IF(I14="SI",J14,0)</f>
        <v/>
      </c>
      <c r="L14" s="21" t="n"/>
      <c r="M14" s="22">
        <f>IF(OR($E14=0,L$78=0),0,IF(AND(L14="N/A",$G14&lt;&gt;""),0,$F14+SUMPRODUCT(($G$14:$G$71=$A14)*($E$14:$E$71=1)*(L$14:L$71="N/A")*$F$14:$F$71)))</f>
        <v/>
      </c>
      <c r="N14" s="22">
        <f>IF(L14="SI",M14,0)</f>
        <v/>
      </c>
      <c r="O14" s="21" t="n"/>
      <c r="P14" s="22">
        <f>IF(OR($E14=0,O$78=0),0,IF(AND(O14="N/A",$G14&lt;&gt;""),0,$F14+SUMPRODUCT(($G$14:$G$71=$A14)*($E$14:$E$71=1)*(O$14:O$71="N/A")*$F$14:$F$71)))</f>
        <v/>
      </c>
      <c r="Q14" s="22">
        <f>IF(O14="SI",P14,0)</f>
        <v/>
      </c>
      <c r="R14" s="21" t="n"/>
      <c r="S14" s="22">
        <f>IF(OR($E14=0,R$78=0),0,IF(AND(R14="N/A",$G14&lt;&gt;""),0,$F14+SUMPRODUCT(($G$14:$G$71=$A14)*($E$14:$E$71=1)*(R$14:R$71="N/A")*$F$14:$F$71)))</f>
        <v/>
      </c>
      <c r="T14" s="22">
        <f>IF(R14="SI",S14,0)</f>
        <v/>
      </c>
      <c r="U14" s="21" t="n"/>
      <c r="V14" s="22">
        <f>IF(OR($E14=0,U$78=0),0,IF(AND(U14="N/A",$G14&lt;&gt;""),0,$F14+SUMPRODUCT(($G$14:$G$71=$A14)*($E$14:$E$71=1)*(U$14:U$71="N/A")*$F$14:$F$71)))</f>
        <v/>
      </c>
      <c r="W14" s="22">
        <f>IF(U14="SI",V14,0)</f>
        <v/>
      </c>
      <c r="X14" s="21" t="n"/>
      <c r="Y14" s="22">
        <f>IF(OR($E14=0,X$78=0),0,IF(AND(X14="N/A",$G14&lt;&gt;""),0,$F14+SUMPRODUCT(($G$14:$G$71=$A14)*($E$14:$E$71=1)*(X$14:X$71="N/A")*$F$14:$F$71)))</f>
        <v/>
      </c>
      <c r="Z14" s="22">
        <f>IF(X14="SI",Y14,0)</f>
        <v/>
      </c>
      <c r="AA14" s="22">
        <f>SUM(J14,M14,P14,S14,V14,Y14)</f>
        <v/>
      </c>
      <c r="AB14" s="22">
        <f>SUM(K14,N14,Q14,T14,W14,Z14)</f>
        <v/>
      </c>
      <c r="AC14" s="23">
        <f>IF(AA14=0,"",AB14/AA14)</f>
        <v/>
      </c>
      <c r="AD14" s="22">
        <f>CRITERIOS!Q2</f>
        <v/>
      </c>
      <c r="AE14" s="22">
        <f>IF(AND(E14=1,H14&lt;&gt;"X",((I14="N/A")+(L14="N/A")+(O14="N/A")+(R14="N/A")+(U14="N/A")+(X14="N/A"))&gt;0),"REVISAR","")</f>
        <v/>
      </c>
    </row>
    <row r="15">
      <c r="A15" s="19">
        <f>CRITERIOS!B3</f>
        <v/>
      </c>
      <c r="B15" s="19">
        <f>CRITERIOS!C3</f>
        <v/>
      </c>
      <c r="C15" s="20">
        <f>CRITERIOS!D3</f>
        <v/>
      </c>
      <c r="D15" s="19">
        <f>CRITERIOS!E3</f>
        <v/>
      </c>
      <c r="E15" s="19">
        <f>IFERROR(IF(AND(OR(CRITERIOS!F3="Todos",CRITERIOS!F3=$B$4),INDEX(CRITERIOS!H3:J3,MATCH($B$5,VARIABLES!$E$2:$E$4,0))=1),1,0),0)</f>
        <v/>
      </c>
      <c r="F15" s="19">
        <f>IFERROR(IF(E15=1,INDEX(CRITERIOS!K3:M3,MATCH($B$5,VARIABLES!$E$2:$E$4,0)),0),0)</f>
        <v/>
      </c>
      <c r="G15" s="19">
        <f>IF(CRITERIOS!N3="","",CRITERIOS!N3)</f>
        <v/>
      </c>
      <c r="H15" s="19">
        <f>IF(CRITERIOS!O3="","",CRITERIOS!O3)</f>
        <v/>
      </c>
      <c r="I15" s="21" t="n"/>
      <c r="J15" s="22">
        <f>IF(OR($E15=0,I$78=0),0,IF(AND(I15="N/A",$G15&lt;&gt;""),0,$F15+SUMPRODUCT(($G$14:$G$71=$A15)*($E$14:$E$71=1)*(I$14:I$71="N/A")*$F$14:$F$71)))</f>
        <v/>
      </c>
      <c r="K15" s="22">
        <f>IF(I15="SI",J15,0)</f>
        <v/>
      </c>
      <c r="L15" s="21" t="n"/>
      <c r="M15" s="22">
        <f>IF(OR($E15=0,L$78=0),0,IF(AND(L15="N/A",$G15&lt;&gt;""),0,$F15+SUMPRODUCT(($G$14:$G$71=$A15)*($E$14:$E$71=1)*(L$14:L$71="N/A")*$F$14:$F$71)))</f>
        <v/>
      </c>
      <c r="N15" s="22">
        <f>IF(L15="SI",M15,0)</f>
        <v/>
      </c>
      <c r="O15" s="21" t="n"/>
      <c r="P15" s="22">
        <f>IF(OR($E15=0,O$78=0),0,IF(AND(O15="N/A",$G15&lt;&gt;""),0,$F15+SUMPRODUCT(($G$14:$G$71=$A15)*($E$14:$E$71=1)*(O$14:O$71="N/A")*$F$14:$F$71)))</f>
        <v/>
      </c>
      <c r="Q15" s="22">
        <f>IF(O15="SI",P15,0)</f>
        <v/>
      </c>
      <c r="R15" s="21" t="n"/>
      <c r="S15" s="22">
        <f>IF(OR($E15=0,R$78=0),0,IF(AND(R15="N/A",$G15&lt;&gt;""),0,$F15+SUMPRODUCT(($G$14:$G$71=$A15)*($E$14:$E$71=1)*(R$14:R$71="N/A")*$F$14:$F$71)))</f>
        <v/>
      </c>
      <c r="T15" s="22">
        <f>IF(R15="SI",S15,0)</f>
        <v/>
      </c>
      <c r="U15" s="21" t="n"/>
      <c r="V15" s="22">
        <f>IF(OR($E15=0,U$78=0),0,IF(AND(U15="N/A",$G15&lt;&gt;""),0,$F15+SUMPRODUCT(($G$14:$G$71=$A15)*($E$14:$E$71=1)*(U$14:U$71="N/A")*$F$14:$F$71)))</f>
        <v/>
      </c>
      <c r="W15" s="22">
        <f>IF(U15="SI",V15,0)</f>
        <v/>
      </c>
      <c r="X15" s="21" t="n"/>
      <c r="Y15" s="22">
        <f>IF(OR($E15=0,X$78=0),0,IF(AND(X15="N/A",$G15&lt;&gt;""),0,$F15+SUMPRODUCT(($G$14:$G$71=$A15)*($E$14:$E$71=1)*(X$14:X$71="N/A")*$F$14:$F$71)))</f>
        <v/>
      </c>
      <c r="Z15" s="22">
        <f>IF(X15="SI",Y15,0)</f>
        <v/>
      </c>
      <c r="AA15" s="22">
        <f>SUM(J15,M15,P15,S15,V15,Y15)</f>
        <v/>
      </c>
      <c r="AB15" s="22">
        <f>SUM(K15,N15,Q15,T15,W15,Z15)</f>
        <v/>
      </c>
      <c r="AC15" s="23">
        <f>IF(AA15=0,"",AB15/AA15)</f>
        <v/>
      </c>
      <c r="AD15" s="22">
        <f>CRITERIOS!Q3</f>
        <v/>
      </c>
      <c r="AE15" s="22">
        <f>IF(AND(E15=1,H15&lt;&gt;"X",((I15="N/A")+(L15="N/A")+(O15="N/A")+(R15="N/A")+(U15="N/A")+(X15="N/A"))&gt;0),"REVISAR","")</f>
        <v/>
      </c>
    </row>
    <row r="16">
      <c r="A16" s="19">
        <f>CRITERIOS!B4</f>
        <v/>
      </c>
      <c r="B16" s="19">
        <f>CRITERIOS!C4</f>
        <v/>
      </c>
      <c r="C16" s="20">
        <f>CRITERIOS!D4</f>
        <v/>
      </c>
      <c r="D16" s="19">
        <f>CRITERIOS!E4</f>
        <v/>
      </c>
      <c r="E16" s="19">
        <f>IFERROR(IF(AND(OR(CRITERIOS!F4="Todos",CRITERIOS!F4=$B$4),INDEX(CRITERIOS!H4:J4,MATCH($B$5,VARIABLES!$E$2:$E$4,0))=1),1,0),0)</f>
        <v/>
      </c>
      <c r="F16" s="19">
        <f>IFERROR(IF(E16=1,INDEX(CRITERIOS!K4:M4,MATCH($B$5,VARIABLES!$E$2:$E$4,0)),0),0)</f>
        <v/>
      </c>
      <c r="G16" s="19">
        <f>IF(CRITERIOS!N4="","",CRITERIOS!N4)</f>
        <v/>
      </c>
      <c r="H16" s="19">
        <f>IF(CRITERIOS!O4="","",CRITERIOS!O4)</f>
        <v/>
      </c>
      <c r="I16" s="21" t="n"/>
      <c r="J16" s="22">
        <f>IF(OR($E16=0,I$78=0),0,IF(AND(I16="N/A",$G16&lt;&gt;""),0,$F16+SUMPRODUCT(($G$14:$G$71=$A16)*($E$14:$E$71=1)*(I$14:I$71="N/A")*$F$14:$F$71)))</f>
        <v/>
      </c>
      <c r="K16" s="22">
        <f>IF(I16="SI",J16,0)</f>
        <v/>
      </c>
      <c r="L16" s="21" t="n"/>
      <c r="M16" s="22">
        <f>IF(OR($E16=0,L$78=0),0,IF(AND(L16="N/A",$G16&lt;&gt;""),0,$F16+SUMPRODUCT(($G$14:$G$71=$A16)*($E$14:$E$71=1)*(L$14:L$71="N/A")*$F$14:$F$71)))</f>
        <v/>
      </c>
      <c r="N16" s="22">
        <f>IF(L16="SI",M16,0)</f>
        <v/>
      </c>
      <c r="O16" s="21" t="n"/>
      <c r="P16" s="22">
        <f>IF(OR($E16=0,O$78=0),0,IF(AND(O16="N/A",$G16&lt;&gt;""),0,$F16+SUMPRODUCT(($G$14:$G$71=$A16)*($E$14:$E$71=1)*(O$14:O$71="N/A")*$F$14:$F$71)))</f>
        <v/>
      </c>
      <c r="Q16" s="22">
        <f>IF(O16="SI",P16,0)</f>
        <v/>
      </c>
      <c r="R16" s="21" t="n"/>
      <c r="S16" s="22">
        <f>IF(OR($E16=0,R$78=0),0,IF(AND(R16="N/A",$G16&lt;&gt;""),0,$F16+SUMPRODUCT(($G$14:$G$71=$A16)*($E$14:$E$71=1)*(R$14:R$71="N/A")*$F$14:$F$71)))</f>
        <v/>
      </c>
      <c r="T16" s="22">
        <f>IF(R16="SI",S16,0)</f>
        <v/>
      </c>
      <c r="U16" s="21" t="n"/>
      <c r="V16" s="22">
        <f>IF(OR($E16=0,U$78=0),0,IF(AND(U16="N/A",$G16&lt;&gt;""),0,$F16+SUMPRODUCT(($G$14:$G$71=$A16)*($E$14:$E$71=1)*(U$14:U$71="N/A")*$F$14:$F$71)))</f>
        <v/>
      </c>
      <c r="W16" s="22">
        <f>IF(U16="SI",V16,0)</f>
        <v/>
      </c>
      <c r="X16" s="21" t="n"/>
      <c r="Y16" s="22">
        <f>IF(OR($E16=0,X$78=0),0,IF(AND(X16="N/A",$G16&lt;&gt;""),0,$F16+SUMPRODUCT(($G$14:$G$71=$A16)*($E$14:$E$71=1)*(X$14:X$71="N/A")*$F$14:$F$71)))</f>
        <v/>
      </c>
      <c r="Z16" s="22">
        <f>IF(X16="SI",Y16,0)</f>
        <v/>
      </c>
      <c r="AA16" s="22">
        <f>SUM(J16,M16,P16,S16,V16,Y16)</f>
        <v/>
      </c>
      <c r="AB16" s="22">
        <f>SUM(K16,N16,Q16,T16,W16,Z16)</f>
        <v/>
      </c>
      <c r="AC16" s="23">
        <f>IF(AA16=0,"",AB16/AA16)</f>
        <v/>
      </c>
      <c r="AD16" s="22">
        <f>CRITERIOS!Q4</f>
        <v/>
      </c>
      <c r="AE16" s="22">
        <f>IF(AND(E16=1,H16&lt;&gt;"X",((I16="N/A")+(L16="N/A")+(O16="N/A")+(R16="N/A")+(U16="N/A")+(X16="N/A"))&gt;0),"REVISAR","")</f>
        <v/>
      </c>
    </row>
    <row r="17">
      <c r="A17" s="19">
        <f>CRITERIOS!B5</f>
        <v/>
      </c>
      <c r="B17" s="19">
        <f>CRITERIOS!C5</f>
        <v/>
      </c>
      <c r="C17" s="20">
        <f>CRITERIOS!D5</f>
        <v/>
      </c>
      <c r="D17" s="19">
        <f>CRITERIOS!E5</f>
        <v/>
      </c>
      <c r="E17" s="19">
        <f>IFERROR(IF(AND(OR(CRITERIOS!F5="Todos",CRITERIOS!F5=$B$4),INDEX(CRITERIOS!H5:J5,MATCH($B$5,VARIABLES!$E$2:$E$4,0))=1),1,0),0)</f>
        <v/>
      </c>
      <c r="F17" s="19">
        <f>IFERROR(IF(E17=1,INDEX(CRITERIOS!K5:M5,MATCH($B$5,VARIABLES!$E$2:$E$4,0)),0),0)</f>
        <v/>
      </c>
      <c r="G17" s="19">
        <f>IF(CRITERIOS!N5="","",CRITERIOS!N5)</f>
        <v/>
      </c>
      <c r="H17" s="19">
        <f>IF(CRITERIOS!O5="","",CRITERIOS!O5)</f>
        <v/>
      </c>
      <c r="I17" s="21" t="n"/>
      <c r="J17" s="22">
        <f>IF(OR($E17=0,I$78=0),0,IF(AND(I17="N/A",$G17&lt;&gt;""),0,$F17+SUMPRODUCT(($G$14:$G$71=$A17)*($E$14:$E$71=1)*(I$14:I$71="N/A")*$F$14:$F$71)))</f>
        <v/>
      </c>
      <c r="K17" s="22">
        <f>IF(I17="SI",J17,0)</f>
        <v/>
      </c>
      <c r="L17" s="21" t="n"/>
      <c r="M17" s="22">
        <f>IF(OR($E17=0,L$78=0),0,IF(AND(L17="N/A",$G17&lt;&gt;""),0,$F17+SUMPRODUCT(($G$14:$G$71=$A17)*($E$14:$E$71=1)*(L$14:L$71="N/A")*$F$14:$F$71)))</f>
        <v/>
      </c>
      <c r="N17" s="22">
        <f>IF(L17="SI",M17,0)</f>
        <v/>
      </c>
      <c r="O17" s="21" t="n"/>
      <c r="P17" s="22">
        <f>IF(OR($E17=0,O$78=0),0,IF(AND(O17="N/A",$G17&lt;&gt;""),0,$F17+SUMPRODUCT(($G$14:$G$71=$A17)*($E$14:$E$71=1)*(O$14:O$71="N/A")*$F$14:$F$71)))</f>
        <v/>
      </c>
      <c r="Q17" s="22">
        <f>IF(O17="SI",P17,0)</f>
        <v/>
      </c>
      <c r="R17" s="21" t="n"/>
      <c r="S17" s="22">
        <f>IF(OR($E17=0,R$78=0),0,IF(AND(R17="N/A",$G17&lt;&gt;""),0,$F17+SUMPRODUCT(($G$14:$G$71=$A17)*($E$14:$E$71=1)*(R$14:R$71="N/A")*$F$14:$F$71)))</f>
        <v/>
      </c>
      <c r="T17" s="22">
        <f>IF(R17="SI",S17,0)</f>
        <v/>
      </c>
      <c r="U17" s="21" t="n"/>
      <c r="V17" s="22">
        <f>IF(OR($E17=0,U$78=0),0,IF(AND(U17="N/A",$G17&lt;&gt;""),0,$F17+SUMPRODUCT(($G$14:$G$71=$A17)*($E$14:$E$71=1)*(U$14:U$71="N/A")*$F$14:$F$71)))</f>
        <v/>
      </c>
      <c r="W17" s="22">
        <f>IF(U17="SI",V17,0)</f>
        <v/>
      </c>
      <c r="X17" s="21" t="n"/>
      <c r="Y17" s="22">
        <f>IF(OR($E17=0,X$78=0),0,IF(AND(X17="N/A",$G17&lt;&gt;""),0,$F17+SUMPRODUCT(($G$14:$G$71=$A17)*($E$14:$E$71=1)*(X$14:X$71="N/A")*$F$14:$F$71)))</f>
        <v/>
      </c>
      <c r="Z17" s="22">
        <f>IF(X17="SI",Y17,0)</f>
        <v/>
      </c>
      <c r="AA17" s="22">
        <f>SUM(J17,M17,P17,S17,V17,Y17)</f>
        <v/>
      </c>
      <c r="AB17" s="22">
        <f>SUM(K17,N17,Q17,T17,W17,Z17)</f>
        <v/>
      </c>
      <c r="AC17" s="23">
        <f>IF(AA17=0,"",AB17/AA17)</f>
        <v/>
      </c>
      <c r="AD17" s="22">
        <f>CRITERIOS!Q5</f>
        <v/>
      </c>
      <c r="AE17" s="22">
        <f>IF(AND(E17=1,H17&lt;&gt;"X",((I17="N/A")+(L17="N/A")+(O17="N/A")+(R17="N/A")+(U17="N/A")+(X17="N/A"))&gt;0),"REVISAR","")</f>
        <v/>
      </c>
    </row>
    <row r="18">
      <c r="A18" s="19">
        <f>CRITERIOS!B6</f>
        <v/>
      </c>
      <c r="B18" s="19">
        <f>CRITERIOS!C6</f>
        <v/>
      </c>
      <c r="C18" s="20">
        <f>CRITERIOS!D6</f>
        <v/>
      </c>
      <c r="D18" s="19">
        <f>CRITERIOS!E6</f>
        <v/>
      </c>
      <c r="E18" s="19">
        <f>IFERROR(IF(AND(OR(CRITERIOS!F6="Todos",CRITERIOS!F6=$B$4),INDEX(CRITERIOS!H6:J6,MATCH($B$5,VARIABLES!$E$2:$E$4,0))=1),1,0),0)</f>
        <v/>
      </c>
      <c r="F18" s="19">
        <f>IFERROR(IF(E18=1,INDEX(CRITERIOS!K6:M6,MATCH($B$5,VARIABLES!$E$2:$E$4,0)),0),0)</f>
        <v/>
      </c>
      <c r="G18" s="19">
        <f>IF(CRITERIOS!N6="","",CRITERIOS!N6)</f>
        <v/>
      </c>
      <c r="H18" s="19">
        <f>IF(CRITERIOS!O6="","",CRITERIOS!O6)</f>
        <v/>
      </c>
      <c r="I18" s="21" t="n"/>
      <c r="J18" s="22">
        <f>IF(OR($E18=0,I$78=0),0,IF(AND(I18="N/A",$G18&lt;&gt;""),0,$F18+SUMPRODUCT(($G$14:$G$71=$A18)*($E$14:$E$71=1)*(I$14:I$71="N/A")*$F$14:$F$71)))</f>
        <v/>
      </c>
      <c r="K18" s="22">
        <f>IF(I18="SI",J18,0)</f>
        <v/>
      </c>
      <c r="L18" s="21" t="n"/>
      <c r="M18" s="22">
        <f>IF(OR($E18=0,L$78=0),0,IF(AND(L18="N/A",$G18&lt;&gt;""),0,$F18+SUMPRODUCT(($G$14:$G$71=$A18)*($E$14:$E$71=1)*(L$14:L$71="N/A")*$F$14:$F$71)))</f>
        <v/>
      </c>
      <c r="N18" s="22">
        <f>IF(L18="SI",M18,0)</f>
        <v/>
      </c>
      <c r="O18" s="21" t="n"/>
      <c r="P18" s="22">
        <f>IF(OR($E18=0,O$78=0),0,IF(AND(O18="N/A",$G18&lt;&gt;""),0,$F18+SUMPRODUCT(($G$14:$G$71=$A18)*($E$14:$E$71=1)*(O$14:O$71="N/A")*$F$14:$F$71)))</f>
        <v/>
      </c>
      <c r="Q18" s="22">
        <f>IF(O18="SI",P18,0)</f>
        <v/>
      </c>
      <c r="R18" s="21" t="n"/>
      <c r="S18" s="22">
        <f>IF(OR($E18=0,R$78=0),0,IF(AND(R18="N/A",$G18&lt;&gt;""),0,$F18+SUMPRODUCT(($G$14:$G$71=$A18)*($E$14:$E$71=1)*(R$14:R$71="N/A")*$F$14:$F$71)))</f>
        <v/>
      </c>
      <c r="T18" s="22">
        <f>IF(R18="SI",S18,0)</f>
        <v/>
      </c>
      <c r="U18" s="21" t="n"/>
      <c r="V18" s="22">
        <f>IF(OR($E18=0,U$78=0),0,IF(AND(U18="N/A",$G18&lt;&gt;""),0,$F18+SUMPRODUCT(($G$14:$G$71=$A18)*($E$14:$E$71=1)*(U$14:U$71="N/A")*$F$14:$F$71)))</f>
        <v/>
      </c>
      <c r="W18" s="22">
        <f>IF(U18="SI",V18,0)</f>
        <v/>
      </c>
      <c r="X18" s="21" t="n"/>
      <c r="Y18" s="22">
        <f>IF(OR($E18=0,X$78=0),0,IF(AND(X18="N/A",$G18&lt;&gt;""),0,$F18+SUMPRODUCT(($G$14:$G$71=$A18)*($E$14:$E$71=1)*(X$14:X$71="N/A")*$F$14:$F$71)))</f>
        <v/>
      </c>
      <c r="Z18" s="22">
        <f>IF(X18="SI",Y18,0)</f>
        <v/>
      </c>
      <c r="AA18" s="22">
        <f>SUM(J18,M18,P18,S18,V18,Y18)</f>
        <v/>
      </c>
      <c r="AB18" s="22">
        <f>SUM(K18,N18,Q18,T18,W18,Z18)</f>
        <v/>
      </c>
      <c r="AC18" s="23">
        <f>IF(AA18=0,"",AB18/AA18)</f>
        <v/>
      </c>
      <c r="AD18" s="22">
        <f>CRITERIOS!Q6</f>
        <v/>
      </c>
      <c r="AE18" s="22">
        <f>IF(AND(E18=1,H18&lt;&gt;"X",((I18="N/A")+(L18="N/A")+(O18="N/A")+(R18="N/A")+(U18="N/A")+(X18="N/A"))&gt;0),"REVISAR","")</f>
        <v/>
      </c>
    </row>
    <row r="19">
      <c r="A19" s="19">
        <f>CRITERIOS!B7</f>
        <v/>
      </c>
      <c r="B19" s="19">
        <f>CRITERIOS!C7</f>
        <v/>
      </c>
      <c r="C19" s="20">
        <f>CRITERIOS!D7</f>
        <v/>
      </c>
      <c r="D19" s="19">
        <f>CRITERIOS!E7</f>
        <v/>
      </c>
      <c r="E19" s="19">
        <f>IFERROR(IF(AND(OR(CRITERIOS!F7="Todos",CRITERIOS!F7=$B$4),INDEX(CRITERIOS!H7:J7,MATCH($B$5,VARIABLES!$E$2:$E$4,0))=1),1,0),0)</f>
        <v/>
      </c>
      <c r="F19" s="19">
        <f>IFERROR(IF(E19=1,INDEX(CRITERIOS!K7:M7,MATCH($B$5,VARIABLES!$E$2:$E$4,0)),0),0)</f>
        <v/>
      </c>
      <c r="G19" s="19">
        <f>IF(CRITERIOS!N7="","",CRITERIOS!N7)</f>
        <v/>
      </c>
      <c r="H19" s="19">
        <f>IF(CRITERIOS!O7="","",CRITERIOS!O7)</f>
        <v/>
      </c>
      <c r="I19" s="21" t="n"/>
      <c r="J19" s="22">
        <f>IF(OR($E19=0,I$78=0),0,IF(AND(I19="N/A",$G19&lt;&gt;""),0,$F19+SUMPRODUCT(($G$14:$G$71=$A19)*($E$14:$E$71=1)*(I$14:I$71="N/A")*$F$14:$F$71)))</f>
        <v/>
      </c>
      <c r="K19" s="22">
        <f>IF(I19="SI",J19,0)</f>
        <v/>
      </c>
      <c r="L19" s="21" t="n"/>
      <c r="M19" s="22">
        <f>IF(OR($E19=0,L$78=0),0,IF(AND(L19="N/A",$G19&lt;&gt;""),0,$F19+SUMPRODUCT(($G$14:$G$71=$A19)*($E$14:$E$71=1)*(L$14:L$71="N/A")*$F$14:$F$71)))</f>
        <v/>
      </c>
      <c r="N19" s="22">
        <f>IF(L19="SI",M19,0)</f>
        <v/>
      </c>
      <c r="O19" s="21" t="n"/>
      <c r="P19" s="22">
        <f>IF(OR($E19=0,O$78=0),0,IF(AND(O19="N/A",$G19&lt;&gt;""),0,$F19+SUMPRODUCT(($G$14:$G$71=$A19)*($E$14:$E$71=1)*(O$14:O$71="N/A")*$F$14:$F$71)))</f>
        <v/>
      </c>
      <c r="Q19" s="22">
        <f>IF(O19="SI",P19,0)</f>
        <v/>
      </c>
      <c r="R19" s="21" t="n"/>
      <c r="S19" s="22">
        <f>IF(OR($E19=0,R$78=0),0,IF(AND(R19="N/A",$G19&lt;&gt;""),0,$F19+SUMPRODUCT(($G$14:$G$71=$A19)*($E$14:$E$71=1)*(R$14:R$71="N/A")*$F$14:$F$71)))</f>
        <v/>
      </c>
      <c r="T19" s="22">
        <f>IF(R19="SI",S19,0)</f>
        <v/>
      </c>
      <c r="U19" s="21" t="n"/>
      <c r="V19" s="22">
        <f>IF(OR($E19=0,U$78=0),0,IF(AND(U19="N/A",$G19&lt;&gt;""),0,$F19+SUMPRODUCT(($G$14:$G$71=$A19)*($E$14:$E$71=1)*(U$14:U$71="N/A")*$F$14:$F$71)))</f>
        <v/>
      </c>
      <c r="W19" s="22">
        <f>IF(U19="SI",V19,0)</f>
        <v/>
      </c>
      <c r="X19" s="21" t="n"/>
      <c r="Y19" s="22">
        <f>IF(OR($E19=0,X$78=0),0,IF(AND(X19="N/A",$G19&lt;&gt;""),0,$F19+SUMPRODUCT(($G$14:$G$71=$A19)*($E$14:$E$71=1)*(X$14:X$71="N/A")*$F$14:$F$71)))</f>
        <v/>
      </c>
      <c r="Z19" s="22">
        <f>IF(X19="SI",Y19,0)</f>
        <v/>
      </c>
      <c r="AA19" s="22">
        <f>SUM(J19,M19,P19,S19,V19,Y19)</f>
        <v/>
      </c>
      <c r="AB19" s="22">
        <f>SUM(K19,N19,Q19,T19,W19,Z19)</f>
        <v/>
      </c>
      <c r="AC19" s="23">
        <f>IF(AA19=0,"",AB19/AA19)</f>
        <v/>
      </c>
      <c r="AD19" s="22">
        <f>CRITERIOS!Q7</f>
        <v/>
      </c>
      <c r="AE19" s="22">
        <f>IF(AND(E19=1,H19&lt;&gt;"X",((I19="N/A")+(L19="N/A")+(O19="N/A")+(R19="N/A")+(U19="N/A")+(X19="N/A"))&gt;0),"REVISAR","")</f>
        <v/>
      </c>
    </row>
    <row r="20">
      <c r="A20" s="19">
        <f>CRITERIOS!B8</f>
        <v/>
      </c>
      <c r="B20" s="19">
        <f>CRITERIOS!C8</f>
        <v/>
      </c>
      <c r="C20" s="20">
        <f>CRITERIOS!D8</f>
        <v/>
      </c>
      <c r="D20" s="19">
        <f>CRITERIOS!E8</f>
        <v/>
      </c>
      <c r="E20" s="19">
        <f>IFERROR(IF(AND(OR(CRITERIOS!F8="Todos",CRITERIOS!F8=$B$4),INDEX(CRITERIOS!H8:J8,MATCH($B$5,VARIABLES!$E$2:$E$4,0))=1),1,0),0)</f>
        <v/>
      </c>
      <c r="F20" s="19">
        <f>IFERROR(IF(E20=1,INDEX(CRITERIOS!K8:M8,MATCH($B$5,VARIABLES!$E$2:$E$4,0)),0),0)</f>
        <v/>
      </c>
      <c r="G20" s="19">
        <f>IF(CRITERIOS!N8="","",CRITERIOS!N8)</f>
        <v/>
      </c>
      <c r="H20" s="19">
        <f>IF(CRITERIOS!O8="","",CRITERIOS!O8)</f>
        <v/>
      </c>
      <c r="I20" s="21" t="n"/>
      <c r="J20" s="22">
        <f>IF(OR($E20=0,I$78=0),0,IF(AND(I20="N/A",$G20&lt;&gt;""),0,$F20+SUMPRODUCT(($G$14:$G$71=$A20)*($E$14:$E$71=1)*(I$14:I$71="N/A")*$F$14:$F$71)))</f>
        <v/>
      </c>
      <c r="K20" s="22">
        <f>IF(I20="SI",J20,0)</f>
        <v/>
      </c>
      <c r="L20" s="21" t="n"/>
      <c r="M20" s="22">
        <f>IF(OR($E20=0,L$78=0),0,IF(AND(L20="N/A",$G20&lt;&gt;""),0,$F20+SUMPRODUCT(($G$14:$G$71=$A20)*($E$14:$E$71=1)*(L$14:L$71="N/A")*$F$14:$F$71)))</f>
        <v/>
      </c>
      <c r="N20" s="22">
        <f>IF(L20="SI",M20,0)</f>
        <v/>
      </c>
      <c r="O20" s="21" t="n"/>
      <c r="P20" s="22">
        <f>IF(OR($E20=0,O$78=0),0,IF(AND(O20="N/A",$G20&lt;&gt;""),0,$F20+SUMPRODUCT(($G$14:$G$71=$A20)*($E$14:$E$71=1)*(O$14:O$71="N/A")*$F$14:$F$71)))</f>
        <v/>
      </c>
      <c r="Q20" s="22">
        <f>IF(O20="SI",P20,0)</f>
        <v/>
      </c>
      <c r="R20" s="21" t="n"/>
      <c r="S20" s="22">
        <f>IF(OR($E20=0,R$78=0),0,IF(AND(R20="N/A",$G20&lt;&gt;""),0,$F20+SUMPRODUCT(($G$14:$G$71=$A20)*($E$14:$E$71=1)*(R$14:R$71="N/A")*$F$14:$F$71)))</f>
        <v/>
      </c>
      <c r="T20" s="22">
        <f>IF(R20="SI",S20,0)</f>
        <v/>
      </c>
      <c r="U20" s="21" t="n"/>
      <c r="V20" s="22">
        <f>IF(OR($E20=0,U$78=0),0,IF(AND(U20="N/A",$G20&lt;&gt;""),0,$F20+SUMPRODUCT(($G$14:$G$71=$A20)*($E$14:$E$71=1)*(U$14:U$71="N/A")*$F$14:$F$71)))</f>
        <v/>
      </c>
      <c r="W20" s="22">
        <f>IF(U20="SI",V20,0)</f>
        <v/>
      </c>
      <c r="X20" s="21" t="n"/>
      <c r="Y20" s="22">
        <f>IF(OR($E20=0,X$78=0),0,IF(AND(X20="N/A",$G20&lt;&gt;""),0,$F20+SUMPRODUCT(($G$14:$G$71=$A20)*($E$14:$E$71=1)*(X$14:X$71="N/A")*$F$14:$F$71)))</f>
        <v/>
      </c>
      <c r="Z20" s="22">
        <f>IF(X20="SI",Y20,0)</f>
        <v/>
      </c>
      <c r="AA20" s="22">
        <f>SUM(J20,M20,P20,S20,V20,Y20)</f>
        <v/>
      </c>
      <c r="AB20" s="22">
        <f>SUM(K20,N20,Q20,T20,W20,Z20)</f>
        <v/>
      </c>
      <c r="AC20" s="23">
        <f>IF(AA20=0,"",AB20/AA20)</f>
        <v/>
      </c>
      <c r="AD20" s="22">
        <f>CRITERIOS!Q8</f>
        <v/>
      </c>
      <c r="AE20" s="22">
        <f>IF(AND(E20=1,H20&lt;&gt;"X",((I20="N/A")+(L20="N/A")+(O20="N/A")+(R20="N/A")+(U20="N/A")+(X20="N/A"))&gt;0),"REVISAR","")</f>
        <v/>
      </c>
    </row>
    <row r="21">
      <c r="A21" s="19">
        <f>CRITERIOS!B9</f>
        <v/>
      </c>
      <c r="B21" s="19">
        <f>CRITERIOS!C9</f>
        <v/>
      </c>
      <c r="C21" s="20">
        <f>CRITERIOS!D9</f>
        <v/>
      </c>
      <c r="D21" s="19">
        <f>CRITERIOS!E9</f>
        <v/>
      </c>
      <c r="E21" s="19">
        <f>IFERROR(IF(AND(OR(CRITERIOS!F9="Todos",CRITERIOS!F9=$B$4),INDEX(CRITERIOS!H9:J9,MATCH($B$5,VARIABLES!$E$2:$E$4,0))=1),1,0),0)</f>
        <v/>
      </c>
      <c r="F21" s="19">
        <f>IFERROR(IF(E21=1,INDEX(CRITERIOS!K9:M9,MATCH($B$5,VARIABLES!$E$2:$E$4,0)),0),0)</f>
        <v/>
      </c>
      <c r="G21" s="19">
        <f>IF(CRITERIOS!N9="","",CRITERIOS!N9)</f>
        <v/>
      </c>
      <c r="H21" s="19">
        <f>IF(CRITERIOS!O9="","",CRITERIOS!O9)</f>
        <v/>
      </c>
      <c r="I21" s="21" t="n"/>
      <c r="J21" s="22">
        <f>IF(OR($E21=0,I$78=0),0,IF(AND(I21="N/A",$G21&lt;&gt;""),0,$F21+SUMPRODUCT(($G$14:$G$71=$A21)*($E$14:$E$71=1)*(I$14:I$71="N/A")*$F$14:$F$71)))</f>
        <v/>
      </c>
      <c r="K21" s="22">
        <f>IF(I21="SI",J21,0)</f>
        <v/>
      </c>
      <c r="L21" s="21" t="n"/>
      <c r="M21" s="22">
        <f>IF(OR($E21=0,L$78=0),0,IF(AND(L21="N/A",$G21&lt;&gt;""),0,$F21+SUMPRODUCT(($G$14:$G$71=$A21)*($E$14:$E$71=1)*(L$14:L$71="N/A")*$F$14:$F$71)))</f>
        <v/>
      </c>
      <c r="N21" s="22">
        <f>IF(L21="SI",M21,0)</f>
        <v/>
      </c>
      <c r="O21" s="21" t="n"/>
      <c r="P21" s="22">
        <f>IF(OR($E21=0,O$78=0),0,IF(AND(O21="N/A",$G21&lt;&gt;""),0,$F21+SUMPRODUCT(($G$14:$G$71=$A21)*($E$14:$E$71=1)*(O$14:O$71="N/A")*$F$14:$F$71)))</f>
        <v/>
      </c>
      <c r="Q21" s="22">
        <f>IF(O21="SI",P21,0)</f>
        <v/>
      </c>
      <c r="R21" s="21" t="n"/>
      <c r="S21" s="22">
        <f>IF(OR($E21=0,R$78=0),0,IF(AND(R21="N/A",$G21&lt;&gt;""),0,$F21+SUMPRODUCT(($G$14:$G$71=$A21)*($E$14:$E$71=1)*(R$14:R$71="N/A")*$F$14:$F$71)))</f>
        <v/>
      </c>
      <c r="T21" s="22">
        <f>IF(R21="SI",S21,0)</f>
        <v/>
      </c>
      <c r="U21" s="21" t="n"/>
      <c r="V21" s="22">
        <f>IF(OR($E21=0,U$78=0),0,IF(AND(U21="N/A",$G21&lt;&gt;""),0,$F21+SUMPRODUCT(($G$14:$G$71=$A21)*($E$14:$E$71=1)*(U$14:U$71="N/A")*$F$14:$F$71)))</f>
        <v/>
      </c>
      <c r="W21" s="22">
        <f>IF(U21="SI",V21,0)</f>
        <v/>
      </c>
      <c r="X21" s="21" t="n"/>
      <c r="Y21" s="22">
        <f>IF(OR($E21=0,X$78=0),0,IF(AND(X21="N/A",$G21&lt;&gt;""),0,$F21+SUMPRODUCT(($G$14:$G$71=$A21)*($E$14:$E$71=1)*(X$14:X$71="N/A")*$F$14:$F$71)))</f>
        <v/>
      </c>
      <c r="Z21" s="22">
        <f>IF(X21="SI",Y21,0)</f>
        <v/>
      </c>
      <c r="AA21" s="22">
        <f>SUM(J21,M21,P21,S21,V21,Y21)</f>
        <v/>
      </c>
      <c r="AB21" s="22">
        <f>SUM(K21,N21,Q21,T21,W21,Z21)</f>
        <v/>
      </c>
      <c r="AC21" s="23">
        <f>IF(AA21=0,"",AB21/AA21)</f>
        <v/>
      </c>
      <c r="AD21" s="22">
        <f>CRITERIOS!Q9</f>
        <v/>
      </c>
      <c r="AE21" s="22">
        <f>IF(AND(E21=1,H21&lt;&gt;"X",((I21="N/A")+(L21="N/A")+(O21="N/A")+(R21="N/A")+(U21="N/A")+(X21="N/A"))&gt;0),"REVISAR","")</f>
        <v/>
      </c>
    </row>
    <row r="22">
      <c r="A22" s="19">
        <f>CRITERIOS!B10</f>
        <v/>
      </c>
      <c r="B22" s="19">
        <f>CRITERIOS!C10</f>
        <v/>
      </c>
      <c r="C22" s="20">
        <f>CRITERIOS!D10</f>
        <v/>
      </c>
      <c r="D22" s="19">
        <f>CRITERIOS!E10</f>
        <v/>
      </c>
      <c r="E22" s="19">
        <f>IFERROR(IF(AND(OR(CRITERIOS!F10="Todos",CRITERIOS!F10=$B$4),INDEX(CRITERIOS!H10:J10,MATCH($B$5,VARIABLES!$E$2:$E$4,0))=1),1,0),0)</f>
        <v/>
      </c>
      <c r="F22" s="19">
        <f>IFERROR(IF(E22=1,INDEX(CRITERIOS!K10:M10,MATCH($B$5,VARIABLES!$E$2:$E$4,0)),0),0)</f>
        <v/>
      </c>
      <c r="G22" s="19">
        <f>IF(CRITERIOS!N10="","",CRITERIOS!N10)</f>
        <v/>
      </c>
      <c r="H22" s="19">
        <f>IF(CRITERIOS!O10="","",CRITERIOS!O10)</f>
        <v/>
      </c>
      <c r="I22" s="21" t="n"/>
      <c r="J22" s="22">
        <f>IF(OR($E22=0,I$78=0),0,IF(AND(I22="N/A",$G22&lt;&gt;""),0,$F22+SUMPRODUCT(($G$14:$G$71=$A22)*($E$14:$E$71=1)*(I$14:I$71="N/A")*$F$14:$F$71)))</f>
        <v/>
      </c>
      <c r="K22" s="22">
        <f>IF(I22="SI",J22,0)</f>
        <v/>
      </c>
      <c r="L22" s="21" t="n"/>
      <c r="M22" s="22">
        <f>IF(OR($E22=0,L$78=0),0,IF(AND(L22="N/A",$G22&lt;&gt;""),0,$F22+SUMPRODUCT(($G$14:$G$71=$A22)*($E$14:$E$71=1)*(L$14:L$71="N/A")*$F$14:$F$71)))</f>
        <v/>
      </c>
      <c r="N22" s="22">
        <f>IF(L22="SI",M22,0)</f>
        <v/>
      </c>
      <c r="O22" s="21" t="n"/>
      <c r="P22" s="22">
        <f>IF(OR($E22=0,O$78=0),0,IF(AND(O22="N/A",$G22&lt;&gt;""),0,$F22+SUMPRODUCT(($G$14:$G$71=$A22)*($E$14:$E$71=1)*(O$14:O$71="N/A")*$F$14:$F$71)))</f>
        <v/>
      </c>
      <c r="Q22" s="22">
        <f>IF(O22="SI",P22,0)</f>
        <v/>
      </c>
      <c r="R22" s="21" t="n"/>
      <c r="S22" s="22">
        <f>IF(OR($E22=0,R$78=0),0,IF(AND(R22="N/A",$G22&lt;&gt;""),0,$F22+SUMPRODUCT(($G$14:$G$71=$A22)*($E$14:$E$71=1)*(R$14:R$71="N/A")*$F$14:$F$71)))</f>
        <v/>
      </c>
      <c r="T22" s="22">
        <f>IF(R22="SI",S22,0)</f>
        <v/>
      </c>
      <c r="U22" s="21" t="n"/>
      <c r="V22" s="22">
        <f>IF(OR($E22=0,U$78=0),0,IF(AND(U22="N/A",$G22&lt;&gt;""),0,$F22+SUMPRODUCT(($G$14:$G$71=$A22)*($E$14:$E$71=1)*(U$14:U$71="N/A")*$F$14:$F$71)))</f>
        <v/>
      </c>
      <c r="W22" s="22">
        <f>IF(U22="SI",V22,0)</f>
        <v/>
      </c>
      <c r="X22" s="21" t="n"/>
      <c r="Y22" s="22">
        <f>IF(OR($E22=0,X$78=0),0,IF(AND(X22="N/A",$G22&lt;&gt;""),0,$F22+SUMPRODUCT(($G$14:$G$71=$A22)*($E$14:$E$71=1)*(X$14:X$71="N/A")*$F$14:$F$71)))</f>
        <v/>
      </c>
      <c r="Z22" s="22">
        <f>IF(X22="SI",Y22,0)</f>
        <v/>
      </c>
      <c r="AA22" s="22">
        <f>SUM(J22,M22,P22,S22,V22,Y22)</f>
        <v/>
      </c>
      <c r="AB22" s="22">
        <f>SUM(K22,N22,Q22,T22,W22,Z22)</f>
        <v/>
      </c>
      <c r="AC22" s="23">
        <f>IF(AA22=0,"",AB22/AA22)</f>
        <v/>
      </c>
      <c r="AD22" s="22">
        <f>CRITERIOS!Q10</f>
        <v/>
      </c>
      <c r="AE22" s="22">
        <f>IF(AND(E22=1,H22&lt;&gt;"X",((I22="N/A")+(L22="N/A")+(O22="N/A")+(R22="N/A")+(U22="N/A")+(X22="N/A"))&gt;0),"REVISAR","")</f>
        <v/>
      </c>
    </row>
    <row r="23">
      <c r="A23" s="19">
        <f>CRITERIOS!B11</f>
        <v/>
      </c>
      <c r="B23" s="19">
        <f>CRITERIOS!C11</f>
        <v/>
      </c>
      <c r="C23" s="20">
        <f>CRITERIOS!D11</f>
        <v/>
      </c>
      <c r="D23" s="19">
        <f>CRITERIOS!E11</f>
        <v/>
      </c>
      <c r="E23" s="19">
        <f>IFERROR(IF(AND(OR(CRITERIOS!F11="Todos",CRITERIOS!F11=$B$4),INDEX(CRITERIOS!H11:J11,MATCH($B$5,VARIABLES!$E$2:$E$4,0))=1),1,0),0)</f>
        <v/>
      </c>
      <c r="F23" s="19">
        <f>IFERROR(IF(E23=1,INDEX(CRITERIOS!K11:M11,MATCH($B$5,VARIABLES!$E$2:$E$4,0)),0),0)</f>
        <v/>
      </c>
      <c r="G23" s="19">
        <f>IF(CRITERIOS!N11="","",CRITERIOS!N11)</f>
        <v/>
      </c>
      <c r="H23" s="19">
        <f>IF(CRITERIOS!O11="","",CRITERIOS!O11)</f>
        <v/>
      </c>
      <c r="I23" s="21" t="n"/>
      <c r="J23" s="22">
        <f>IF(OR($E23=0,I$78=0),0,IF(AND(I23="N/A",$G23&lt;&gt;""),0,$F23+SUMPRODUCT(($G$14:$G$71=$A23)*($E$14:$E$71=1)*(I$14:I$71="N/A")*$F$14:$F$71)))</f>
        <v/>
      </c>
      <c r="K23" s="22">
        <f>IF(I23="SI",J23,0)</f>
        <v/>
      </c>
      <c r="L23" s="21" t="n"/>
      <c r="M23" s="22">
        <f>IF(OR($E23=0,L$78=0),0,IF(AND(L23="N/A",$G23&lt;&gt;""),0,$F23+SUMPRODUCT(($G$14:$G$71=$A23)*($E$14:$E$71=1)*(L$14:L$71="N/A")*$F$14:$F$71)))</f>
        <v/>
      </c>
      <c r="N23" s="22">
        <f>IF(L23="SI",M23,0)</f>
        <v/>
      </c>
      <c r="O23" s="21" t="n"/>
      <c r="P23" s="22">
        <f>IF(OR($E23=0,O$78=0),0,IF(AND(O23="N/A",$G23&lt;&gt;""),0,$F23+SUMPRODUCT(($G$14:$G$71=$A23)*($E$14:$E$71=1)*(O$14:O$71="N/A")*$F$14:$F$71)))</f>
        <v/>
      </c>
      <c r="Q23" s="22">
        <f>IF(O23="SI",P23,0)</f>
        <v/>
      </c>
      <c r="R23" s="21" t="n"/>
      <c r="S23" s="22">
        <f>IF(OR($E23=0,R$78=0),0,IF(AND(R23="N/A",$G23&lt;&gt;""),0,$F23+SUMPRODUCT(($G$14:$G$71=$A23)*($E$14:$E$71=1)*(R$14:R$71="N/A")*$F$14:$F$71)))</f>
        <v/>
      </c>
      <c r="T23" s="22">
        <f>IF(R23="SI",S23,0)</f>
        <v/>
      </c>
      <c r="U23" s="21" t="n"/>
      <c r="V23" s="22">
        <f>IF(OR($E23=0,U$78=0),0,IF(AND(U23="N/A",$G23&lt;&gt;""),0,$F23+SUMPRODUCT(($G$14:$G$71=$A23)*($E$14:$E$71=1)*(U$14:U$71="N/A")*$F$14:$F$71)))</f>
        <v/>
      </c>
      <c r="W23" s="22">
        <f>IF(U23="SI",V23,0)</f>
        <v/>
      </c>
      <c r="X23" s="21" t="n"/>
      <c r="Y23" s="22">
        <f>IF(OR($E23=0,X$78=0),0,IF(AND(X23="N/A",$G23&lt;&gt;""),0,$F23+SUMPRODUCT(($G$14:$G$71=$A23)*($E$14:$E$71=1)*(X$14:X$71="N/A")*$F$14:$F$71)))</f>
        <v/>
      </c>
      <c r="Z23" s="22">
        <f>IF(X23="SI",Y23,0)</f>
        <v/>
      </c>
      <c r="AA23" s="22">
        <f>SUM(J23,M23,P23,S23,V23,Y23)</f>
        <v/>
      </c>
      <c r="AB23" s="22">
        <f>SUM(K23,N23,Q23,T23,W23,Z23)</f>
        <v/>
      </c>
      <c r="AC23" s="23">
        <f>IF(AA23=0,"",AB23/AA23)</f>
        <v/>
      </c>
      <c r="AD23" s="22">
        <f>CRITERIOS!Q11</f>
        <v/>
      </c>
      <c r="AE23" s="22">
        <f>IF(AND(E23=1,H23&lt;&gt;"X",((I23="N/A")+(L23="N/A")+(O23="N/A")+(R23="N/A")+(U23="N/A")+(X23="N/A"))&gt;0),"REVISAR","")</f>
        <v/>
      </c>
    </row>
    <row r="24">
      <c r="A24" s="19">
        <f>CRITERIOS!B12</f>
        <v/>
      </c>
      <c r="B24" s="19">
        <f>CRITERIOS!C12</f>
        <v/>
      </c>
      <c r="C24" s="20">
        <f>CRITERIOS!D12</f>
        <v/>
      </c>
      <c r="D24" s="19">
        <f>CRITERIOS!E12</f>
        <v/>
      </c>
      <c r="E24" s="19">
        <f>IFERROR(IF(AND(OR(CRITERIOS!F12="Todos",CRITERIOS!F12=$B$4),INDEX(CRITERIOS!H12:J12,MATCH($B$5,VARIABLES!$E$2:$E$4,0))=1),1,0),0)</f>
        <v/>
      </c>
      <c r="F24" s="19">
        <f>IFERROR(IF(E24=1,INDEX(CRITERIOS!K12:M12,MATCH($B$5,VARIABLES!$E$2:$E$4,0)),0),0)</f>
        <v/>
      </c>
      <c r="G24" s="19">
        <f>IF(CRITERIOS!N12="","",CRITERIOS!N12)</f>
        <v/>
      </c>
      <c r="H24" s="19">
        <f>IF(CRITERIOS!O12="","",CRITERIOS!O12)</f>
        <v/>
      </c>
      <c r="I24" s="21" t="n"/>
      <c r="J24" s="22">
        <f>IF(OR($E24=0,I$78=0),0,IF(AND(I24="N/A",$G24&lt;&gt;""),0,$F24+SUMPRODUCT(($G$14:$G$71=$A24)*($E$14:$E$71=1)*(I$14:I$71="N/A")*$F$14:$F$71)))</f>
        <v/>
      </c>
      <c r="K24" s="22">
        <f>IF(I24="SI",J24,0)</f>
        <v/>
      </c>
      <c r="L24" s="21" t="n"/>
      <c r="M24" s="22">
        <f>IF(OR($E24=0,L$78=0),0,IF(AND(L24="N/A",$G24&lt;&gt;""),0,$F24+SUMPRODUCT(($G$14:$G$71=$A24)*($E$14:$E$71=1)*(L$14:L$71="N/A")*$F$14:$F$71)))</f>
        <v/>
      </c>
      <c r="N24" s="22">
        <f>IF(L24="SI",M24,0)</f>
        <v/>
      </c>
      <c r="O24" s="21" t="n"/>
      <c r="P24" s="22">
        <f>IF(OR($E24=0,O$78=0),0,IF(AND(O24="N/A",$G24&lt;&gt;""),0,$F24+SUMPRODUCT(($G$14:$G$71=$A24)*($E$14:$E$71=1)*(O$14:O$71="N/A")*$F$14:$F$71)))</f>
        <v/>
      </c>
      <c r="Q24" s="22">
        <f>IF(O24="SI",P24,0)</f>
        <v/>
      </c>
      <c r="R24" s="21" t="n"/>
      <c r="S24" s="22">
        <f>IF(OR($E24=0,R$78=0),0,IF(AND(R24="N/A",$G24&lt;&gt;""),0,$F24+SUMPRODUCT(($G$14:$G$71=$A24)*($E$14:$E$71=1)*(R$14:R$71="N/A")*$F$14:$F$71)))</f>
        <v/>
      </c>
      <c r="T24" s="22">
        <f>IF(R24="SI",S24,0)</f>
        <v/>
      </c>
      <c r="U24" s="21" t="n"/>
      <c r="V24" s="22">
        <f>IF(OR($E24=0,U$78=0),0,IF(AND(U24="N/A",$G24&lt;&gt;""),0,$F24+SUMPRODUCT(($G$14:$G$71=$A24)*($E$14:$E$71=1)*(U$14:U$71="N/A")*$F$14:$F$71)))</f>
        <v/>
      </c>
      <c r="W24" s="22">
        <f>IF(U24="SI",V24,0)</f>
        <v/>
      </c>
      <c r="X24" s="21" t="n"/>
      <c r="Y24" s="22">
        <f>IF(OR($E24=0,X$78=0),0,IF(AND(X24="N/A",$G24&lt;&gt;""),0,$F24+SUMPRODUCT(($G$14:$G$71=$A24)*($E$14:$E$71=1)*(X$14:X$71="N/A")*$F$14:$F$71)))</f>
        <v/>
      </c>
      <c r="Z24" s="22">
        <f>IF(X24="SI",Y24,0)</f>
        <v/>
      </c>
      <c r="AA24" s="22">
        <f>SUM(J24,M24,P24,S24,V24,Y24)</f>
        <v/>
      </c>
      <c r="AB24" s="22">
        <f>SUM(K24,N24,Q24,T24,W24,Z24)</f>
        <v/>
      </c>
      <c r="AC24" s="23">
        <f>IF(AA24=0,"",AB24/AA24)</f>
        <v/>
      </c>
      <c r="AD24" s="22">
        <f>CRITERIOS!Q12</f>
        <v/>
      </c>
      <c r="AE24" s="22">
        <f>IF(AND(E24=1,H24&lt;&gt;"X",((I24="N/A")+(L24="N/A")+(O24="N/A")+(R24="N/A")+(U24="N/A")+(X24="N/A"))&gt;0),"REVISAR","")</f>
        <v/>
      </c>
    </row>
    <row r="25">
      <c r="A25" s="19">
        <f>CRITERIOS!B13</f>
        <v/>
      </c>
      <c r="B25" s="19">
        <f>CRITERIOS!C13</f>
        <v/>
      </c>
      <c r="C25" s="20">
        <f>CRITERIOS!D13</f>
        <v/>
      </c>
      <c r="D25" s="19">
        <f>CRITERIOS!E13</f>
        <v/>
      </c>
      <c r="E25" s="19">
        <f>IFERROR(IF(AND(OR(CRITERIOS!F13="Todos",CRITERIOS!F13=$B$4),INDEX(CRITERIOS!H13:J13,MATCH($B$5,VARIABLES!$E$2:$E$4,0))=1),1,0),0)</f>
        <v/>
      </c>
      <c r="F25" s="19">
        <f>IFERROR(IF(E25=1,INDEX(CRITERIOS!K13:M13,MATCH($B$5,VARIABLES!$E$2:$E$4,0)),0),0)</f>
        <v/>
      </c>
      <c r="G25" s="19">
        <f>IF(CRITERIOS!N13="","",CRITERIOS!N13)</f>
        <v/>
      </c>
      <c r="H25" s="19">
        <f>IF(CRITERIOS!O13="","",CRITERIOS!O13)</f>
        <v/>
      </c>
      <c r="I25" s="21" t="n"/>
      <c r="J25" s="22">
        <f>IF(OR($E25=0,I$78=0),0,IF(AND(I25="N/A",$G25&lt;&gt;""),0,$F25+SUMPRODUCT(($G$14:$G$71=$A25)*($E$14:$E$71=1)*(I$14:I$71="N/A")*$F$14:$F$71)))</f>
        <v/>
      </c>
      <c r="K25" s="22">
        <f>IF(I25="SI",J25,0)</f>
        <v/>
      </c>
      <c r="L25" s="21" t="n"/>
      <c r="M25" s="22">
        <f>IF(OR($E25=0,L$78=0),0,IF(AND(L25="N/A",$G25&lt;&gt;""),0,$F25+SUMPRODUCT(($G$14:$G$71=$A25)*($E$14:$E$71=1)*(L$14:L$71="N/A")*$F$14:$F$71)))</f>
        <v/>
      </c>
      <c r="N25" s="22">
        <f>IF(L25="SI",M25,0)</f>
        <v/>
      </c>
      <c r="O25" s="21" t="n"/>
      <c r="P25" s="22">
        <f>IF(OR($E25=0,O$78=0),0,IF(AND(O25="N/A",$G25&lt;&gt;""),0,$F25+SUMPRODUCT(($G$14:$G$71=$A25)*($E$14:$E$71=1)*(O$14:O$71="N/A")*$F$14:$F$71)))</f>
        <v/>
      </c>
      <c r="Q25" s="22">
        <f>IF(O25="SI",P25,0)</f>
        <v/>
      </c>
      <c r="R25" s="21" t="n"/>
      <c r="S25" s="22">
        <f>IF(OR($E25=0,R$78=0),0,IF(AND(R25="N/A",$G25&lt;&gt;""),0,$F25+SUMPRODUCT(($G$14:$G$71=$A25)*($E$14:$E$71=1)*(R$14:R$71="N/A")*$F$14:$F$71)))</f>
        <v/>
      </c>
      <c r="T25" s="22">
        <f>IF(R25="SI",S25,0)</f>
        <v/>
      </c>
      <c r="U25" s="21" t="n"/>
      <c r="V25" s="22">
        <f>IF(OR($E25=0,U$78=0),0,IF(AND(U25="N/A",$G25&lt;&gt;""),0,$F25+SUMPRODUCT(($G$14:$G$71=$A25)*($E$14:$E$71=1)*(U$14:U$71="N/A")*$F$14:$F$71)))</f>
        <v/>
      </c>
      <c r="W25" s="22">
        <f>IF(U25="SI",V25,0)</f>
        <v/>
      </c>
      <c r="X25" s="21" t="n"/>
      <c r="Y25" s="22">
        <f>IF(OR($E25=0,X$78=0),0,IF(AND(X25="N/A",$G25&lt;&gt;""),0,$F25+SUMPRODUCT(($G$14:$G$71=$A25)*($E$14:$E$71=1)*(X$14:X$71="N/A")*$F$14:$F$71)))</f>
        <v/>
      </c>
      <c r="Z25" s="22">
        <f>IF(X25="SI",Y25,0)</f>
        <v/>
      </c>
      <c r="AA25" s="22">
        <f>SUM(J25,M25,P25,S25,V25,Y25)</f>
        <v/>
      </c>
      <c r="AB25" s="22">
        <f>SUM(K25,N25,Q25,T25,W25,Z25)</f>
        <v/>
      </c>
      <c r="AC25" s="23">
        <f>IF(AA25=0,"",AB25/AA25)</f>
        <v/>
      </c>
      <c r="AD25" s="22">
        <f>CRITERIOS!Q13</f>
        <v/>
      </c>
      <c r="AE25" s="22">
        <f>IF(AND(E25=1,H25&lt;&gt;"X",((I25="N/A")+(L25="N/A")+(O25="N/A")+(R25="N/A")+(U25="N/A")+(X25="N/A"))&gt;0),"REVISAR","")</f>
        <v/>
      </c>
    </row>
    <row r="26">
      <c r="A26" s="19">
        <f>CRITERIOS!B14</f>
        <v/>
      </c>
      <c r="B26" s="19">
        <f>CRITERIOS!C14</f>
        <v/>
      </c>
      <c r="C26" s="20">
        <f>CRITERIOS!D14</f>
        <v/>
      </c>
      <c r="D26" s="19">
        <f>CRITERIOS!E14</f>
        <v/>
      </c>
      <c r="E26" s="19">
        <f>IFERROR(IF(AND(OR(CRITERIOS!F14="Todos",CRITERIOS!F14=$B$4),INDEX(CRITERIOS!H14:J14,MATCH($B$5,VARIABLES!$E$2:$E$4,0))=1),1,0),0)</f>
        <v/>
      </c>
      <c r="F26" s="19">
        <f>IFERROR(IF(E26=1,INDEX(CRITERIOS!K14:M14,MATCH($B$5,VARIABLES!$E$2:$E$4,0)),0),0)</f>
        <v/>
      </c>
      <c r="G26" s="19">
        <f>IF(CRITERIOS!N14="","",CRITERIOS!N14)</f>
        <v/>
      </c>
      <c r="H26" s="19">
        <f>IF(CRITERIOS!O14="","",CRITERIOS!O14)</f>
        <v/>
      </c>
      <c r="I26" s="21" t="n"/>
      <c r="J26" s="22">
        <f>IF(OR($E26=0,I$78=0),0,IF(AND(I26="N/A",$G26&lt;&gt;""),0,$F26+SUMPRODUCT(($G$14:$G$71=$A26)*($E$14:$E$71=1)*(I$14:I$71="N/A")*$F$14:$F$71)))</f>
        <v/>
      </c>
      <c r="K26" s="22">
        <f>IF(I26="SI",J26,0)</f>
        <v/>
      </c>
      <c r="L26" s="21" t="n"/>
      <c r="M26" s="22">
        <f>IF(OR($E26=0,L$78=0),0,IF(AND(L26="N/A",$G26&lt;&gt;""),0,$F26+SUMPRODUCT(($G$14:$G$71=$A26)*($E$14:$E$71=1)*(L$14:L$71="N/A")*$F$14:$F$71)))</f>
        <v/>
      </c>
      <c r="N26" s="22">
        <f>IF(L26="SI",M26,0)</f>
        <v/>
      </c>
      <c r="O26" s="21" t="n"/>
      <c r="P26" s="22">
        <f>IF(OR($E26=0,O$78=0),0,IF(AND(O26="N/A",$G26&lt;&gt;""),0,$F26+SUMPRODUCT(($G$14:$G$71=$A26)*($E$14:$E$71=1)*(O$14:O$71="N/A")*$F$14:$F$71)))</f>
        <v/>
      </c>
      <c r="Q26" s="22">
        <f>IF(O26="SI",P26,0)</f>
        <v/>
      </c>
      <c r="R26" s="21" t="n"/>
      <c r="S26" s="22">
        <f>IF(OR($E26=0,R$78=0),0,IF(AND(R26="N/A",$G26&lt;&gt;""),0,$F26+SUMPRODUCT(($G$14:$G$71=$A26)*($E$14:$E$71=1)*(R$14:R$71="N/A")*$F$14:$F$71)))</f>
        <v/>
      </c>
      <c r="T26" s="22">
        <f>IF(R26="SI",S26,0)</f>
        <v/>
      </c>
      <c r="U26" s="21" t="n"/>
      <c r="V26" s="22">
        <f>IF(OR($E26=0,U$78=0),0,IF(AND(U26="N/A",$G26&lt;&gt;""),0,$F26+SUMPRODUCT(($G$14:$G$71=$A26)*($E$14:$E$71=1)*(U$14:U$71="N/A")*$F$14:$F$71)))</f>
        <v/>
      </c>
      <c r="W26" s="22">
        <f>IF(U26="SI",V26,0)</f>
        <v/>
      </c>
      <c r="X26" s="21" t="n"/>
      <c r="Y26" s="22">
        <f>IF(OR($E26=0,X$78=0),0,IF(AND(X26="N/A",$G26&lt;&gt;""),0,$F26+SUMPRODUCT(($G$14:$G$71=$A26)*($E$14:$E$71=1)*(X$14:X$71="N/A")*$F$14:$F$71)))</f>
        <v/>
      </c>
      <c r="Z26" s="22">
        <f>IF(X26="SI",Y26,0)</f>
        <v/>
      </c>
      <c r="AA26" s="22">
        <f>SUM(J26,M26,P26,S26,V26,Y26)</f>
        <v/>
      </c>
      <c r="AB26" s="22">
        <f>SUM(K26,N26,Q26,T26,W26,Z26)</f>
        <v/>
      </c>
      <c r="AC26" s="23">
        <f>IF(AA26=0,"",AB26/AA26)</f>
        <v/>
      </c>
      <c r="AD26" s="22">
        <f>CRITERIOS!Q14</f>
        <v/>
      </c>
      <c r="AE26" s="22">
        <f>IF(AND(E26=1,H26&lt;&gt;"X",((I26="N/A")+(L26="N/A")+(O26="N/A")+(R26="N/A")+(U26="N/A")+(X26="N/A"))&gt;0),"REVISAR","")</f>
        <v/>
      </c>
    </row>
    <row r="27">
      <c r="A27" s="19">
        <f>CRITERIOS!B15</f>
        <v/>
      </c>
      <c r="B27" s="19">
        <f>CRITERIOS!C15</f>
        <v/>
      </c>
      <c r="C27" s="20">
        <f>CRITERIOS!D15</f>
        <v/>
      </c>
      <c r="D27" s="19">
        <f>CRITERIOS!E15</f>
        <v/>
      </c>
      <c r="E27" s="19">
        <f>IFERROR(IF(AND(OR(CRITERIOS!F15="Todos",CRITERIOS!F15=$B$4),INDEX(CRITERIOS!H15:J15,MATCH($B$5,VARIABLES!$E$2:$E$4,0))=1),1,0),0)</f>
        <v/>
      </c>
      <c r="F27" s="19">
        <f>IFERROR(IF(E27=1,INDEX(CRITERIOS!K15:M15,MATCH($B$5,VARIABLES!$E$2:$E$4,0)),0),0)</f>
        <v/>
      </c>
      <c r="G27" s="19">
        <f>IF(CRITERIOS!N15="","",CRITERIOS!N15)</f>
        <v/>
      </c>
      <c r="H27" s="19">
        <f>IF(CRITERIOS!O15="","",CRITERIOS!O15)</f>
        <v/>
      </c>
      <c r="I27" s="21" t="n"/>
      <c r="J27" s="22">
        <f>IF(OR($E27=0,I$78=0),0,IF(AND(I27="N/A",$G27&lt;&gt;""),0,$F27+SUMPRODUCT(($G$14:$G$71=$A27)*($E$14:$E$71=1)*(I$14:I$71="N/A")*$F$14:$F$71)))</f>
        <v/>
      </c>
      <c r="K27" s="22">
        <f>IF(I27="SI",J27,0)</f>
        <v/>
      </c>
      <c r="L27" s="21" t="n"/>
      <c r="M27" s="22">
        <f>IF(OR($E27=0,L$78=0),0,IF(AND(L27="N/A",$G27&lt;&gt;""),0,$F27+SUMPRODUCT(($G$14:$G$71=$A27)*($E$14:$E$71=1)*(L$14:L$71="N/A")*$F$14:$F$71)))</f>
        <v/>
      </c>
      <c r="N27" s="22">
        <f>IF(L27="SI",M27,0)</f>
        <v/>
      </c>
      <c r="O27" s="21" t="n"/>
      <c r="P27" s="22">
        <f>IF(OR($E27=0,O$78=0),0,IF(AND(O27="N/A",$G27&lt;&gt;""),0,$F27+SUMPRODUCT(($G$14:$G$71=$A27)*($E$14:$E$71=1)*(O$14:O$71="N/A")*$F$14:$F$71)))</f>
        <v/>
      </c>
      <c r="Q27" s="22">
        <f>IF(O27="SI",P27,0)</f>
        <v/>
      </c>
      <c r="R27" s="21" t="n"/>
      <c r="S27" s="22">
        <f>IF(OR($E27=0,R$78=0),0,IF(AND(R27="N/A",$G27&lt;&gt;""),0,$F27+SUMPRODUCT(($G$14:$G$71=$A27)*($E$14:$E$71=1)*(R$14:R$71="N/A")*$F$14:$F$71)))</f>
        <v/>
      </c>
      <c r="T27" s="22">
        <f>IF(R27="SI",S27,0)</f>
        <v/>
      </c>
      <c r="U27" s="21" t="n"/>
      <c r="V27" s="22">
        <f>IF(OR($E27=0,U$78=0),0,IF(AND(U27="N/A",$G27&lt;&gt;""),0,$F27+SUMPRODUCT(($G$14:$G$71=$A27)*($E$14:$E$71=1)*(U$14:U$71="N/A")*$F$14:$F$71)))</f>
        <v/>
      </c>
      <c r="W27" s="22">
        <f>IF(U27="SI",V27,0)</f>
        <v/>
      </c>
      <c r="X27" s="21" t="n"/>
      <c r="Y27" s="22">
        <f>IF(OR($E27=0,X$78=0),0,IF(AND(X27="N/A",$G27&lt;&gt;""),0,$F27+SUMPRODUCT(($G$14:$G$71=$A27)*($E$14:$E$71=1)*(X$14:X$71="N/A")*$F$14:$F$71)))</f>
        <v/>
      </c>
      <c r="Z27" s="22">
        <f>IF(X27="SI",Y27,0)</f>
        <v/>
      </c>
      <c r="AA27" s="22">
        <f>SUM(J27,M27,P27,S27,V27,Y27)</f>
        <v/>
      </c>
      <c r="AB27" s="22">
        <f>SUM(K27,N27,Q27,T27,W27,Z27)</f>
        <v/>
      </c>
      <c r="AC27" s="23">
        <f>IF(AA27=0,"",AB27/AA27)</f>
        <v/>
      </c>
      <c r="AD27" s="22">
        <f>CRITERIOS!Q15</f>
        <v/>
      </c>
      <c r="AE27" s="22">
        <f>IF(AND(E27=1,H27&lt;&gt;"X",((I27="N/A")+(L27="N/A")+(O27="N/A")+(R27="N/A")+(U27="N/A")+(X27="N/A"))&gt;0),"REVISAR","")</f>
        <v/>
      </c>
    </row>
    <row r="28">
      <c r="A28" s="19">
        <f>CRITERIOS!B16</f>
        <v/>
      </c>
      <c r="B28" s="19">
        <f>CRITERIOS!C16</f>
        <v/>
      </c>
      <c r="C28" s="20">
        <f>CRITERIOS!D16</f>
        <v/>
      </c>
      <c r="D28" s="19">
        <f>CRITERIOS!E16</f>
        <v/>
      </c>
      <c r="E28" s="19">
        <f>IFERROR(IF(AND(OR(CRITERIOS!F16="Todos",CRITERIOS!F16=$B$4),INDEX(CRITERIOS!H16:J16,MATCH($B$5,VARIABLES!$E$2:$E$4,0))=1),1,0),0)</f>
        <v/>
      </c>
      <c r="F28" s="19">
        <f>IFERROR(IF(E28=1,INDEX(CRITERIOS!K16:M16,MATCH($B$5,VARIABLES!$E$2:$E$4,0)),0),0)</f>
        <v/>
      </c>
      <c r="G28" s="19">
        <f>IF(CRITERIOS!N16="","",CRITERIOS!N16)</f>
        <v/>
      </c>
      <c r="H28" s="19">
        <f>IF(CRITERIOS!O16="","",CRITERIOS!O16)</f>
        <v/>
      </c>
      <c r="I28" s="21" t="n"/>
      <c r="J28" s="22">
        <f>IF(OR($E28=0,I$78=0),0,IF(AND(I28="N/A",$G28&lt;&gt;""),0,$F28+SUMPRODUCT(($G$14:$G$71=$A28)*($E$14:$E$71=1)*(I$14:I$71="N/A")*$F$14:$F$71)))</f>
        <v/>
      </c>
      <c r="K28" s="22">
        <f>IF(I28="SI",J28,0)</f>
        <v/>
      </c>
      <c r="L28" s="21" t="n"/>
      <c r="M28" s="22">
        <f>IF(OR($E28=0,L$78=0),0,IF(AND(L28="N/A",$G28&lt;&gt;""),0,$F28+SUMPRODUCT(($G$14:$G$71=$A28)*($E$14:$E$71=1)*(L$14:L$71="N/A")*$F$14:$F$71)))</f>
        <v/>
      </c>
      <c r="N28" s="22">
        <f>IF(L28="SI",M28,0)</f>
        <v/>
      </c>
      <c r="O28" s="21" t="n"/>
      <c r="P28" s="22">
        <f>IF(OR($E28=0,O$78=0),0,IF(AND(O28="N/A",$G28&lt;&gt;""),0,$F28+SUMPRODUCT(($G$14:$G$71=$A28)*($E$14:$E$71=1)*(O$14:O$71="N/A")*$F$14:$F$71)))</f>
        <v/>
      </c>
      <c r="Q28" s="22">
        <f>IF(O28="SI",P28,0)</f>
        <v/>
      </c>
      <c r="R28" s="21" t="n"/>
      <c r="S28" s="22">
        <f>IF(OR($E28=0,R$78=0),0,IF(AND(R28="N/A",$G28&lt;&gt;""),0,$F28+SUMPRODUCT(($G$14:$G$71=$A28)*($E$14:$E$71=1)*(R$14:R$71="N/A")*$F$14:$F$71)))</f>
        <v/>
      </c>
      <c r="T28" s="22">
        <f>IF(R28="SI",S28,0)</f>
        <v/>
      </c>
      <c r="U28" s="21" t="n"/>
      <c r="V28" s="22">
        <f>IF(OR($E28=0,U$78=0),0,IF(AND(U28="N/A",$G28&lt;&gt;""),0,$F28+SUMPRODUCT(($G$14:$G$71=$A28)*($E$14:$E$71=1)*(U$14:U$71="N/A")*$F$14:$F$71)))</f>
        <v/>
      </c>
      <c r="W28" s="22">
        <f>IF(U28="SI",V28,0)</f>
        <v/>
      </c>
      <c r="X28" s="21" t="n"/>
      <c r="Y28" s="22">
        <f>IF(OR($E28=0,X$78=0),0,IF(AND(X28="N/A",$G28&lt;&gt;""),0,$F28+SUMPRODUCT(($G$14:$G$71=$A28)*($E$14:$E$71=1)*(X$14:X$71="N/A")*$F$14:$F$71)))</f>
        <v/>
      </c>
      <c r="Z28" s="22">
        <f>IF(X28="SI",Y28,0)</f>
        <v/>
      </c>
      <c r="AA28" s="22">
        <f>SUM(J28,M28,P28,S28,V28,Y28)</f>
        <v/>
      </c>
      <c r="AB28" s="22">
        <f>SUM(K28,N28,Q28,T28,W28,Z28)</f>
        <v/>
      </c>
      <c r="AC28" s="23">
        <f>IF(AA28=0,"",AB28/AA28)</f>
        <v/>
      </c>
      <c r="AD28" s="22">
        <f>CRITERIOS!Q16</f>
        <v/>
      </c>
      <c r="AE28" s="22">
        <f>IF(AND(E28=1,H28&lt;&gt;"X",((I28="N/A")+(L28="N/A")+(O28="N/A")+(R28="N/A")+(U28="N/A")+(X28="N/A"))&gt;0),"REVISAR","")</f>
        <v/>
      </c>
    </row>
    <row r="29">
      <c r="A29" s="19">
        <f>CRITERIOS!B17</f>
        <v/>
      </c>
      <c r="B29" s="19">
        <f>CRITERIOS!C17</f>
        <v/>
      </c>
      <c r="C29" s="20">
        <f>CRITERIOS!D17</f>
        <v/>
      </c>
      <c r="D29" s="19">
        <f>CRITERIOS!E17</f>
        <v/>
      </c>
      <c r="E29" s="19">
        <f>IFERROR(IF(AND(OR(CRITERIOS!F17="Todos",CRITERIOS!F17=$B$4),INDEX(CRITERIOS!H17:J17,MATCH($B$5,VARIABLES!$E$2:$E$4,0))=1),1,0),0)</f>
        <v/>
      </c>
      <c r="F29" s="19">
        <f>IFERROR(IF(E29=1,INDEX(CRITERIOS!K17:M17,MATCH($B$5,VARIABLES!$E$2:$E$4,0)),0),0)</f>
        <v/>
      </c>
      <c r="G29" s="19">
        <f>IF(CRITERIOS!N17="","",CRITERIOS!N17)</f>
        <v/>
      </c>
      <c r="H29" s="19">
        <f>IF(CRITERIOS!O17="","",CRITERIOS!O17)</f>
        <v/>
      </c>
      <c r="I29" s="21" t="n"/>
      <c r="J29" s="22">
        <f>IF(OR($E29=0,I$78=0),0,IF(AND(I29="N/A",$G29&lt;&gt;""),0,$F29+SUMPRODUCT(($G$14:$G$71=$A29)*($E$14:$E$71=1)*(I$14:I$71="N/A")*$F$14:$F$71)))</f>
        <v/>
      </c>
      <c r="K29" s="22">
        <f>IF(I29="SI",J29,0)</f>
        <v/>
      </c>
      <c r="L29" s="21" t="n"/>
      <c r="M29" s="22">
        <f>IF(OR($E29=0,L$78=0),0,IF(AND(L29="N/A",$G29&lt;&gt;""),0,$F29+SUMPRODUCT(($G$14:$G$71=$A29)*($E$14:$E$71=1)*(L$14:L$71="N/A")*$F$14:$F$71)))</f>
        <v/>
      </c>
      <c r="N29" s="22">
        <f>IF(L29="SI",M29,0)</f>
        <v/>
      </c>
      <c r="O29" s="21" t="n"/>
      <c r="P29" s="22">
        <f>IF(OR($E29=0,O$78=0),0,IF(AND(O29="N/A",$G29&lt;&gt;""),0,$F29+SUMPRODUCT(($G$14:$G$71=$A29)*($E$14:$E$71=1)*(O$14:O$71="N/A")*$F$14:$F$71)))</f>
        <v/>
      </c>
      <c r="Q29" s="22">
        <f>IF(O29="SI",P29,0)</f>
        <v/>
      </c>
      <c r="R29" s="21" t="n"/>
      <c r="S29" s="22">
        <f>IF(OR($E29=0,R$78=0),0,IF(AND(R29="N/A",$G29&lt;&gt;""),0,$F29+SUMPRODUCT(($G$14:$G$71=$A29)*($E$14:$E$71=1)*(R$14:R$71="N/A")*$F$14:$F$71)))</f>
        <v/>
      </c>
      <c r="T29" s="22">
        <f>IF(R29="SI",S29,0)</f>
        <v/>
      </c>
      <c r="U29" s="21" t="n"/>
      <c r="V29" s="22">
        <f>IF(OR($E29=0,U$78=0),0,IF(AND(U29="N/A",$G29&lt;&gt;""),0,$F29+SUMPRODUCT(($G$14:$G$71=$A29)*($E$14:$E$71=1)*(U$14:U$71="N/A")*$F$14:$F$71)))</f>
        <v/>
      </c>
      <c r="W29" s="22">
        <f>IF(U29="SI",V29,0)</f>
        <v/>
      </c>
      <c r="X29" s="21" t="n"/>
      <c r="Y29" s="22">
        <f>IF(OR($E29=0,X$78=0),0,IF(AND(X29="N/A",$G29&lt;&gt;""),0,$F29+SUMPRODUCT(($G$14:$G$71=$A29)*($E$14:$E$71=1)*(X$14:X$71="N/A")*$F$14:$F$71)))</f>
        <v/>
      </c>
      <c r="Z29" s="22">
        <f>IF(X29="SI",Y29,0)</f>
        <v/>
      </c>
      <c r="AA29" s="22">
        <f>SUM(J29,M29,P29,S29,V29,Y29)</f>
        <v/>
      </c>
      <c r="AB29" s="22">
        <f>SUM(K29,N29,Q29,T29,W29,Z29)</f>
        <v/>
      </c>
      <c r="AC29" s="23">
        <f>IF(AA29=0,"",AB29/AA29)</f>
        <v/>
      </c>
      <c r="AD29" s="22">
        <f>CRITERIOS!Q17</f>
        <v/>
      </c>
      <c r="AE29" s="22">
        <f>IF(AND(E29=1,H29&lt;&gt;"X",((I29="N/A")+(L29="N/A")+(O29="N/A")+(R29="N/A")+(U29="N/A")+(X29="N/A"))&gt;0),"REVISAR","")</f>
        <v/>
      </c>
    </row>
    <row r="30">
      <c r="A30" s="22">
        <f>CRITERIOS!B18</f>
        <v/>
      </c>
      <c r="B30" s="22">
        <f>CRITERIOS!C18</f>
        <v/>
      </c>
      <c r="C30" s="8">
        <f>CRITERIOS!D18</f>
        <v/>
      </c>
      <c r="D30" s="22">
        <f>CRITERIOS!E18</f>
        <v/>
      </c>
      <c r="E30" s="22">
        <f>IFERROR(IF(AND(OR(CRITERIOS!F18="Todos",CRITERIOS!F18=$B$4),INDEX(CRITERIOS!H18:J18,MATCH($B$5,VARIABLES!$E$2:$E$4,0))=1),1,0),0)</f>
        <v/>
      </c>
      <c r="F30" s="22">
        <f>IFERROR(IF(E30=1,INDEX(CRITERIOS!K18:M18,MATCH($B$5,VARIABLES!$E$2:$E$4,0)),0),0)</f>
        <v/>
      </c>
      <c r="G30" s="22">
        <f>IF(CRITERIOS!N18="","",CRITERIOS!N18)</f>
        <v/>
      </c>
      <c r="H30" s="22">
        <f>IF(CRITERIOS!O18="","",CRITERIOS!O18)</f>
        <v/>
      </c>
      <c r="I30" s="21" t="n"/>
      <c r="J30" s="22">
        <f>IF(OR($E30=0,I$78=0),0,IF(AND(I30="N/A",$G30&lt;&gt;""),0,$F30+SUMPRODUCT(($G$14:$G$71=$A30)*($E$14:$E$71=1)*(I$14:I$71="N/A")*$F$14:$F$71)))</f>
        <v/>
      </c>
      <c r="K30" s="22">
        <f>IF(I30="SI",J30,0)</f>
        <v/>
      </c>
      <c r="L30" s="21" t="n"/>
      <c r="M30" s="22">
        <f>IF(OR($E30=0,L$78=0),0,IF(AND(L30="N/A",$G30&lt;&gt;""),0,$F30+SUMPRODUCT(($G$14:$G$71=$A30)*($E$14:$E$71=1)*(L$14:L$71="N/A")*$F$14:$F$71)))</f>
        <v/>
      </c>
      <c r="N30" s="22">
        <f>IF(L30="SI",M30,0)</f>
        <v/>
      </c>
      <c r="O30" s="21" t="n"/>
      <c r="P30" s="22">
        <f>IF(OR($E30=0,O$78=0),0,IF(AND(O30="N/A",$G30&lt;&gt;""),0,$F30+SUMPRODUCT(($G$14:$G$71=$A30)*($E$14:$E$71=1)*(O$14:O$71="N/A")*$F$14:$F$71)))</f>
        <v/>
      </c>
      <c r="Q30" s="22">
        <f>IF(O30="SI",P30,0)</f>
        <v/>
      </c>
      <c r="R30" s="21" t="n"/>
      <c r="S30" s="22">
        <f>IF(OR($E30=0,R$78=0),0,IF(AND(R30="N/A",$G30&lt;&gt;""),0,$F30+SUMPRODUCT(($G$14:$G$71=$A30)*($E$14:$E$71=1)*(R$14:R$71="N/A")*$F$14:$F$71)))</f>
        <v/>
      </c>
      <c r="T30" s="22">
        <f>IF(R30="SI",S30,0)</f>
        <v/>
      </c>
      <c r="U30" s="21" t="n"/>
      <c r="V30" s="22">
        <f>IF(OR($E30=0,U$78=0),0,IF(AND(U30="N/A",$G30&lt;&gt;""),0,$F30+SUMPRODUCT(($G$14:$G$71=$A30)*($E$14:$E$71=1)*(U$14:U$71="N/A")*$F$14:$F$71)))</f>
        <v/>
      </c>
      <c r="W30" s="22">
        <f>IF(U30="SI",V30,0)</f>
        <v/>
      </c>
      <c r="X30" s="21" t="n"/>
      <c r="Y30" s="22">
        <f>IF(OR($E30=0,X$78=0),0,IF(AND(X30="N/A",$G30&lt;&gt;""),0,$F30+SUMPRODUCT(($G$14:$G$71=$A30)*($E$14:$E$71=1)*(X$14:X$71="N/A")*$F$14:$F$71)))</f>
        <v/>
      </c>
      <c r="Z30" s="22">
        <f>IF(X30="SI",Y30,0)</f>
        <v/>
      </c>
      <c r="AA30" s="22">
        <f>SUM(J30,M30,P30,S30,V30,Y30)</f>
        <v/>
      </c>
      <c r="AB30" s="22">
        <f>SUM(K30,N30,Q30,T30,W30,Z30)</f>
        <v/>
      </c>
      <c r="AC30" s="23">
        <f>IF(AA30=0,"",AB30/AA30)</f>
        <v/>
      </c>
      <c r="AD30" s="22">
        <f>CRITERIOS!Q18</f>
        <v/>
      </c>
      <c r="AE30" s="22">
        <f>IF(AND(E30=1,H30&lt;&gt;"X",((I30="N/A")+(L30="N/A")+(O30="N/A")+(R30="N/A")+(U30="N/A")+(X30="N/A"))&gt;0),"REVISAR","")</f>
        <v/>
      </c>
    </row>
    <row r="31">
      <c r="A31" s="24">
        <f>CRITERIOS!B19</f>
        <v/>
      </c>
      <c r="B31" s="24">
        <f>CRITERIOS!C19</f>
        <v/>
      </c>
      <c r="C31" s="25">
        <f>CRITERIOS!D19</f>
        <v/>
      </c>
      <c r="D31" s="24">
        <f>CRITERIOS!E19</f>
        <v/>
      </c>
      <c r="E31" s="24">
        <f>IFERROR(IF(AND(OR(CRITERIOS!F19="Todos",CRITERIOS!F19=$B$4),INDEX(CRITERIOS!H19:J19,MATCH($B$5,VARIABLES!$E$2:$E$4,0))=1),1,0),0)</f>
        <v/>
      </c>
      <c r="F31" s="24">
        <f>IFERROR(IF(E31=1,INDEX(CRITERIOS!K19:M19,MATCH($B$5,VARIABLES!$E$2:$E$4,0)),0),0)</f>
        <v/>
      </c>
      <c r="G31" s="24">
        <f>IF(CRITERIOS!N19="","",CRITERIOS!N19)</f>
        <v/>
      </c>
      <c r="H31" s="24">
        <f>IF(CRITERIOS!O19="","",CRITERIOS!O19)</f>
        <v/>
      </c>
      <c r="I31" s="21" t="n"/>
      <c r="J31" s="22">
        <f>IF(OR($E31=0,I$78=0),0,IF(AND(I31="N/A",$G31&lt;&gt;""),0,$F31+SUMPRODUCT(($G$14:$G$71=$A31)*($E$14:$E$71=1)*(I$14:I$71="N/A")*$F$14:$F$71)))</f>
        <v/>
      </c>
      <c r="K31" s="22">
        <f>IF(I31="SI",J31,0)</f>
        <v/>
      </c>
      <c r="L31" s="21" t="n"/>
      <c r="M31" s="22">
        <f>IF(OR($E31=0,L$78=0),0,IF(AND(L31="N/A",$G31&lt;&gt;""),0,$F31+SUMPRODUCT(($G$14:$G$71=$A31)*($E$14:$E$71=1)*(L$14:L$71="N/A")*$F$14:$F$71)))</f>
        <v/>
      </c>
      <c r="N31" s="22">
        <f>IF(L31="SI",M31,0)</f>
        <v/>
      </c>
      <c r="O31" s="21" t="n"/>
      <c r="P31" s="22">
        <f>IF(OR($E31=0,O$78=0),0,IF(AND(O31="N/A",$G31&lt;&gt;""),0,$F31+SUMPRODUCT(($G$14:$G$71=$A31)*($E$14:$E$71=1)*(O$14:O$71="N/A")*$F$14:$F$71)))</f>
        <v/>
      </c>
      <c r="Q31" s="22">
        <f>IF(O31="SI",P31,0)</f>
        <v/>
      </c>
      <c r="R31" s="21" t="n"/>
      <c r="S31" s="22">
        <f>IF(OR($E31=0,R$78=0),0,IF(AND(R31="N/A",$G31&lt;&gt;""),0,$F31+SUMPRODUCT(($G$14:$G$71=$A31)*($E$14:$E$71=1)*(R$14:R$71="N/A")*$F$14:$F$71)))</f>
        <v/>
      </c>
      <c r="T31" s="22">
        <f>IF(R31="SI",S31,0)</f>
        <v/>
      </c>
      <c r="U31" s="21" t="n"/>
      <c r="V31" s="22">
        <f>IF(OR($E31=0,U$78=0),0,IF(AND(U31="N/A",$G31&lt;&gt;""),0,$F31+SUMPRODUCT(($G$14:$G$71=$A31)*($E$14:$E$71=1)*(U$14:U$71="N/A")*$F$14:$F$71)))</f>
        <v/>
      </c>
      <c r="W31" s="22">
        <f>IF(U31="SI",V31,0)</f>
        <v/>
      </c>
      <c r="X31" s="21" t="n"/>
      <c r="Y31" s="22">
        <f>IF(OR($E31=0,X$78=0),0,IF(AND(X31="N/A",$G31&lt;&gt;""),0,$F31+SUMPRODUCT(($G$14:$G$71=$A31)*($E$14:$E$71=1)*(X$14:X$71="N/A")*$F$14:$F$71)))</f>
        <v/>
      </c>
      <c r="Z31" s="22">
        <f>IF(X31="SI",Y31,0)</f>
        <v/>
      </c>
      <c r="AA31" s="22">
        <f>SUM(J31,M31,P31,S31,V31,Y31)</f>
        <v/>
      </c>
      <c r="AB31" s="22">
        <f>SUM(K31,N31,Q31,T31,W31,Z31)</f>
        <v/>
      </c>
      <c r="AC31" s="23">
        <f>IF(AA31=0,"",AB31/AA31)</f>
        <v/>
      </c>
      <c r="AD31" s="22">
        <f>CRITERIOS!Q19</f>
        <v/>
      </c>
      <c r="AE31" s="22">
        <f>IF(AND(E31=1,H31&lt;&gt;"X",((I31="N/A")+(L31="N/A")+(O31="N/A")+(R31="N/A")+(U31="N/A")+(X31="N/A"))&gt;0),"REVISAR","")</f>
        <v/>
      </c>
    </row>
    <row r="32">
      <c r="A32" s="24">
        <f>CRITERIOS!B20</f>
        <v/>
      </c>
      <c r="B32" s="24">
        <f>CRITERIOS!C20</f>
        <v/>
      </c>
      <c r="C32" s="25">
        <f>CRITERIOS!D20</f>
        <v/>
      </c>
      <c r="D32" s="24">
        <f>CRITERIOS!E20</f>
        <v/>
      </c>
      <c r="E32" s="24">
        <f>IFERROR(IF(AND(OR(CRITERIOS!F20="Todos",CRITERIOS!F20=$B$4),INDEX(CRITERIOS!H20:J20,MATCH($B$5,VARIABLES!$E$2:$E$4,0))=1),1,0),0)</f>
        <v/>
      </c>
      <c r="F32" s="24">
        <f>IFERROR(IF(E32=1,INDEX(CRITERIOS!K20:M20,MATCH($B$5,VARIABLES!$E$2:$E$4,0)),0),0)</f>
        <v/>
      </c>
      <c r="G32" s="24">
        <f>IF(CRITERIOS!N20="","",CRITERIOS!N20)</f>
        <v/>
      </c>
      <c r="H32" s="24">
        <f>IF(CRITERIOS!O20="","",CRITERIOS!O20)</f>
        <v/>
      </c>
      <c r="I32" s="21" t="n"/>
      <c r="J32" s="22">
        <f>IF(OR($E32=0,I$78=0),0,IF(AND(I32="N/A",$G32&lt;&gt;""),0,$F32+SUMPRODUCT(($G$14:$G$71=$A32)*($E$14:$E$71=1)*(I$14:I$71="N/A")*$F$14:$F$71)))</f>
        <v/>
      </c>
      <c r="K32" s="22">
        <f>IF(I32="SI",J32,0)</f>
        <v/>
      </c>
      <c r="L32" s="21" t="n"/>
      <c r="M32" s="22">
        <f>IF(OR($E32=0,L$78=0),0,IF(AND(L32="N/A",$G32&lt;&gt;""),0,$F32+SUMPRODUCT(($G$14:$G$71=$A32)*($E$14:$E$71=1)*(L$14:L$71="N/A")*$F$14:$F$71)))</f>
        <v/>
      </c>
      <c r="N32" s="22">
        <f>IF(L32="SI",M32,0)</f>
        <v/>
      </c>
      <c r="O32" s="21" t="n"/>
      <c r="P32" s="22">
        <f>IF(OR($E32=0,O$78=0),0,IF(AND(O32="N/A",$G32&lt;&gt;""),0,$F32+SUMPRODUCT(($G$14:$G$71=$A32)*($E$14:$E$71=1)*(O$14:O$71="N/A")*$F$14:$F$71)))</f>
        <v/>
      </c>
      <c r="Q32" s="22">
        <f>IF(O32="SI",P32,0)</f>
        <v/>
      </c>
      <c r="R32" s="21" t="n"/>
      <c r="S32" s="22">
        <f>IF(OR($E32=0,R$78=0),0,IF(AND(R32="N/A",$G32&lt;&gt;""),0,$F32+SUMPRODUCT(($G$14:$G$71=$A32)*($E$14:$E$71=1)*(R$14:R$71="N/A")*$F$14:$F$71)))</f>
        <v/>
      </c>
      <c r="T32" s="22">
        <f>IF(R32="SI",S32,0)</f>
        <v/>
      </c>
      <c r="U32" s="21" t="n"/>
      <c r="V32" s="22">
        <f>IF(OR($E32=0,U$78=0),0,IF(AND(U32="N/A",$G32&lt;&gt;""),0,$F32+SUMPRODUCT(($G$14:$G$71=$A32)*($E$14:$E$71=1)*(U$14:U$71="N/A")*$F$14:$F$71)))</f>
        <v/>
      </c>
      <c r="W32" s="22">
        <f>IF(U32="SI",V32,0)</f>
        <v/>
      </c>
      <c r="X32" s="21" t="n"/>
      <c r="Y32" s="22">
        <f>IF(OR($E32=0,X$78=0),0,IF(AND(X32="N/A",$G32&lt;&gt;""),0,$F32+SUMPRODUCT(($G$14:$G$71=$A32)*($E$14:$E$71=1)*(X$14:X$71="N/A")*$F$14:$F$71)))</f>
        <v/>
      </c>
      <c r="Z32" s="22">
        <f>IF(X32="SI",Y32,0)</f>
        <v/>
      </c>
      <c r="AA32" s="22">
        <f>SUM(J32,M32,P32,S32,V32,Y32)</f>
        <v/>
      </c>
      <c r="AB32" s="22">
        <f>SUM(K32,N32,Q32,T32,W32,Z32)</f>
        <v/>
      </c>
      <c r="AC32" s="23">
        <f>IF(AA32=0,"",AB32/AA32)</f>
        <v/>
      </c>
      <c r="AD32" s="22">
        <f>CRITERIOS!Q20</f>
        <v/>
      </c>
      <c r="AE32" s="22">
        <f>IF(AND(E32=1,H32&lt;&gt;"X",((I32="N/A")+(L32="N/A")+(O32="N/A")+(R32="N/A")+(U32="N/A")+(X32="N/A"))&gt;0),"REVISAR","")</f>
        <v/>
      </c>
    </row>
    <row r="33">
      <c r="A33" s="24">
        <f>CRITERIOS!B21</f>
        <v/>
      </c>
      <c r="B33" s="24">
        <f>CRITERIOS!C21</f>
        <v/>
      </c>
      <c r="C33" s="25">
        <f>CRITERIOS!D21</f>
        <v/>
      </c>
      <c r="D33" s="24">
        <f>CRITERIOS!E21</f>
        <v/>
      </c>
      <c r="E33" s="24">
        <f>IFERROR(IF(AND(OR(CRITERIOS!F21="Todos",CRITERIOS!F21=$B$4),INDEX(CRITERIOS!H21:J21,MATCH($B$5,VARIABLES!$E$2:$E$4,0))=1),1,0),0)</f>
        <v/>
      </c>
      <c r="F33" s="24">
        <f>IFERROR(IF(E33=1,INDEX(CRITERIOS!K21:M21,MATCH($B$5,VARIABLES!$E$2:$E$4,0)),0),0)</f>
        <v/>
      </c>
      <c r="G33" s="24">
        <f>IF(CRITERIOS!N21="","",CRITERIOS!N21)</f>
        <v/>
      </c>
      <c r="H33" s="24">
        <f>IF(CRITERIOS!O21="","",CRITERIOS!O21)</f>
        <v/>
      </c>
      <c r="I33" s="21" t="n"/>
      <c r="J33" s="22">
        <f>IF(OR($E33=0,I$78=0),0,IF(AND(I33="N/A",$G33&lt;&gt;""),0,$F33+SUMPRODUCT(($G$14:$G$71=$A33)*($E$14:$E$71=1)*(I$14:I$71="N/A")*$F$14:$F$71)))</f>
        <v/>
      </c>
      <c r="K33" s="22">
        <f>IF(I33="SI",J33,0)</f>
        <v/>
      </c>
      <c r="L33" s="21" t="n"/>
      <c r="M33" s="22">
        <f>IF(OR($E33=0,L$78=0),0,IF(AND(L33="N/A",$G33&lt;&gt;""),0,$F33+SUMPRODUCT(($G$14:$G$71=$A33)*($E$14:$E$71=1)*(L$14:L$71="N/A")*$F$14:$F$71)))</f>
        <v/>
      </c>
      <c r="N33" s="22">
        <f>IF(L33="SI",M33,0)</f>
        <v/>
      </c>
      <c r="O33" s="21" t="n"/>
      <c r="P33" s="22">
        <f>IF(OR($E33=0,O$78=0),0,IF(AND(O33="N/A",$G33&lt;&gt;""),0,$F33+SUMPRODUCT(($G$14:$G$71=$A33)*($E$14:$E$71=1)*(O$14:O$71="N/A")*$F$14:$F$71)))</f>
        <v/>
      </c>
      <c r="Q33" s="22">
        <f>IF(O33="SI",P33,0)</f>
        <v/>
      </c>
      <c r="R33" s="21" t="n"/>
      <c r="S33" s="22">
        <f>IF(OR($E33=0,R$78=0),0,IF(AND(R33="N/A",$G33&lt;&gt;""),0,$F33+SUMPRODUCT(($G$14:$G$71=$A33)*($E$14:$E$71=1)*(R$14:R$71="N/A")*$F$14:$F$71)))</f>
        <v/>
      </c>
      <c r="T33" s="22">
        <f>IF(R33="SI",S33,0)</f>
        <v/>
      </c>
      <c r="U33" s="21" t="n"/>
      <c r="V33" s="22">
        <f>IF(OR($E33=0,U$78=0),0,IF(AND(U33="N/A",$G33&lt;&gt;""),0,$F33+SUMPRODUCT(($G$14:$G$71=$A33)*($E$14:$E$71=1)*(U$14:U$71="N/A")*$F$14:$F$71)))</f>
        <v/>
      </c>
      <c r="W33" s="22">
        <f>IF(U33="SI",V33,0)</f>
        <v/>
      </c>
      <c r="X33" s="21" t="n"/>
      <c r="Y33" s="22">
        <f>IF(OR($E33=0,X$78=0),0,IF(AND(X33="N/A",$G33&lt;&gt;""),0,$F33+SUMPRODUCT(($G$14:$G$71=$A33)*($E$14:$E$71=1)*(X$14:X$71="N/A")*$F$14:$F$71)))</f>
        <v/>
      </c>
      <c r="Z33" s="22">
        <f>IF(X33="SI",Y33,0)</f>
        <v/>
      </c>
      <c r="AA33" s="22">
        <f>SUM(J33,M33,P33,S33,V33,Y33)</f>
        <v/>
      </c>
      <c r="AB33" s="22">
        <f>SUM(K33,N33,Q33,T33,W33,Z33)</f>
        <v/>
      </c>
      <c r="AC33" s="23">
        <f>IF(AA33=0,"",AB33/AA33)</f>
        <v/>
      </c>
      <c r="AD33" s="22">
        <f>CRITERIOS!Q21</f>
        <v/>
      </c>
      <c r="AE33" s="22">
        <f>IF(AND(E33=1,H33&lt;&gt;"X",((I33="N/A")+(L33="N/A")+(O33="N/A")+(R33="N/A")+(U33="N/A")+(X33="N/A"))&gt;0),"REVISAR","")</f>
        <v/>
      </c>
    </row>
    <row r="34">
      <c r="A34" s="22">
        <f>CRITERIOS!B22</f>
        <v/>
      </c>
      <c r="B34" s="22">
        <f>CRITERIOS!C22</f>
        <v/>
      </c>
      <c r="C34" s="8">
        <f>CRITERIOS!D22</f>
        <v/>
      </c>
      <c r="D34" s="22">
        <f>CRITERIOS!E22</f>
        <v/>
      </c>
      <c r="E34" s="22">
        <f>IFERROR(IF(AND(OR(CRITERIOS!F22="Todos",CRITERIOS!F22=$B$4),INDEX(CRITERIOS!H22:J22,MATCH($B$5,VARIABLES!$E$2:$E$4,0))=1),1,0),0)</f>
        <v/>
      </c>
      <c r="F34" s="22">
        <f>IFERROR(IF(E34=1,INDEX(CRITERIOS!K22:M22,MATCH($B$5,VARIABLES!$E$2:$E$4,0)),0),0)</f>
        <v/>
      </c>
      <c r="G34" s="22">
        <f>IF(CRITERIOS!N22="","",CRITERIOS!N22)</f>
        <v/>
      </c>
      <c r="H34" s="22">
        <f>IF(CRITERIOS!O22="","",CRITERIOS!O22)</f>
        <v/>
      </c>
      <c r="I34" s="21" t="n"/>
      <c r="J34" s="22">
        <f>IF(OR($E34=0,I$78=0),0,IF(AND(I34="N/A",$G34&lt;&gt;""),0,$F34+SUMPRODUCT(($G$14:$G$71=$A34)*($E$14:$E$71=1)*(I$14:I$71="N/A")*$F$14:$F$71)))</f>
        <v/>
      </c>
      <c r="K34" s="22">
        <f>IF(I34="SI",J34,0)</f>
        <v/>
      </c>
      <c r="L34" s="21" t="n"/>
      <c r="M34" s="22">
        <f>IF(OR($E34=0,L$78=0),0,IF(AND(L34="N/A",$G34&lt;&gt;""),0,$F34+SUMPRODUCT(($G$14:$G$71=$A34)*($E$14:$E$71=1)*(L$14:L$71="N/A")*$F$14:$F$71)))</f>
        <v/>
      </c>
      <c r="N34" s="22">
        <f>IF(L34="SI",M34,0)</f>
        <v/>
      </c>
      <c r="O34" s="21" t="n"/>
      <c r="P34" s="22">
        <f>IF(OR($E34=0,O$78=0),0,IF(AND(O34="N/A",$G34&lt;&gt;""),0,$F34+SUMPRODUCT(($G$14:$G$71=$A34)*($E$14:$E$71=1)*(O$14:O$71="N/A")*$F$14:$F$71)))</f>
        <v/>
      </c>
      <c r="Q34" s="22">
        <f>IF(O34="SI",P34,0)</f>
        <v/>
      </c>
      <c r="R34" s="21" t="n"/>
      <c r="S34" s="22">
        <f>IF(OR($E34=0,R$78=0),0,IF(AND(R34="N/A",$G34&lt;&gt;""),0,$F34+SUMPRODUCT(($G$14:$G$71=$A34)*($E$14:$E$71=1)*(R$14:R$71="N/A")*$F$14:$F$71)))</f>
        <v/>
      </c>
      <c r="T34" s="22">
        <f>IF(R34="SI",S34,0)</f>
        <v/>
      </c>
      <c r="U34" s="21" t="n"/>
      <c r="V34" s="22">
        <f>IF(OR($E34=0,U$78=0),0,IF(AND(U34="N/A",$G34&lt;&gt;""),0,$F34+SUMPRODUCT(($G$14:$G$71=$A34)*($E$14:$E$71=1)*(U$14:U$71="N/A")*$F$14:$F$71)))</f>
        <v/>
      </c>
      <c r="W34" s="22">
        <f>IF(U34="SI",V34,0)</f>
        <v/>
      </c>
      <c r="X34" s="21" t="n"/>
      <c r="Y34" s="22">
        <f>IF(OR($E34=0,X$78=0),0,IF(AND(X34="N/A",$G34&lt;&gt;""),0,$F34+SUMPRODUCT(($G$14:$G$71=$A34)*($E$14:$E$71=1)*(X$14:X$71="N/A")*$F$14:$F$71)))</f>
        <v/>
      </c>
      <c r="Z34" s="22">
        <f>IF(X34="SI",Y34,0)</f>
        <v/>
      </c>
      <c r="AA34" s="22">
        <f>SUM(J34,M34,P34,S34,V34,Y34)</f>
        <v/>
      </c>
      <c r="AB34" s="22">
        <f>SUM(K34,N34,Q34,T34,W34,Z34)</f>
        <v/>
      </c>
      <c r="AC34" s="23">
        <f>IF(AA34=0,"",AB34/AA34)</f>
        <v/>
      </c>
      <c r="AD34" s="22">
        <f>CRITERIOS!Q22</f>
        <v/>
      </c>
      <c r="AE34" s="22">
        <f>IF(AND(E34=1,H34&lt;&gt;"X",((I34="N/A")+(L34="N/A")+(O34="N/A")+(R34="N/A")+(U34="N/A")+(X34="N/A"))&gt;0),"REVISAR","")</f>
        <v/>
      </c>
    </row>
    <row r="35">
      <c r="A35" s="22">
        <f>CRITERIOS!B23</f>
        <v/>
      </c>
      <c r="B35" s="22">
        <f>CRITERIOS!C23</f>
        <v/>
      </c>
      <c r="C35" s="8">
        <f>CRITERIOS!D23</f>
        <v/>
      </c>
      <c r="D35" s="22">
        <f>CRITERIOS!E23</f>
        <v/>
      </c>
      <c r="E35" s="22">
        <f>IFERROR(IF(AND(OR(CRITERIOS!F23="Todos",CRITERIOS!F23=$B$4),INDEX(CRITERIOS!H23:J23,MATCH($B$5,VARIABLES!$E$2:$E$4,0))=1),1,0),0)</f>
        <v/>
      </c>
      <c r="F35" s="22">
        <f>IFERROR(IF(E35=1,INDEX(CRITERIOS!K23:M23,MATCH($B$5,VARIABLES!$E$2:$E$4,0)),0),0)</f>
        <v/>
      </c>
      <c r="G35" s="22">
        <f>IF(CRITERIOS!N23="","",CRITERIOS!N23)</f>
        <v/>
      </c>
      <c r="H35" s="22">
        <f>IF(CRITERIOS!O23="","",CRITERIOS!O23)</f>
        <v/>
      </c>
      <c r="I35" s="21" t="n"/>
      <c r="J35" s="22">
        <f>IF(OR($E35=0,I$78=0),0,IF(AND(I35="N/A",$G35&lt;&gt;""),0,$F35+SUMPRODUCT(($G$14:$G$71=$A35)*($E$14:$E$71=1)*(I$14:I$71="N/A")*$F$14:$F$71)))</f>
        <v/>
      </c>
      <c r="K35" s="22">
        <f>IF(I35="SI",J35,0)</f>
        <v/>
      </c>
      <c r="L35" s="21" t="n"/>
      <c r="M35" s="22">
        <f>IF(OR($E35=0,L$78=0),0,IF(AND(L35="N/A",$G35&lt;&gt;""),0,$F35+SUMPRODUCT(($G$14:$G$71=$A35)*($E$14:$E$71=1)*(L$14:L$71="N/A")*$F$14:$F$71)))</f>
        <v/>
      </c>
      <c r="N35" s="22">
        <f>IF(L35="SI",M35,0)</f>
        <v/>
      </c>
      <c r="O35" s="21" t="n"/>
      <c r="P35" s="22">
        <f>IF(OR($E35=0,O$78=0),0,IF(AND(O35="N/A",$G35&lt;&gt;""),0,$F35+SUMPRODUCT(($G$14:$G$71=$A35)*($E$14:$E$71=1)*(O$14:O$71="N/A")*$F$14:$F$71)))</f>
        <v/>
      </c>
      <c r="Q35" s="22">
        <f>IF(O35="SI",P35,0)</f>
        <v/>
      </c>
      <c r="R35" s="21" t="n"/>
      <c r="S35" s="22">
        <f>IF(OR($E35=0,R$78=0),0,IF(AND(R35="N/A",$G35&lt;&gt;""),0,$F35+SUMPRODUCT(($G$14:$G$71=$A35)*($E$14:$E$71=1)*(R$14:R$71="N/A")*$F$14:$F$71)))</f>
        <v/>
      </c>
      <c r="T35" s="22">
        <f>IF(R35="SI",S35,0)</f>
        <v/>
      </c>
      <c r="U35" s="21" t="n"/>
      <c r="V35" s="22">
        <f>IF(OR($E35=0,U$78=0),0,IF(AND(U35="N/A",$G35&lt;&gt;""),0,$F35+SUMPRODUCT(($G$14:$G$71=$A35)*($E$14:$E$71=1)*(U$14:U$71="N/A")*$F$14:$F$71)))</f>
        <v/>
      </c>
      <c r="W35" s="22">
        <f>IF(U35="SI",V35,0)</f>
        <v/>
      </c>
      <c r="X35" s="21" t="n"/>
      <c r="Y35" s="22">
        <f>IF(OR($E35=0,X$78=0),0,IF(AND(X35="N/A",$G35&lt;&gt;""),0,$F35+SUMPRODUCT(($G$14:$G$71=$A35)*($E$14:$E$71=1)*(X$14:X$71="N/A")*$F$14:$F$71)))</f>
        <v/>
      </c>
      <c r="Z35" s="22">
        <f>IF(X35="SI",Y35,0)</f>
        <v/>
      </c>
      <c r="AA35" s="22">
        <f>SUM(J35,M35,P35,S35,V35,Y35)</f>
        <v/>
      </c>
      <c r="AB35" s="22">
        <f>SUM(K35,N35,Q35,T35,W35,Z35)</f>
        <v/>
      </c>
      <c r="AC35" s="23">
        <f>IF(AA35=0,"",AB35/AA35)</f>
        <v/>
      </c>
      <c r="AD35" s="22">
        <f>CRITERIOS!Q23</f>
        <v/>
      </c>
      <c r="AE35" s="22">
        <f>IF(AND(E35=1,H35&lt;&gt;"X",((I35="N/A")+(L35="N/A")+(O35="N/A")+(R35="N/A")+(U35="N/A")+(X35="N/A"))&gt;0),"REVISAR","")</f>
        <v/>
      </c>
    </row>
    <row r="36">
      <c r="A36" s="22">
        <f>CRITERIOS!B24</f>
        <v/>
      </c>
      <c r="B36" s="22">
        <f>CRITERIOS!C24</f>
        <v/>
      </c>
      <c r="C36" s="8">
        <f>CRITERIOS!D24</f>
        <v/>
      </c>
      <c r="D36" s="22">
        <f>CRITERIOS!E24</f>
        <v/>
      </c>
      <c r="E36" s="22">
        <f>IFERROR(IF(AND(OR(CRITERIOS!F24="Todos",CRITERIOS!F24=$B$4),INDEX(CRITERIOS!H24:J24,MATCH($B$5,VARIABLES!$E$2:$E$4,0))=1),1,0),0)</f>
        <v/>
      </c>
      <c r="F36" s="22">
        <f>IFERROR(IF(E36=1,INDEX(CRITERIOS!K24:M24,MATCH($B$5,VARIABLES!$E$2:$E$4,0)),0),0)</f>
        <v/>
      </c>
      <c r="G36" s="22">
        <f>IF(CRITERIOS!N24="","",CRITERIOS!N24)</f>
        <v/>
      </c>
      <c r="H36" s="22">
        <f>IF(CRITERIOS!O24="","",CRITERIOS!O24)</f>
        <v/>
      </c>
      <c r="I36" s="21" t="n"/>
      <c r="J36" s="22">
        <f>IF(OR($E36=0,I$78=0),0,IF(AND(I36="N/A",$G36&lt;&gt;""),0,$F36+SUMPRODUCT(($G$14:$G$71=$A36)*($E$14:$E$71=1)*(I$14:I$71="N/A")*$F$14:$F$71)))</f>
        <v/>
      </c>
      <c r="K36" s="22">
        <f>IF(I36="SI",J36,0)</f>
        <v/>
      </c>
      <c r="L36" s="21" t="n"/>
      <c r="M36" s="22">
        <f>IF(OR($E36=0,L$78=0),0,IF(AND(L36="N/A",$G36&lt;&gt;""),0,$F36+SUMPRODUCT(($G$14:$G$71=$A36)*($E$14:$E$71=1)*(L$14:L$71="N/A")*$F$14:$F$71)))</f>
        <v/>
      </c>
      <c r="N36" s="22">
        <f>IF(L36="SI",M36,0)</f>
        <v/>
      </c>
      <c r="O36" s="21" t="n"/>
      <c r="P36" s="22">
        <f>IF(OR($E36=0,O$78=0),0,IF(AND(O36="N/A",$G36&lt;&gt;""),0,$F36+SUMPRODUCT(($G$14:$G$71=$A36)*($E$14:$E$71=1)*(O$14:O$71="N/A")*$F$14:$F$71)))</f>
        <v/>
      </c>
      <c r="Q36" s="22">
        <f>IF(O36="SI",P36,0)</f>
        <v/>
      </c>
      <c r="R36" s="21" t="n"/>
      <c r="S36" s="22">
        <f>IF(OR($E36=0,R$78=0),0,IF(AND(R36="N/A",$G36&lt;&gt;""),0,$F36+SUMPRODUCT(($G$14:$G$71=$A36)*($E$14:$E$71=1)*(R$14:R$71="N/A")*$F$14:$F$71)))</f>
        <v/>
      </c>
      <c r="T36" s="22">
        <f>IF(R36="SI",S36,0)</f>
        <v/>
      </c>
      <c r="U36" s="21" t="n"/>
      <c r="V36" s="22">
        <f>IF(OR($E36=0,U$78=0),0,IF(AND(U36="N/A",$G36&lt;&gt;""),0,$F36+SUMPRODUCT(($G$14:$G$71=$A36)*($E$14:$E$71=1)*(U$14:U$71="N/A")*$F$14:$F$71)))</f>
        <v/>
      </c>
      <c r="W36" s="22">
        <f>IF(U36="SI",V36,0)</f>
        <v/>
      </c>
      <c r="X36" s="21" t="n"/>
      <c r="Y36" s="22">
        <f>IF(OR($E36=0,X$78=0),0,IF(AND(X36="N/A",$G36&lt;&gt;""),0,$F36+SUMPRODUCT(($G$14:$G$71=$A36)*($E$14:$E$71=1)*(X$14:X$71="N/A")*$F$14:$F$71)))</f>
        <v/>
      </c>
      <c r="Z36" s="22">
        <f>IF(X36="SI",Y36,0)</f>
        <v/>
      </c>
      <c r="AA36" s="22">
        <f>SUM(J36,M36,P36,S36,V36,Y36)</f>
        <v/>
      </c>
      <c r="AB36" s="22">
        <f>SUM(K36,N36,Q36,T36,W36,Z36)</f>
        <v/>
      </c>
      <c r="AC36" s="23">
        <f>IF(AA36=0,"",AB36/AA36)</f>
        <v/>
      </c>
      <c r="AD36" s="22">
        <f>CRITERIOS!Q24</f>
        <v/>
      </c>
      <c r="AE36" s="22">
        <f>IF(AND(E36=1,H36&lt;&gt;"X",((I36="N/A")+(L36="N/A")+(O36="N/A")+(R36="N/A")+(U36="N/A")+(X36="N/A"))&gt;0),"REVISAR","")</f>
        <v/>
      </c>
    </row>
    <row r="37">
      <c r="A37" s="22">
        <f>CRITERIOS!B25</f>
        <v/>
      </c>
      <c r="B37" s="22">
        <f>CRITERIOS!C25</f>
        <v/>
      </c>
      <c r="C37" s="8">
        <f>CRITERIOS!D25</f>
        <v/>
      </c>
      <c r="D37" s="22">
        <f>CRITERIOS!E25</f>
        <v/>
      </c>
      <c r="E37" s="22">
        <f>IFERROR(IF(AND(OR(CRITERIOS!F25="Todos",CRITERIOS!F25=$B$4),INDEX(CRITERIOS!H25:J25,MATCH($B$5,VARIABLES!$E$2:$E$4,0))=1),1,0),0)</f>
        <v/>
      </c>
      <c r="F37" s="22">
        <f>IFERROR(IF(E37=1,INDEX(CRITERIOS!K25:M25,MATCH($B$5,VARIABLES!$E$2:$E$4,0)),0),0)</f>
        <v/>
      </c>
      <c r="G37" s="22">
        <f>IF(CRITERIOS!N25="","",CRITERIOS!N25)</f>
        <v/>
      </c>
      <c r="H37" s="22">
        <f>IF(CRITERIOS!O25="","",CRITERIOS!O25)</f>
        <v/>
      </c>
      <c r="I37" s="21" t="n"/>
      <c r="J37" s="22">
        <f>IF(OR($E37=0,I$78=0),0,IF(AND(I37="N/A",$G37&lt;&gt;""),0,$F37+SUMPRODUCT(($G$14:$G$71=$A37)*($E$14:$E$71=1)*(I$14:I$71="N/A")*$F$14:$F$71)))</f>
        <v/>
      </c>
      <c r="K37" s="22">
        <f>IF(I37="SI",J37,0)</f>
        <v/>
      </c>
      <c r="L37" s="21" t="n"/>
      <c r="M37" s="22">
        <f>IF(OR($E37=0,L$78=0),0,IF(AND(L37="N/A",$G37&lt;&gt;""),0,$F37+SUMPRODUCT(($G$14:$G$71=$A37)*($E$14:$E$71=1)*(L$14:L$71="N/A")*$F$14:$F$71)))</f>
        <v/>
      </c>
      <c r="N37" s="22">
        <f>IF(L37="SI",M37,0)</f>
        <v/>
      </c>
      <c r="O37" s="21" t="n"/>
      <c r="P37" s="22">
        <f>IF(OR($E37=0,O$78=0),0,IF(AND(O37="N/A",$G37&lt;&gt;""),0,$F37+SUMPRODUCT(($G$14:$G$71=$A37)*($E$14:$E$71=1)*(O$14:O$71="N/A")*$F$14:$F$71)))</f>
        <v/>
      </c>
      <c r="Q37" s="22">
        <f>IF(O37="SI",P37,0)</f>
        <v/>
      </c>
      <c r="R37" s="21" t="n"/>
      <c r="S37" s="22">
        <f>IF(OR($E37=0,R$78=0),0,IF(AND(R37="N/A",$G37&lt;&gt;""),0,$F37+SUMPRODUCT(($G$14:$G$71=$A37)*($E$14:$E$71=1)*(R$14:R$71="N/A")*$F$14:$F$71)))</f>
        <v/>
      </c>
      <c r="T37" s="22">
        <f>IF(R37="SI",S37,0)</f>
        <v/>
      </c>
      <c r="U37" s="21" t="n"/>
      <c r="V37" s="22">
        <f>IF(OR($E37=0,U$78=0),0,IF(AND(U37="N/A",$G37&lt;&gt;""),0,$F37+SUMPRODUCT(($G$14:$G$71=$A37)*($E$14:$E$71=1)*(U$14:U$71="N/A")*$F$14:$F$71)))</f>
        <v/>
      </c>
      <c r="W37" s="22">
        <f>IF(U37="SI",V37,0)</f>
        <v/>
      </c>
      <c r="X37" s="21" t="n"/>
      <c r="Y37" s="22">
        <f>IF(OR($E37=0,X$78=0),0,IF(AND(X37="N/A",$G37&lt;&gt;""),0,$F37+SUMPRODUCT(($G$14:$G$71=$A37)*($E$14:$E$71=1)*(X$14:X$71="N/A")*$F$14:$F$71)))</f>
        <v/>
      </c>
      <c r="Z37" s="22">
        <f>IF(X37="SI",Y37,0)</f>
        <v/>
      </c>
      <c r="AA37" s="22">
        <f>SUM(J37,M37,P37,S37,V37,Y37)</f>
        <v/>
      </c>
      <c r="AB37" s="22">
        <f>SUM(K37,N37,Q37,T37,W37,Z37)</f>
        <v/>
      </c>
      <c r="AC37" s="23">
        <f>IF(AA37=0,"",AB37/AA37)</f>
        <v/>
      </c>
      <c r="AD37" s="22">
        <f>CRITERIOS!Q25</f>
        <v/>
      </c>
      <c r="AE37" s="22">
        <f>IF(AND(E37=1,H37&lt;&gt;"X",((I37="N/A")+(L37="N/A")+(O37="N/A")+(R37="N/A")+(U37="N/A")+(X37="N/A"))&gt;0),"REVISAR","")</f>
        <v/>
      </c>
    </row>
    <row r="38">
      <c r="A38" s="22">
        <f>CRITERIOS!B26</f>
        <v/>
      </c>
      <c r="B38" s="22">
        <f>CRITERIOS!C26</f>
        <v/>
      </c>
      <c r="C38" s="8">
        <f>CRITERIOS!D26</f>
        <v/>
      </c>
      <c r="D38" s="22">
        <f>CRITERIOS!E26</f>
        <v/>
      </c>
      <c r="E38" s="22">
        <f>IFERROR(IF(AND(OR(CRITERIOS!F26="Todos",CRITERIOS!F26=$B$4),INDEX(CRITERIOS!H26:J26,MATCH($B$5,VARIABLES!$E$2:$E$4,0))=1),1,0),0)</f>
        <v/>
      </c>
      <c r="F38" s="22">
        <f>IFERROR(IF(E38=1,INDEX(CRITERIOS!K26:M26,MATCH($B$5,VARIABLES!$E$2:$E$4,0)),0),0)</f>
        <v/>
      </c>
      <c r="G38" s="22">
        <f>IF(CRITERIOS!N26="","",CRITERIOS!N26)</f>
        <v/>
      </c>
      <c r="H38" s="22">
        <f>IF(CRITERIOS!O26="","",CRITERIOS!O26)</f>
        <v/>
      </c>
      <c r="I38" s="21" t="n"/>
      <c r="J38" s="22">
        <f>IF(OR($E38=0,I$78=0),0,IF(AND(I38="N/A",$G38&lt;&gt;""),0,$F38+SUMPRODUCT(($G$14:$G$71=$A38)*($E$14:$E$71=1)*(I$14:I$71="N/A")*$F$14:$F$71)))</f>
        <v/>
      </c>
      <c r="K38" s="22">
        <f>IF(I38="SI",J38,0)</f>
        <v/>
      </c>
      <c r="L38" s="21" t="n"/>
      <c r="M38" s="22">
        <f>IF(OR($E38=0,L$78=0),0,IF(AND(L38="N/A",$G38&lt;&gt;""),0,$F38+SUMPRODUCT(($G$14:$G$71=$A38)*($E$14:$E$71=1)*(L$14:L$71="N/A")*$F$14:$F$71)))</f>
        <v/>
      </c>
      <c r="N38" s="22">
        <f>IF(L38="SI",M38,0)</f>
        <v/>
      </c>
      <c r="O38" s="21" t="n"/>
      <c r="P38" s="22">
        <f>IF(OR($E38=0,O$78=0),0,IF(AND(O38="N/A",$G38&lt;&gt;""),0,$F38+SUMPRODUCT(($G$14:$G$71=$A38)*($E$14:$E$71=1)*(O$14:O$71="N/A")*$F$14:$F$71)))</f>
        <v/>
      </c>
      <c r="Q38" s="22">
        <f>IF(O38="SI",P38,0)</f>
        <v/>
      </c>
      <c r="R38" s="21" t="n"/>
      <c r="S38" s="22">
        <f>IF(OR($E38=0,R$78=0),0,IF(AND(R38="N/A",$G38&lt;&gt;""),0,$F38+SUMPRODUCT(($G$14:$G$71=$A38)*($E$14:$E$71=1)*(R$14:R$71="N/A")*$F$14:$F$71)))</f>
        <v/>
      </c>
      <c r="T38" s="22">
        <f>IF(R38="SI",S38,0)</f>
        <v/>
      </c>
      <c r="U38" s="21" t="n"/>
      <c r="V38" s="22">
        <f>IF(OR($E38=0,U$78=0),0,IF(AND(U38="N/A",$G38&lt;&gt;""),0,$F38+SUMPRODUCT(($G$14:$G$71=$A38)*($E$14:$E$71=1)*(U$14:U$71="N/A")*$F$14:$F$71)))</f>
        <v/>
      </c>
      <c r="W38" s="22">
        <f>IF(U38="SI",V38,0)</f>
        <v/>
      </c>
      <c r="X38" s="21" t="n"/>
      <c r="Y38" s="22">
        <f>IF(OR($E38=0,X$78=0),0,IF(AND(X38="N/A",$G38&lt;&gt;""),0,$F38+SUMPRODUCT(($G$14:$G$71=$A38)*($E$14:$E$71=1)*(X$14:X$71="N/A")*$F$14:$F$71)))</f>
        <v/>
      </c>
      <c r="Z38" s="22">
        <f>IF(X38="SI",Y38,0)</f>
        <v/>
      </c>
      <c r="AA38" s="22">
        <f>SUM(J38,M38,P38,S38,V38,Y38)</f>
        <v/>
      </c>
      <c r="AB38" s="22">
        <f>SUM(K38,N38,Q38,T38,W38,Z38)</f>
        <v/>
      </c>
      <c r="AC38" s="23">
        <f>IF(AA38=0,"",AB38/AA38)</f>
        <v/>
      </c>
      <c r="AD38" s="22">
        <f>CRITERIOS!Q26</f>
        <v/>
      </c>
      <c r="AE38" s="22">
        <f>IF(AND(E38=1,H38&lt;&gt;"X",((I38="N/A")+(L38="N/A")+(O38="N/A")+(R38="N/A")+(U38="N/A")+(X38="N/A"))&gt;0),"REVISAR","")</f>
        <v/>
      </c>
    </row>
    <row r="39">
      <c r="A39" s="22">
        <f>CRITERIOS!B27</f>
        <v/>
      </c>
      <c r="B39" s="22">
        <f>CRITERIOS!C27</f>
        <v/>
      </c>
      <c r="C39" s="8">
        <f>CRITERIOS!D27</f>
        <v/>
      </c>
      <c r="D39" s="22">
        <f>CRITERIOS!E27</f>
        <v/>
      </c>
      <c r="E39" s="22">
        <f>IFERROR(IF(AND(OR(CRITERIOS!F27="Todos",CRITERIOS!F27=$B$4),INDEX(CRITERIOS!H27:J27,MATCH($B$5,VARIABLES!$E$2:$E$4,0))=1),1,0),0)</f>
        <v/>
      </c>
      <c r="F39" s="22">
        <f>IFERROR(IF(E39=1,INDEX(CRITERIOS!K27:M27,MATCH($B$5,VARIABLES!$E$2:$E$4,0)),0),0)</f>
        <v/>
      </c>
      <c r="G39" s="22">
        <f>IF(CRITERIOS!N27="","",CRITERIOS!N27)</f>
        <v/>
      </c>
      <c r="H39" s="22">
        <f>IF(CRITERIOS!O27="","",CRITERIOS!O27)</f>
        <v/>
      </c>
      <c r="I39" s="21" t="n"/>
      <c r="J39" s="22">
        <f>IF(OR($E39=0,I$78=0),0,IF(AND(I39="N/A",$G39&lt;&gt;""),0,$F39+SUMPRODUCT(($G$14:$G$71=$A39)*($E$14:$E$71=1)*(I$14:I$71="N/A")*$F$14:$F$71)))</f>
        <v/>
      </c>
      <c r="K39" s="22">
        <f>IF(I39="SI",J39,0)</f>
        <v/>
      </c>
      <c r="L39" s="21" t="n"/>
      <c r="M39" s="22">
        <f>IF(OR($E39=0,L$78=0),0,IF(AND(L39="N/A",$G39&lt;&gt;""),0,$F39+SUMPRODUCT(($G$14:$G$71=$A39)*($E$14:$E$71=1)*(L$14:L$71="N/A")*$F$14:$F$71)))</f>
        <v/>
      </c>
      <c r="N39" s="22">
        <f>IF(L39="SI",M39,0)</f>
        <v/>
      </c>
      <c r="O39" s="21" t="n"/>
      <c r="P39" s="22">
        <f>IF(OR($E39=0,O$78=0),0,IF(AND(O39="N/A",$G39&lt;&gt;""),0,$F39+SUMPRODUCT(($G$14:$G$71=$A39)*($E$14:$E$71=1)*(O$14:O$71="N/A")*$F$14:$F$71)))</f>
        <v/>
      </c>
      <c r="Q39" s="22">
        <f>IF(O39="SI",P39,0)</f>
        <v/>
      </c>
      <c r="R39" s="21" t="n"/>
      <c r="S39" s="22">
        <f>IF(OR($E39=0,R$78=0),0,IF(AND(R39="N/A",$G39&lt;&gt;""),0,$F39+SUMPRODUCT(($G$14:$G$71=$A39)*($E$14:$E$71=1)*(R$14:R$71="N/A")*$F$14:$F$71)))</f>
        <v/>
      </c>
      <c r="T39" s="22">
        <f>IF(R39="SI",S39,0)</f>
        <v/>
      </c>
      <c r="U39" s="21" t="n"/>
      <c r="V39" s="22">
        <f>IF(OR($E39=0,U$78=0),0,IF(AND(U39="N/A",$G39&lt;&gt;""),0,$F39+SUMPRODUCT(($G$14:$G$71=$A39)*($E$14:$E$71=1)*(U$14:U$71="N/A")*$F$14:$F$71)))</f>
        <v/>
      </c>
      <c r="W39" s="22">
        <f>IF(U39="SI",V39,0)</f>
        <v/>
      </c>
      <c r="X39" s="21" t="n"/>
      <c r="Y39" s="22">
        <f>IF(OR($E39=0,X$78=0),0,IF(AND(X39="N/A",$G39&lt;&gt;""),0,$F39+SUMPRODUCT(($G$14:$G$71=$A39)*($E$14:$E$71=1)*(X$14:X$71="N/A")*$F$14:$F$71)))</f>
        <v/>
      </c>
      <c r="Z39" s="22">
        <f>IF(X39="SI",Y39,0)</f>
        <v/>
      </c>
      <c r="AA39" s="22">
        <f>SUM(J39,M39,P39,S39,V39,Y39)</f>
        <v/>
      </c>
      <c r="AB39" s="22">
        <f>SUM(K39,N39,Q39,T39,W39,Z39)</f>
        <v/>
      </c>
      <c r="AC39" s="23">
        <f>IF(AA39=0,"",AB39/AA39)</f>
        <v/>
      </c>
      <c r="AD39" s="22">
        <f>CRITERIOS!Q27</f>
        <v/>
      </c>
      <c r="AE39" s="22">
        <f>IF(AND(E39=1,H39&lt;&gt;"X",((I39="N/A")+(L39="N/A")+(O39="N/A")+(R39="N/A")+(U39="N/A")+(X39="N/A"))&gt;0),"REVISAR","")</f>
        <v/>
      </c>
    </row>
    <row r="40">
      <c r="A40" s="22">
        <f>CRITERIOS!B28</f>
        <v/>
      </c>
      <c r="B40" s="22">
        <f>CRITERIOS!C28</f>
        <v/>
      </c>
      <c r="C40" s="8">
        <f>CRITERIOS!D28</f>
        <v/>
      </c>
      <c r="D40" s="22">
        <f>CRITERIOS!E28</f>
        <v/>
      </c>
      <c r="E40" s="22">
        <f>IFERROR(IF(AND(OR(CRITERIOS!F28="Todos",CRITERIOS!F28=$B$4),INDEX(CRITERIOS!H28:J28,MATCH($B$5,VARIABLES!$E$2:$E$4,0))=1),1,0),0)</f>
        <v/>
      </c>
      <c r="F40" s="22">
        <f>IFERROR(IF(E40=1,INDEX(CRITERIOS!K28:M28,MATCH($B$5,VARIABLES!$E$2:$E$4,0)),0),0)</f>
        <v/>
      </c>
      <c r="G40" s="22">
        <f>IF(CRITERIOS!N28="","",CRITERIOS!N28)</f>
        <v/>
      </c>
      <c r="H40" s="22">
        <f>IF(CRITERIOS!O28="","",CRITERIOS!O28)</f>
        <v/>
      </c>
      <c r="I40" s="21" t="n"/>
      <c r="J40" s="22">
        <f>IF(OR($E40=0,I$78=0),0,IF(AND(I40="N/A",$G40&lt;&gt;""),0,$F40+SUMPRODUCT(($G$14:$G$71=$A40)*($E$14:$E$71=1)*(I$14:I$71="N/A")*$F$14:$F$71)))</f>
        <v/>
      </c>
      <c r="K40" s="22">
        <f>IF(I40="SI",J40,0)</f>
        <v/>
      </c>
      <c r="L40" s="21" t="n"/>
      <c r="M40" s="22">
        <f>IF(OR($E40=0,L$78=0),0,IF(AND(L40="N/A",$G40&lt;&gt;""),0,$F40+SUMPRODUCT(($G$14:$G$71=$A40)*($E$14:$E$71=1)*(L$14:L$71="N/A")*$F$14:$F$71)))</f>
        <v/>
      </c>
      <c r="N40" s="22">
        <f>IF(L40="SI",M40,0)</f>
        <v/>
      </c>
      <c r="O40" s="21" t="n"/>
      <c r="P40" s="22">
        <f>IF(OR($E40=0,O$78=0),0,IF(AND(O40="N/A",$G40&lt;&gt;""),0,$F40+SUMPRODUCT(($G$14:$G$71=$A40)*($E$14:$E$71=1)*(O$14:O$71="N/A")*$F$14:$F$71)))</f>
        <v/>
      </c>
      <c r="Q40" s="22">
        <f>IF(O40="SI",P40,0)</f>
        <v/>
      </c>
      <c r="R40" s="21" t="n"/>
      <c r="S40" s="22">
        <f>IF(OR($E40=0,R$78=0),0,IF(AND(R40="N/A",$G40&lt;&gt;""),0,$F40+SUMPRODUCT(($G$14:$G$71=$A40)*($E$14:$E$71=1)*(R$14:R$71="N/A")*$F$14:$F$71)))</f>
        <v/>
      </c>
      <c r="T40" s="22">
        <f>IF(R40="SI",S40,0)</f>
        <v/>
      </c>
      <c r="U40" s="21" t="n"/>
      <c r="V40" s="22">
        <f>IF(OR($E40=0,U$78=0),0,IF(AND(U40="N/A",$G40&lt;&gt;""),0,$F40+SUMPRODUCT(($G$14:$G$71=$A40)*($E$14:$E$71=1)*(U$14:U$71="N/A")*$F$14:$F$71)))</f>
        <v/>
      </c>
      <c r="W40" s="22">
        <f>IF(U40="SI",V40,0)</f>
        <v/>
      </c>
      <c r="X40" s="21" t="n"/>
      <c r="Y40" s="22">
        <f>IF(OR($E40=0,X$78=0),0,IF(AND(X40="N/A",$G40&lt;&gt;""),0,$F40+SUMPRODUCT(($G$14:$G$71=$A40)*($E$14:$E$71=1)*(X$14:X$71="N/A")*$F$14:$F$71)))</f>
        <v/>
      </c>
      <c r="Z40" s="22">
        <f>IF(X40="SI",Y40,0)</f>
        <v/>
      </c>
      <c r="AA40" s="22">
        <f>SUM(J40,M40,P40,S40,V40,Y40)</f>
        <v/>
      </c>
      <c r="AB40" s="22">
        <f>SUM(K40,N40,Q40,T40,W40,Z40)</f>
        <v/>
      </c>
      <c r="AC40" s="23">
        <f>IF(AA40=0,"",AB40/AA40)</f>
        <v/>
      </c>
      <c r="AD40" s="22">
        <f>CRITERIOS!Q28</f>
        <v/>
      </c>
      <c r="AE40" s="22">
        <f>IF(AND(E40=1,H40&lt;&gt;"X",((I40="N/A")+(L40="N/A")+(O40="N/A")+(R40="N/A")+(U40="N/A")+(X40="N/A"))&gt;0),"REVISAR","")</f>
        <v/>
      </c>
    </row>
    <row r="41">
      <c r="A41" s="22">
        <f>CRITERIOS!B29</f>
        <v/>
      </c>
      <c r="B41" s="22">
        <f>CRITERIOS!C29</f>
        <v/>
      </c>
      <c r="C41" s="8">
        <f>CRITERIOS!D29</f>
        <v/>
      </c>
      <c r="D41" s="22">
        <f>CRITERIOS!E29</f>
        <v/>
      </c>
      <c r="E41" s="22">
        <f>IFERROR(IF(AND(OR(CRITERIOS!F29="Todos",CRITERIOS!F29=$B$4),INDEX(CRITERIOS!H29:J29,MATCH($B$5,VARIABLES!$E$2:$E$4,0))=1),1,0),0)</f>
        <v/>
      </c>
      <c r="F41" s="22">
        <f>IFERROR(IF(E41=1,INDEX(CRITERIOS!K29:M29,MATCH($B$5,VARIABLES!$E$2:$E$4,0)),0),0)</f>
        <v/>
      </c>
      <c r="G41" s="22">
        <f>IF(CRITERIOS!N29="","",CRITERIOS!N29)</f>
        <v/>
      </c>
      <c r="H41" s="22">
        <f>IF(CRITERIOS!O29="","",CRITERIOS!O29)</f>
        <v/>
      </c>
      <c r="I41" s="21" t="n"/>
      <c r="J41" s="22">
        <f>IF(OR($E41=0,I$78=0),0,IF(AND(I41="N/A",$G41&lt;&gt;""),0,$F41+SUMPRODUCT(($G$14:$G$71=$A41)*($E$14:$E$71=1)*(I$14:I$71="N/A")*$F$14:$F$71)))</f>
        <v/>
      </c>
      <c r="K41" s="22">
        <f>IF(I41="SI",J41,0)</f>
        <v/>
      </c>
      <c r="L41" s="21" t="n"/>
      <c r="M41" s="22">
        <f>IF(OR($E41=0,L$78=0),0,IF(AND(L41="N/A",$G41&lt;&gt;""),0,$F41+SUMPRODUCT(($G$14:$G$71=$A41)*($E$14:$E$71=1)*(L$14:L$71="N/A")*$F$14:$F$71)))</f>
        <v/>
      </c>
      <c r="N41" s="22">
        <f>IF(L41="SI",M41,0)</f>
        <v/>
      </c>
      <c r="O41" s="21" t="n"/>
      <c r="P41" s="22">
        <f>IF(OR($E41=0,O$78=0),0,IF(AND(O41="N/A",$G41&lt;&gt;""),0,$F41+SUMPRODUCT(($G$14:$G$71=$A41)*($E$14:$E$71=1)*(O$14:O$71="N/A")*$F$14:$F$71)))</f>
        <v/>
      </c>
      <c r="Q41" s="22">
        <f>IF(O41="SI",P41,0)</f>
        <v/>
      </c>
      <c r="R41" s="21" t="n"/>
      <c r="S41" s="22">
        <f>IF(OR($E41=0,R$78=0),0,IF(AND(R41="N/A",$G41&lt;&gt;""),0,$F41+SUMPRODUCT(($G$14:$G$71=$A41)*($E$14:$E$71=1)*(R$14:R$71="N/A")*$F$14:$F$71)))</f>
        <v/>
      </c>
      <c r="T41" s="22">
        <f>IF(R41="SI",S41,0)</f>
        <v/>
      </c>
      <c r="U41" s="21" t="n"/>
      <c r="V41" s="22">
        <f>IF(OR($E41=0,U$78=0),0,IF(AND(U41="N/A",$G41&lt;&gt;""),0,$F41+SUMPRODUCT(($G$14:$G$71=$A41)*($E$14:$E$71=1)*(U$14:U$71="N/A")*$F$14:$F$71)))</f>
        <v/>
      </c>
      <c r="W41" s="22">
        <f>IF(U41="SI",V41,0)</f>
        <v/>
      </c>
      <c r="X41" s="21" t="n"/>
      <c r="Y41" s="22">
        <f>IF(OR($E41=0,X$78=0),0,IF(AND(X41="N/A",$G41&lt;&gt;""),0,$F41+SUMPRODUCT(($G$14:$G$71=$A41)*($E$14:$E$71=1)*(X$14:X$71="N/A")*$F$14:$F$71)))</f>
        <v/>
      </c>
      <c r="Z41" s="22">
        <f>IF(X41="SI",Y41,0)</f>
        <v/>
      </c>
      <c r="AA41" s="22">
        <f>SUM(J41,M41,P41,S41,V41,Y41)</f>
        <v/>
      </c>
      <c r="AB41" s="22">
        <f>SUM(K41,N41,Q41,T41,W41,Z41)</f>
        <v/>
      </c>
      <c r="AC41" s="23">
        <f>IF(AA41=0,"",AB41/AA41)</f>
        <v/>
      </c>
      <c r="AD41" s="22">
        <f>CRITERIOS!Q29</f>
        <v/>
      </c>
      <c r="AE41" s="22">
        <f>IF(AND(E41=1,H41&lt;&gt;"X",((I41="N/A")+(L41="N/A")+(O41="N/A")+(R41="N/A")+(U41="N/A")+(X41="N/A"))&gt;0),"REVISAR","")</f>
        <v/>
      </c>
    </row>
    <row r="42">
      <c r="A42" s="24">
        <f>CRITERIOS!B30</f>
        <v/>
      </c>
      <c r="B42" s="24">
        <f>CRITERIOS!C30</f>
        <v/>
      </c>
      <c r="C42" s="25">
        <f>CRITERIOS!D30</f>
        <v/>
      </c>
      <c r="D42" s="24">
        <f>CRITERIOS!E30</f>
        <v/>
      </c>
      <c r="E42" s="24">
        <f>IFERROR(IF(AND(OR(CRITERIOS!F30="Todos",CRITERIOS!F30=$B$4),INDEX(CRITERIOS!H30:J30,MATCH($B$5,VARIABLES!$E$2:$E$4,0))=1),1,0),0)</f>
        <v/>
      </c>
      <c r="F42" s="24">
        <f>IFERROR(IF(E42=1,INDEX(CRITERIOS!K30:M30,MATCH($B$5,VARIABLES!$E$2:$E$4,0)),0),0)</f>
        <v/>
      </c>
      <c r="G42" s="24">
        <f>IF(CRITERIOS!N30="","",CRITERIOS!N30)</f>
        <v/>
      </c>
      <c r="H42" s="24">
        <f>IF(CRITERIOS!O30="","",CRITERIOS!O30)</f>
        <v/>
      </c>
      <c r="I42" s="21" t="n"/>
      <c r="J42" s="22">
        <f>IF(OR($E42=0,I$78=0),0,IF(AND(I42="N/A",$G42&lt;&gt;""),0,$F42+SUMPRODUCT(($G$14:$G$71=$A42)*($E$14:$E$71=1)*(I$14:I$71="N/A")*$F$14:$F$71)))</f>
        <v/>
      </c>
      <c r="K42" s="22">
        <f>IF(I42="SI",J42,0)</f>
        <v/>
      </c>
      <c r="L42" s="21" t="n"/>
      <c r="M42" s="22">
        <f>IF(OR($E42=0,L$78=0),0,IF(AND(L42="N/A",$G42&lt;&gt;""),0,$F42+SUMPRODUCT(($G$14:$G$71=$A42)*($E$14:$E$71=1)*(L$14:L$71="N/A")*$F$14:$F$71)))</f>
        <v/>
      </c>
      <c r="N42" s="22">
        <f>IF(L42="SI",M42,0)</f>
        <v/>
      </c>
      <c r="O42" s="21" t="n"/>
      <c r="P42" s="22">
        <f>IF(OR($E42=0,O$78=0),0,IF(AND(O42="N/A",$G42&lt;&gt;""),0,$F42+SUMPRODUCT(($G$14:$G$71=$A42)*($E$14:$E$71=1)*(O$14:O$71="N/A")*$F$14:$F$71)))</f>
        <v/>
      </c>
      <c r="Q42" s="22">
        <f>IF(O42="SI",P42,0)</f>
        <v/>
      </c>
      <c r="R42" s="21" t="n"/>
      <c r="S42" s="22">
        <f>IF(OR($E42=0,R$78=0),0,IF(AND(R42="N/A",$G42&lt;&gt;""),0,$F42+SUMPRODUCT(($G$14:$G$71=$A42)*($E$14:$E$71=1)*(R$14:R$71="N/A")*$F$14:$F$71)))</f>
        <v/>
      </c>
      <c r="T42" s="22">
        <f>IF(R42="SI",S42,0)</f>
        <v/>
      </c>
      <c r="U42" s="21" t="n"/>
      <c r="V42" s="22">
        <f>IF(OR($E42=0,U$78=0),0,IF(AND(U42="N/A",$G42&lt;&gt;""),0,$F42+SUMPRODUCT(($G$14:$G$71=$A42)*($E$14:$E$71=1)*(U$14:U$71="N/A")*$F$14:$F$71)))</f>
        <v/>
      </c>
      <c r="W42" s="22">
        <f>IF(U42="SI",V42,0)</f>
        <v/>
      </c>
      <c r="X42" s="21" t="n"/>
      <c r="Y42" s="22">
        <f>IF(OR($E42=0,X$78=0),0,IF(AND(X42="N/A",$G42&lt;&gt;""),0,$F42+SUMPRODUCT(($G$14:$G$71=$A42)*($E$14:$E$71=1)*(X$14:X$71="N/A")*$F$14:$F$71)))</f>
        <v/>
      </c>
      <c r="Z42" s="22">
        <f>IF(X42="SI",Y42,0)</f>
        <v/>
      </c>
      <c r="AA42" s="22">
        <f>SUM(J42,M42,P42,S42,V42,Y42)</f>
        <v/>
      </c>
      <c r="AB42" s="22">
        <f>SUM(K42,N42,Q42,T42,W42,Z42)</f>
        <v/>
      </c>
      <c r="AC42" s="23">
        <f>IF(AA42=0,"",AB42/AA42)</f>
        <v/>
      </c>
      <c r="AD42" s="22">
        <f>CRITERIOS!Q30</f>
        <v/>
      </c>
      <c r="AE42" s="22">
        <f>IF(AND(E42=1,H42&lt;&gt;"X",((I42="N/A")+(L42="N/A")+(O42="N/A")+(R42="N/A")+(U42="N/A")+(X42="N/A"))&gt;0),"REVISAR","")</f>
        <v/>
      </c>
    </row>
    <row r="43">
      <c r="A43" s="22">
        <f>CRITERIOS!B31</f>
        <v/>
      </c>
      <c r="B43" s="22">
        <f>CRITERIOS!C31</f>
        <v/>
      </c>
      <c r="C43" s="8">
        <f>CRITERIOS!D31</f>
        <v/>
      </c>
      <c r="D43" s="22">
        <f>CRITERIOS!E31</f>
        <v/>
      </c>
      <c r="E43" s="22">
        <f>IFERROR(IF(AND(OR(CRITERIOS!F31="Todos",CRITERIOS!F31=$B$4),INDEX(CRITERIOS!H31:J31,MATCH($B$5,VARIABLES!$E$2:$E$4,0))=1),1,0),0)</f>
        <v/>
      </c>
      <c r="F43" s="22">
        <f>IFERROR(IF(E43=1,INDEX(CRITERIOS!K31:M31,MATCH($B$5,VARIABLES!$E$2:$E$4,0)),0),0)</f>
        <v/>
      </c>
      <c r="G43" s="22">
        <f>IF(CRITERIOS!N31="","",CRITERIOS!N31)</f>
        <v/>
      </c>
      <c r="H43" s="22">
        <f>IF(CRITERIOS!O31="","",CRITERIOS!O31)</f>
        <v/>
      </c>
      <c r="I43" s="21" t="n"/>
      <c r="J43" s="22">
        <f>IF(OR($E43=0,I$78=0),0,IF(AND(I43="N/A",$G43&lt;&gt;""),0,$F43+SUMPRODUCT(($G$14:$G$71=$A43)*($E$14:$E$71=1)*(I$14:I$71="N/A")*$F$14:$F$71)))</f>
        <v/>
      </c>
      <c r="K43" s="22">
        <f>IF(I43="SI",J43,0)</f>
        <v/>
      </c>
      <c r="L43" s="21" t="n"/>
      <c r="M43" s="22">
        <f>IF(OR($E43=0,L$78=0),0,IF(AND(L43="N/A",$G43&lt;&gt;""),0,$F43+SUMPRODUCT(($G$14:$G$71=$A43)*($E$14:$E$71=1)*(L$14:L$71="N/A")*$F$14:$F$71)))</f>
        <v/>
      </c>
      <c r="N43" s="22">
        <f>IF(L43="SI",M43,0)</f>
        <v/>
      </c>
      <c r="O43" s="21" t="n"/>
      <c r="P43" s="22">
        <f>IF(OR($E43=0,O$78=0),0,IF(AND(O43="N/A",$G43&lt;&gt;""),0,$F43+SUMPRODUCT(($G$14:$G$71=$A43)*($E$14:$E$71=1)*(O$14:O$71="N/A")*$F$14:$F$71)))</f>
        <v/>
      </c>
      <c r="Q43" s="22">
        <f>IF(O43="SI",P43,0)</f>
        <v/>
      </c>
      <c r="R43" s="21" t="n"/>
      <c r="S43" s="22">
        <f>IF(OR($E43=0,R$78=0),0,IF(AND(R43="N/A",$G43&lt;&gt;""),0,$F43+SUMPRODUCT(($G$14:$G$71=$A43)*($E$14:$E$71=1)*(R$14:R$71="N/A")*$F$14:$F$71)))</f>
        <v/>
      </c>
      <c r="T43" s="22">
        <f>IF(R43="SI",S43,0)</f>
        <v/>
      </c>
      <c r="U43" s="21" t="n"/>
      <c r="V43" s="22">
        <f>IF(OR($E43=0,U$78=0),0,IF(AND(U43="N/A",$G43&lt;&gt;""),0,$F43+SUMPRODUCT(($G$14:$G$71=$A43)*($E$14:$E$71=1)*(U$14:U$71="N/A")*$F$14:$F$71)))</f>
        <v/>
      </c>
      <c r="W43" s="22">
        <f>IF(U43="SI",V43,0)</f>
        <v/>
      </c>
      <c r="X43" s="21" t="n"/>
      <c r="Y43" s="22">
        <f>IF(OR($E43=0,X$78=0),0,IF(AND(X43="N/A",$G43&lt;&gt;""),0,$F43+SUMPRODUCT(($G$14:$G$71=$A43)*($E$14:$E$71=1)*(X$14:X$71="N/A")*$F$14:$F$71)))</f>
        <v/>
      </c>
      <c r="Z43" s="22">
        <f>IF(X43="SI",Y43,0)</f>
        <v/>
      </c>
      <c r="AA43" s="22">
        <f>SUM(J43,M43,P43,S43,V43,Y43)</f>
        <v/>
      </c>
      <c r="AB43" s="22">
        <f>SUM(K43,N43,Q43,T43,W43,Z43)</f>
        <v/>
      </c>
      <c r="AC43" s="23">
        <f>IF(AA43=0,"",AB43/AA43)</f>
        <v/>
      </c>
      <c r="AD43" s="22">
        <f>CRITERIOS!Q31</f>
        <v/>
      </c>
      <c r="AE43" s="22">
        <f>IF(AND(E43=1,H43&lt;&gt;"X",((I43="N/A")+(L43="N/A")+(O43="N/A")+(R43="N/A")+(U43="N/A")+(X43="N/A"))&gt;0),"REVISAR","")</f>
        <v/>
      </c>
    </row>
    <row r="44">
      <c r="A44" s="24">
        <f>CRITERIOS!B32</f>
        <v/>
      </c>
      <c r="B44" s="24">
        <f>CRITERIOS!C32</f>
        <v/>
      </c>
      <c r="C44" s="25">
        <f>CRITERIOS!D32</f>
        <v/>
      </c>
      <c r="D44" s="24">
        <f>CRITERIOS!E32</f>
        <v/>
      </c>
      <c r="E44" s="24">
        <f>IFERROR(IF(AND(OR(CRITERIOS!F32="Todos",CRITERIOS!F32=$B$4),INDEX(CRITERIOS!H32:J32,MATCH($B$5,VARIABLES!$E$2:$E$4,0))=1),1,0),0)</f>
        <v/>
      </c>
      <c r="F44" s="24">
        <f>IFERROR(IF(E44=1,INDEX(CRITERIOS!K32:M32,MATCH($B$5,VARIABLES!$E$2:$E$4,0)),0),0)</f>
        <v/>
      </c>
      <c r="G44" s="24">
        <f>IF(CRITERIOS!N32="","",CRITERIOS!N32)</f>
        <v/>
      </c>
      <c r="H44" s="24">
        <f>IF(CRITERIOS!O32="","",CRITERIOS!O32)</f>
        <v/>
      </c>
      <c r="I44" s="21" t="n"/>
      <c r="J44" s="22">
        <f>IF(OR($E44=0,I$78=0),0,IF(AND(I44="N/A",$G44&lt;&gt;""),0,$F44+SUMPRODUCT(($G$14:$G$71=$A44)*($E$14:$E$71=1)*(I$14:I$71="N/A")*$F$14:$F$71)))</f>
        <v/>
      </c>
      <c r="K44" s="22">
        <f>IF(I44="SI",J44,0)</f>
        <v/>
      </c>
      <c r="L44" s="21" t="n"/>
      <c r="M44" s="22">
        <f>IF(OR($E44=0,L$78=0),0,IF(AND(L44="N/A",$G44&lt;&gt;""),0,$F44+SUMPRODUCT(($G$14:$G$71=$A44)*($E$14:$E$71=1)*(L$14:L$71="N/A")*$F$14:$F$71)))</f>
        <v/>
      </c>
      <c r="N44" s="22">
        <f>IF(L44="SI",M44,0)</f>
        <v/>
      </c>
      <c r="O44" s="21" t="n"/>
      <c r="P44" s="22">
        <f>IF(OR($E44=0,O$78=0),0,IF(AND(O44="N/A",$G44&lt;&gt;""),0,$F44+SUMPRODUCT(($G$14:$G$71=$A44)*($E$14:$E$71=1)*(O$14:O$71="N/A")*$F$14:$F$71)))</f>
        <v/>
      </c>
      <c r="Q44" s="22">
        <f>IF(O44="SI",P44,0)</f>
        <v/>
      </c>
      <c r="R44" s="21" t="n"/>
      <c r="S44" s="22">
        <f>IF(OR($E44=0,R$78=0),0,IF(AND(R44="N/A",$G44&lt;&gt;""),0,$F44+SUMPRODUCT(($G$14:$G$71=$A44)*($E$14:$E$71=1)*(R$14:R$71="N/A")*$F$14:$F$71)))</f>
        <v/>
      </c>
      <c r="T44" s="22">
        <f>IF(R44="SI",S44,0)</f>
        <v/>
      </c>
      <c r="U44" s="21" t="n"/>
      <c r="V44" s="22">
        <f>IF(OR($E44=0,U$78=0),0,IF(AND(U44="N/A",$G44&lt;&gt;""),0,$F44+SUMPRODUCT(($G$14:$G$71=$A44)*($E$14:$E$71=1)*(U$14:U$71="N/A")*$F$14:$F$71)))</f>
        <v/>
      </c>
      <c r="W44" s="22">
        <f>IF(U44="SI",V44,0)</f>
        <v/>
      </c>
      <c r="X44" s="21" t="n"/>
      <c r="Y44" s="22">
        <f>IF(OR($E44=0,X$78=0),0,IF(AND(X44="N/A",$G44&lt;&gt;""),0,$F44+SUMPRODUCT(($G$14:$G$71=$A44)*($E$14:$E$71=1)*(X$14:X$71="N/A")*$F$14:$F$71)))</f>
        <v/>
      </c>
      <c r="Z44" s="22">
        <f>IF(X44="SI",Y44,0)</f>
        <v/>
      </c>
      <c r="AA44" s="22">
        <f>SUM(J44,M44,P44,S44,V44,Y44)</f>
        <v/>
      </c>
      <c r="AB44" s="22">
        <f>SUM(K44,N44,Q44,T44,W44,Z44)</f>
        <v/>
      </c>
      <c r="AC44" s="23">
        <f>IF(AA44=0,"",AB44/AA44)</f>
        <v/>
      </c>
      <c r="AD44" s="22">
        <f>CRITERIOS!Q32</f>
        <v/>
      </c>
      <c r="AE44" s="22">
        <f>IF(AND(E44=1,H44&lt;&gt;"X",((I44="N/A")+(L44="N/A")+(O44="N/A")+(R44="N/A")+(U44="N/A")+(X44="N/A"))&gt;0),"REVISAR","")</f>
        <v/>
      </c>
    </row>
    <row r="45">
      <c r="A45" s="22">
        <f>CRITERIOS!B33</f>
        <v/>
      </c>
      <c r="B45" s="22">
        <f>CRITERIOS!C33</f>
        <v/>
      </c>
      <c r="C45" s="8">
        <f>CRITERIOS!D33</f>
        <v/>
      </c>
      <c r="D45" s="22">
        <f>CRITERIOS!E33</f>
        <v/>
      </c>
      <c r="E45" s="22">
        <f>IFERROR(IF(AND(OR(CRITERIOS!F33="Todos",CRITERIOS!F33=$B$4),INDEX(CRITERIOS!H33:J33,MATCH($B$5,VARIABLES!$E$2:$E$4,0))=1),1,0),0)</f>
        <v/>
      </c>
      <c r="F45" s="22">
        <f>IFERROR(IF(E45=1,INDEX(CRITERIOS!K33:M33,MATCH($B$5,VARIABLES!$E$2:$E$4,0)),0),0)</f>
        <v/>
      </c>
      <c r="G45" s="22">
        <f>IF(CRITERIOS!N33="","",CRITERIOS!N33)</f>
        <v/>
      </c>
      <c r="H45" s="22">
        <f>IF(CRITERIOS!O33="","",CRITERIOS!O33)</f>
        <v/>
      </c>
      <c r="I45" s="21" t="n"/>
      <c r="J45" s="22">
        <f>IF(OR($E45=0,I$78=0),0,IF(AND(I45="N/A",$G45&lt;&gt;""),0,$F45+SUMPRODUCT(($G$14:$G$71=$A45)*($E$14:$E$71=1)*(I$14:I$71="N/A")*$F$14:$F$71)))</f>
        <v/>
      </c>
      <c r="K45" s="22">
        <f>IF(I45="SI",J45,0)</f>
        <v/>
      </c>
      <c r="L45" s="21" t="n"/>
      <c r="M45" s="22">
        <f>IF(OR($E45=0,L$78=0),0,IF(AND(L45="N/A",$G45&lt;&gt;""),0,$F45+SUMPRODUCT(($G$14:$G$71=$A45)*($E$14:$E$71=1)*(L$14:L$71="N/A")*$F$14:$F$71)))</f>
        <v/>
      </c>
      <c r="N45" s="22">
        <f>IF(L45="SI",M45,0)</f>
        <v/>
      </c>
      <c r="O45" s="21" t="n"/>
      <c r="P45" s="22">
        <f>IF(OR($E45=0,O$78=0),0,IF(AND(O45="N/A",$G45&lt;&gt;""),0,$F45+SUMPRODUCT(($G$14:$G$71=$A45)*($E$14:$E$71=1)*(O$14:O$71="N/A")*$F$14:$F$71)))</f>
        <v/>
      </c>
      <c r="Q45" s="22">
        <f>IF(O45="SI",P45,0)</f>
        <v/>
      </c>
      <c r="R45" s="21" t="n"/>
      <c r="S45" s="22">
        <f>IF(OR($E45=0,R$78=0),0,IF(AND(R45="N/A",$G45&lt;&gt;""),0,$F45+SUMPRODUCT(($G$14:$G$71=$A45)*($E$14:$E$71=1)*(R$14:R$71="N/A")*$F$14:$F$71)))</f>
        <v/>
      </c>
      <c r="T45" s="22">
        <f>IF(R45="SI",S45,0)</f>
        <v/>
      </c>
      <c r="U45" s="21" t="n"/>
      <c r="V45" s="22">
        <f>IF(OR($E45=0,U$78=0),0,IF(AND(U45="N/A",$G45&lt;&gt;""),0,$F45+SUMPRODUCT(($G$14:$G$71=$A45)*($E$14:$E$71=1)*(U$14:U$71="N/A")*$F$14:$F$71)))</f>
        <v/>
      </c>
      <c r="W45" s="22">
        <f>IF(U45="SI",V45,0)</f>
        <v/>
      </c>
      <c r="X45" s="21" t="n"/>
      <c r="Y45" s="22">
        <f>IF(OR($E45=0,X$78=0),0,IF(AND(X45="N/A",$G45&lt;&gt;""),0,$F45+SUMPRODUCT(($G$14:$G$71=$A45)*($E$14:$E$71=1)*(X$14:X$71="N/A")*$F$14:$F$71)))</f>
        <v/>
      </c>
      <c r="Z45" s="22">
        <f>IF(X45="SI",Y45,0)</f>
        <v/>
      </c>
      <c r="AA45" s="22">
        <f>SUM(J45,M45,P45,S45,V45,Y45)</f>
        <v/>
      </c>
      <c r="AB45" s="22">
        <f>SUM(K45,N45,Q45,T45,W45,Z45)</f>
        <v/>
      </c>
      <c r="AC45" s="23">
        <f>IF(AA45=0,"",AB45/AA45)</f>
        <v/>
      </c>
      <c r="AD45" s="22">
        <f>CRITERIOS!Q33</f>
        <v/>
      </c>
      <c r="AE45" s="22">
        <f>IF(AND(E45=1,H45&lt;&gt;"X",((I45="N/A")+(L45="N/A")+(O45="N/A")+(R45="N/A")+(U45="N/A")+(X45="N/A"))&gt;0),"REVISAR","")</f>
        <v/>
      </c>
    </row>
    <row r="46">
      <c r="A46" s="24">
        <f>CRITERIOS!B34</f>
        <v/>
      </c>
      <c r="B46" s="24">
        <f>CRITERIOS!C34</f>
        <v/>
      </c>
      <c r="C46" s="25">
        <f>CRITERIOS!D34</f>
        <v/>
      </c>
      <c r="D46" s="24">
        <f>CRITERIOS!E34</f>
        <v/>
      </c>
      <c r="E46" s="24">
        <f>IFERROR(IF(AND(OR(CRITERIOS!F34="Todos",CRITERIOS!F34=$B$4),INDEX(CRITERIOS!H34:J34,MATCH($B$5,VARIABLES!$E$2:$E$4,0))=1),1,0),0)</f>
        <v/>
      </c>
      <c r="F46" s="24">
        <f>IFERROR(IF(E46=1,INDEX(CRITERIOS!K34:M34,MATCH($B$5,VARIABLES!$E$2:$E$4,0)),0),0)</f>
        <v/>
      </c>
      <c r="G46" s="24">
        <f>IF(CRITERIOS!N34="","",CRITERIOS!N34)</f>
        <v/>
      </c>
      <c r="H46" s="24">
        <f>IF(CRITERIOS!O34="","",CRITERIOS!O34)</f>
        <v/>
      </c>
      <c r="I46" s="21" t="n"/>
      <c r="J46" s="22">
        <f>IF(OR($E46=0,I$78=0),0,IF(AND(I46="N/A",$G46&lt;&gt;""),0,$F46+SUMPRODUCT(($G$14:$G$71=$A46)*($E$14:$E$71=1)*(I$14:I$71="N/A")*$F$14:$F$71)))</f>
        <v/>
      </c>
      <c r="K46" s="22">
        <f>IF(I46="SI",J46,0)</f>
        <v/>
      </c>
      <c r="L46" s="21" t="n"/>
      <c r="M46" s="22">
        <f>IF(OR($E46=0,L$78=0),0,IF(AND(L46="N/A",$G46&lt;&gt;""),0,$F46+SUMPRODUCT(($G$14:$G$71=$A46)*($E$14:$E$71=1)*(L$14:L$71="N/A")*$F$14:$F$71)))</f>
        <v/>
      </c>
      <c r="N46" s="22">
        <f>IF(L46="SI",M46,0)</f>
        <v/>
      </c>
      <c r="O46" s="21" t="n"/>
      <c r="P46" s="22">
        <f>IF(OR($E46=0,O$78=0),0,IF(AND(O46="N/A",$G46&lt;&gt;""),0,$F46+SUMPRODUCT(($G$14:$G$71=$A46)*($E$14:$E$71=1)*(O$14:O$71="N/A")*$F$14:$F$71)))</f>
        <v/>
      </c>
      <c r="Q46" s="22">
        <f>IF(O46="SI",P46,0)</f>
        <v/>
      </c>
      <c r="R46" s="21" t="n"/>
      <c r="S46" s="22">
        <f>IF(OR($E46=0,R$78=0),0,IF(AND(R46="N/A",$G46&lt;&gt;""),0,$F46+SUMPRODUCT(($G$14:$G$71=$A46)*($E$14:$E$71=1)*(R$14:R$71="N/A")*$F$14:$F$71)))</f>
        <v/>
      </c>
      <c r="T46" s="22">
        <f>IF(R46="SI",S46,0)</f>
        <v/>
      </c>
      <c r="U46" s="21" t="n"/>
      <c r="V46" s="22">
        <f>IF(OR($E46=0,U$78=0),0,IF(AND(U46="N/A",$G46&lt;&gt;""),0,$F46+SUMPRODUCT(($G$14:$G$71=$A46)*($E$14:$E$71=1)*(U$14:U$71="N/A")*$F$14:$F$71)))</f>
        <v/>
      </c>
      <c r="W46" s="22">
        <f>IF(U46="SI",V46,0)</f>
        <v/>
      </c>
      <c r="X46" s="21" t="n"/>
      <c r="Y46" s="22">
        <f>IF(OR($E46=0,X$78=0),0,IF(AND(X46="N/A",$G46&lt;&gt;""),0,$F46+SUMPRODUCT(($G$14:$G$71=$A46)*($E$14:$E$71=1)*(X$14:X$71="N/A")*$F$14:$F$71)))</f>
        <v/>
      </c>
      <c r="Z46" s="22">
        <f>IF(X46="SI",Y46,0)</f>
        <v/>
      </c>
      <c r="AA46" s="22">
        <f>SUM(J46,M46,P46,S46,V46,Y46)</f>
        <v/>
      </c>
      <c r="AB46" s="22">
        <f>SUM(K46,N46,Q46,T46,W46,Z46)</f>
        <v/>
      </c>
      <c r="AC46" s="23">
        <f>IF(AA46=0,"",AB46/AA46)</f>
        <v/>
      </c>
      <c r="AD46" s="22">
        <f>CRITERIOS!Q34</f>
        <v/>
      </c>
      <c r="AE46" s="22">
        <f>IF(AND(E46=1,H46&lt;&gt;"X",((I46="N/A")+(L46="N/A")+(O46="N/A")+(R46="N/A")+(U46="N/A")+(X46="N/A"))&gt;0),"REVISAR","")</f>
        <v/>
      </c>
    </row>
    <row r="47">
      <c r="A47" s="22">
        <f>CRITERIOS!B35</f>
        <v/>
      </c>
      <c r="B47" s="22">
        <f>CRITERIOS!C35</f>
        <v/>
      </c>
      <c r="C47" s="8">
        <f>CRITERIOS!D35</f>
        <v/>
      </c>
      <c r="D47" s="22">
        <f>CRITERIOS!E35</f>
        <v/>
      </c>
      <c r="E47" s="22">
        <f>IFERROR(IF(AND(OR(CRITERIOS!F35="Todos",CRITERIOS!F35=$B$4),INDEX(CRITERIOS!H35:J35,MATCH($B$5,VARIABLES!$E$2:$E$4,0))=1),1,0),0)</f>
        <v/>
      </c>
      <c r="F47" s="22">
        <f>IFERROR(IF(E47=1,INDEX(CRITERIOS!K35:M35,MATCH($B$5,VARIABLES!$E$2:$E$4,0)),0),0)</f>
        <v/>
      </c>
      <c r="G47" s="22">
        <f>IF(CRITERIOS!N35="","",CRITERIOS!N35)</f>
        <v/>
      </c>
      <c r="H47" s="22">
        <f>IF(CRITERIOS!O35="","",CRITERIOS!O35)</f>
        <v/>
      </c>
      <c r="I47" s="21" t="n"/>
      <c r="J47" s="22">
        <f>IF(OR($E47=0,I$78=0),0,IF(AND(I47="N/A",$G47&lt;&gt;""),0,$F47+SUMPRODUCT(($G$14:$G$71=$A47)*($E$14:$E$71=1)*(I$14:I$71="N/A")*$F$14:$F$71)))</f>
        <v/>
      </c>
      <c r="K47" s="22">
        <f>IF(I47="SI",J47,0)</f>
        <v/>
      </c>
      <c r="L47" s="21" t="n"/>
      <c r="M47" s="22">
        <f>IF(OR($E47=0,L$78=0),0,IF(AND(L47="N/A",$G47&lt;&gt;""),0,$F47+SUMPRODUCT(($G$14:$G$71=$A47)*($E$14:$E$71=1)*(L$14:L$71="N/A")*$F$14:$F$71)))</f>
        <v/>
      </c>
      <c r="N47" s="22">
        <f>IF(L47="SI",M47,0)</f>
        <v/>
      </c>
      <c r="O47" s="21" t="n"/>
      <c r="P47" s="22">
        <f>IF(OR($E47=0,O$78=0),0,IF(AND(O47="N/A",$G47&lt;&gt;""),0,$F47+SUMPRODUCT(($G$14:$G$71=$A47)*($E$14:$E$71=1)*(O$14:O$71="N/A")*$F$14:$F$71)))</f>
        <v/>
      </c>
      <c r="Q47" s="22">
        <f>IF(O47="SI",P47,0)</f>
        <v/>
      </c>
      <c r="R47" s="21" t="n"/>
      <c r="S47" s="22">
        <f>IF(OR($E47=0,R$78=0),0,IF(AND(R47="N/A",$G47&lt;&gt;""),0,$F47+SUMPRODUCT(($G$14:$G$71=$A47)*($E$14:$E$71=1)*(R$14:R$71="N/A")*$F$14:$F$71)))</f>
        <v/>
      </c>
      <c r="T47" s="22">
        <f>IF(R47="SI",S47,0)</f>
        <v/>
      </c>
      <c r="U47" s="21" t="n"/>
      <c r="V47" s="22">
        <f>IF(OR($E47=0,U$78=0),0,IF(AND(U47="N/A",$G47&lt;&gt;""),0,$F47+SUMPRODUCT(($G$14:$G$71=$A47)*($E$14:$E$71=1)*(U$14:U$71="N/A")*$F$14:$F$71)))</f>
        <v/>
      </c>
      <c r="W47" s="22">
        <f>IF(U47="SI",V47,0)</f>
        <v/>
      </c>
      <c r="X47" s="21" t="n"/>
      <c r="Y47" s="22">
        <f>IF(OR($E47=0,X$78=0),0,IF(AND(X47="N/A",$G47&lt;&gt;""),0,$F47+SUMPRODUCT(($G$14:$G$71=$A47)*($E$14:$E$71=1)*(X$14:X$71="N/A")*$F$14:$F$71)))</f>
        <v/>
      </c>
      <c r="Z47" s="22">
        <f>IF(X47="SI",Y47,0)</f>
        <v/>
      </c>
      <c r="AA47" s="22">
        <f>SUM(J47,M47,P47,S47,V47,Y47)</f>
        <v/>
      </c>
      <c r="AB47" s="22">
        <f>SUM(K47,N47,Q47,T47,W47,Z47)</f>
        <v/>
      </c>
      <c r="AC47" s="23">
        <f>IF(AA47=0,"",AB47/AA47)</f>
        <v/>
      </c>
      <c r="AD47" s="22">
        <f>CRITERIOS!Q35</f>
        <v/>
      </c>
      <c r="AE47" s="22">
        <f>IF(AND(E47=1,H47&lt;&gt;"X",((I47="N/A")+(L47="N/A")+(O47="N/A")+(R47="N/A")+(U47="N/A")+(X47="N/A"))&gt;0),"REVISAR","")</f>
        <v/>
      </c>
    </row>
    <row r="48">
      <c r="A48" s="24">
        <f>CRITERIOS!B36</f>
        <v/>
      </c>
      <c r="B48" s="24">
        <f>CRITERIOS!C36</f>
        <v/>
      </c>
      <c r="C48" s="25">
        <f>CRITERIOS!D36</f>
        <v/>
      </c>
      <c r="D48" s="24">
        <f>CRITERIOS!E36</f>
        <v/>
      </c>
      <c r="E48" s="24">
        <f>IFERROR(IF(AND(OR(CRITERIOS!F36="Todos",CRITERIOS!F36=$B$4),INDEX(CRITERIOS!H36:J36,MATCH($B$5,VARIABLES!$E$2:$E$4,0))=1),1,0),0)</f>
        <v/>
      </c>
      <c r="F48" s="24">
        <f>IFERROR(IF(E48=1,INDEX(CRITERIOS!K36:M36,MATCH($B$5,VARIABLES!$E$2:$E$4,0)),0),0)</f>
        <v/>
      </c>
      <c r="G48" s="24">
        <f>IF(CRITERIOS!N36="","",CRITERIOS!N36)</f>
        <v/>
      </c>
      <c r="H48" s="24">
        <f>IF(CRITERIOS!O36="","",CRITERIOS!O36)</f>
        <v/>
      </c>
      <c r="I48" s="21" t="n"/>
      <c r="J48" s="22">
        <f>IF(OR($E48=0,I$78=0),0,IF(AND(I48="N/A",$G48&lt;&gt;""),0,$F48+SUMPRODUCT(($G$14:$G$71=$A48)*($E$14:$E$71=1)*(I$14:I$71="N/A")*$F$14:$F$71)))</f>
        <v/>
      </c>
      <c r="K48" s="22">
        <f>IF(I48="SI",J48,0)</f>
        <v/>
      </c>
      <c r="L48" s="21" t="n"/>
      <c r="M48" s="22">
        <f>IF(OR($E48=0,L$78=0),0,IF(AND(L48="N/A",$G48&lt;&gt;""),0,$F48+SUMPRODUCT(($G$14:$G$71=$A48)*($E$14:$E$71=1)*(L$14:L$71="N/A")*$F$14:$F$71)))</f>
        <v/>
      </c>
      <c r="N48" s="22">
        <f>IF(L48="SI",M48,0)</f>
        <v/>
      </c>
      <c r="O48" s="21" t="n"/>
      <c r="P48" s="22">
        <f>IF(OR($E48=0,O$78=0),0,IF(AND(O48="N/A",$G48&lt;&gt;""),0,$F48+SUMPRODUCT(($G$14:$G$71=$A48)*($E$14:$E$71=1)*(O$14:O$71="N/A")*$F$14:$F$71)))</f>
        <v/>
      </c>
      <c r="Q48" s="22">
        <f>IF(O48="SI",P48,0)</f>
        <v/>
      </c>
      <c r="R48" s="21" t="n"/>
      <c r="S48" s="22">
        <f>IF(OR($E48=0,R$78=0),0,IF(AND(R48="N/A",$G48&lt;&gt;""),0,$F48+SUMPRODUCT(($G$14:$G$71=$A48)*($E$14:$E$71=1)*(R$14:R$71="N/A")*$F$14:$F$71)))</f>
        <v/>
      </c>
      <c r="T48" s="22">
        <f>IF(R48="SI",S48,0)</f>
        <v/>
      </c>
      <c r="U48" s="21" t="n"/>
      <c r="V48" s="22">
        <f>IF(OR($E48=0,U$78=0),0,IF(AND(U48="N/A",$G48&lt;&gt;""),0,$F48+SUMPRODUCT(($G$14:$G$71=$A48)*($E$14:$E$71=1)*(U$14:U$71="N/A")*$F$14:$F$71)))</f>
        <v/>
      </c>
      <c r="W48" s="22">
        <f>IF(U48="SI",V48,0)</f>
        <v/>
      </c>
      <c r="X48" s="21" t="n"/>
      <c r="Y48" s="22">
        <f>IF(OR($E48=0,X$78=0),0,IF(AND(X48="N/A",$G48&lt;&gt;""),0,$F48+SUMPRODUCT(($G$14:$G$71=$A48)*($E$14:$E$71=1)*(X$14:X$71="N/A")*$F$14:$F$71)))</f>
        <v/>
      </c>
      <c r="Z48" s="22">
        <f>IF(X48="SI",Y48,0)</f>
        <v/>
      </c>
      <c r="AA48" s="22">
        <f>SUM(J48,M48,P48,S48,V48,Y48)</f>
        <v/>
      </c>
      <c r="AB48" s="22">
        <f>SUM(K48,N48,Q48,T48,W48,Z48)</f>
        <v/>
      </c>
      <c r="AC48" s="23">
        <f>IF(AA48=0,"",AB48/AA48)</f>
        <v/>
      </c>
      <c r="AD48" s="22">
        <f>CRITERIOS!Q36</f>
        <v/>
      </c>
      <c r="AE48" s="22">
        <f>IF(AND(E48=1,H48&lt;&gt;"X",((I48="N/A")+(L48="N/A")+(O48="N/A")+(R48="N/A")+(U48="N/A")+(X48="N/A"))&gt;0),"REVISAR","")</f>
        <v/>
      </c>
    </row>
    <row r="49">
      <c r="A49" s="24">
        <f>CRITERIOS!B37</f>
        <v/>
      </c>
      <c r="B49" s="24">
        <f>CRITERIOS!C37</f>
        <v/>
      </c>
      <c r="C49" s="25">
        <f>CRITERIOS!D37</f>
        <v/>
      </c>
      <c r="D49" s="24">
        <f>CRITERIOS!E37</f>
        <v/>
      </c>
      <c r="E49" s="24">
        <f>IFERROR(IF(AND(OR(CRITERIOS!F37="Todos",CRITERIOS!F37=$B$4),INDEX(CRITERIOS!H37:J37,MATCH($B$5,VARIABLES!$E$2:$E$4,0))=1),1,0),0)</f>
        <v/>
      </c>
      <c r="F49" s="24">
        <f>IFERROR(IF(E49=1,INDEX(CRITERIOS!K37:M37,MATCH($B$5,VARIABLES!$E$2:$E$4,0)),0),0)</f>
        <v/>
      </c>
      <c r="G49" s="24">
        <f>IF(CRITERIOS!N37="","",CRITERIOS!N37)</f>
        <v/>
      </c>
      <c r="H49" s="24">
        <f>IF(CRITERIOS!O37="","",CRITERIOS!O37)</f>
        <v/>
      </c>
      <c r="I49" s="21" t="n"/>
      <c r="J49" s="22">
        <f>IF(OR($E49=0,I$78=0),0,IF(AND(I49="N/A",$G49&lt;&gt;""),0,$F49+SUMPRODUCT(($G$14:$G$71=$A49)*($E$14:$E$71=1)*(I$14:I$71="N/A")*$F$14:$F$71)))</f>
        <v/>
      </c>
      <c r="K49" s="22">
        <f>IF(I49="SI",J49,0)</f>
        <v/>
      </c>
      <c r="L49" s="21" t="n"/>
      <c r="M49" s="22">
        <f>IF(OR($E49=0,L$78=0),0,IF(AND(L49="N/A",$G49&lt;&gt;""),0,$F49+SUMPRODUCT(($G$14:$G$71=$A49)*($E$14:$E$71=1)*(L$14:L$71="N/A")*$F$14:$F$71)))</f>
        <v/>
      </c>
      <c r="N49" s="22">
        <f>IF(L49="SI",M49,0)</f>
        <v/>
      </c>
      <c r="O49" s="21" t="n"/>
      <c r="P49" s="22">
        <f>IF(OR($E49=0,O$78=0),0,IF(AND(O49="N/A",$G49&lt;&gt;""),0,$F49+SUMPRODUCT(($G$14:$G$71=$A49)*($E$14:$E$71=1)*(O$14:O$71="N/A")*$F$14:$F$71)))</f>
        <v/>
      </c>
      <c r="Q49" s="22">
        <f>IF(O49="SI",P49,0)</f>
        <v/>
      </c>
      <c r="R49" s="21" t="n"/>
      <c r="S49" s="22">
        <f>IF(OR($E49=0,R$78=0),0,IF(AND(R49="N/A",$G49&lt;&gt;""),0,$F49+SUMPRODUCT(($G$14:$G$71=$A49)*($E$14:$E$71=1)*(R$14:R$71="N/A")*$F$14:$F$71)))</f>
        <v/>
      </c>
      <c r="T49" s="22">
        <f>IF(R49="SI",S49,0)</f>
        <v/>
      </c>
      <c r="U49" s="21" t="n"/>
      <c r="V49" s="22">
        <f>IF(OR($E49=0,U$78=0),0,IF(AND(U49="N/A",$G49&lt;&gt;""),0,$F49+SUMPRODUCT(($G$14:$G$71=$A49)*($E$14:$E$71=1)*(U$14:U$71="N/A")*$F$14:$F$71)))</f>
        <v/>
      </c>
      <c r="W49" s="22">
        <f>IF(U49="SI",V49,0)</f>
        <v/>
      </c>
      <c r="X49" s="21" t="n"/>
      <c r="Y49" s="22">
        <f>IF(OR($E49=0,X$78=0),0,IF(AND(X49="N/A",$G49&lt;&gt;""),0,$F49+SUMPRODUCT(($G$14:$G$71=$A49)*($E$14:$E$71=1)*(X$14:X$71="N/A")*$F$14:$F$71)))</f>
        <v/>
      </c>
      <c r="Z49" s="22">
        <f>IF(X49="SI",Y49,0)</f>
        <v/>
      </c>
      <c r="AA49" s="22">
        <f>SUM(J49,M49,P49,S49,V49,Y49)</f>
        <v/>
      </c>
      <c r="AB49" s="22">
        <f>SUM(K49,N49,Q49,T49,W49,Z49)</f>
        <v/>
      </c>
      <c r="AC49" s="23">
        <f>IF(AA49=0,"",AB49/AA49)</f>
        <v/>
      </c>
      <c r="AD49" s="22">
        <f>CRITERIOS!Q37</f>
        <v/>
      </c>
      <c r="AE49" s="22">
        <f>IF(AND(E49=1,H49&lt;&gt;"X",((I49="N/A")+(L49="N/A")+(O49="N/A")+(R49="N/A")+(U49="N/A")+(X49="N/A"))&gt;0),"REVISAR","")</f>
        <v/>
      </c>
    </row>
    <row r="50">
      <c r="A50" s="24">
        <f>CRITERIOS!B38</f>
        <v/>
      </c>
      <c r="B50" s="24">
        <f>CRITERIOS!C38</f>
        <v/>
      </c>
      <c r="C50" s="25">
        <f>CRITERIOS!D38</f>
        <v/>
      </c>
      <c r="D50" s="24">
        <f>CRITERIOS!E38</f>
        <v/>
      </c>
      <c r="E50" s="24">
        <f>IFERROR(IF(AND(OR(CRITERIOS!F38="Todos",CRITERIOS!F38=$B$4),INDEX(CRITERIOS!H38:J38,MATCH($B$5,VARIABLES!$E$2:$E$4,0))=1),1,0),0)</f>
        <v/>
      </c>
      <c r="F50" s="24">
        <f>IFERROR(IF(E50=1,INDEX(CRITERIOS!K38:M38,MATCH($B$5,VARIABLES!$E$2:$E$4,0)),0),0)</f>
        <v/>
      </c>
      <c r="G50" s="24">
        <f>IF(CRITERIOS!N38="","",CRITERIOS!N38)</f>
        <v/>
      </c>
      <c r="H50" s="24">
        <f>IF(CRITERIOS!O38="","",CRITERIOS!O38)</f>
        <v/>
      </c>
      <c r="I50" s="21" t="n"/>
      <c r="J50" s="22">
        <f>IF(OR($E50=0,I$78=0),0,IF(AND(I50="N/A",$G50&lt;&gt;""),0,$F50+SUMPRODUCT(($G$14:$G$71=$A50)*($E$14:$E$71=1)*(I$14:I$71="N/A")*$F$14:$F$71)))</f>
        <v/>
      </c>
      <c r="K50" s="22">
        <f>IF(I50="SI",J50,0)</f>
        <v/>
      </c>
      <c r="L50" s="21" t="n"/>
      <c r="M50" s="22">
        <f>IF(OR($E50=0,L$78=0),0,IF(AND(L50="N/A",$G50&lt;&gt;""),0,$F50+SUMPRODUCT(($G$14:$G$71=$A50)*($E$14:$E$71=1)*(L$14:L$71="N/A")*$F$14:$F$71)))</f>
        <v/>
      </c>
      <c r="N50" s="22">
        <f>IF(L50="SI",M50,0)</f>
        <v/>
      </c>
      <c r="O50" s="21" t="n"/>
      <c r="P50" s="22">
        <f>IF(OR($E50=0,O$78=0),0,IF(AND(O50="N/A",$G50&lt;&gt;""),0,$F50+SUMPRODUCT(($G$14:$G$71=$A50)*($E$14:$E$71=1)*(O$14:O$71="N/A")*$F$14:$F$71)))</f>
        <v/>
      </c>
      <c r="Q50" s="22">
        <f>IF(O50="SI",P50,0)</f>
        <v/>
      </c>
      <c r="R50" s="21" t="n"/>
      <c r="S50" s="22">
        <f>IF(OR($E50=0,R$78=0),0,IF(AND(R50="N/A",$G50&lt;&gt;""),0,$F50+SUMPRODUCT(($G$14:$G$71=$A50)*($E$14:$E$71=1)*(R$14:R$71="N/A")*$F$14:$F$71)))</f>
        <v/>
      </c>
      <c r="T50" s="22">
        <f>IF(R50="SI",S50,0)</f>
        <v/>
      </c>
      <c r="U50" s="21" t="n"/>
      <c r="V50" s="22">
        <f>IF(OR($E50=0,U$78=0),0,IF(AND(U50="N/A",$G50&lt;&gt;""),0,$F50+SUMPRODUCT(($G$14:$G$71=$A50)*($E$14:$E$71=1)*(U$14:U$71="N/A")*$F$14:$F$71)))</f>
        <v/>
      </c>
      <c r="W50" s="22">
        <f>IF(U50="SI",V50,0)</f>
        <v/>
      </c>
      <c r="X50" s="21" t="n"/>
      <c r="Y50" s="22">
        <f>IF(OR($E50=0,X$78=0),0,IF(AND(X50="N/A",$G50&lt;&gt;""),0,$F50+SUMPRODUCT(($G$14:$G$71=$A50)*($E$14:$E$71=1)*(X$14:X$71="N/A")*$F$14:$F$71)))</f>
        <v/>
      </c>
      <c r="Z50" s="22">
        <f>IF(X50="SI",Y50,0)</f>
        <v/>
      </c>
      <c r="AA50" s="22">
        <f>SUM(J50,M50,P50,S50,V50,Y50)</f>
        <v/>
      </c>
      <c r="AB50" s="22">
        <f>SUM(K50,N50,Q50,T50,W50,Z50)</f>
        <v/>
      </c>
      <c r="AC50" s="23">
        <f>IF(AA50=0,"",AB50/AA50)</f>
        <v/>
      </c>
      <c r="AD50" s="22">
        <f>CRITERIOS!Q38</f>
        <v/>
      </c>
      <c r="AE50" s="22">
        <f>IF(AND(E50=1,H50&lt;&gt;"X",((I50="N/A")+(L50="N/A")+(O50="N/A")+(R50="N/A")+(U50="N/A")+(X50="N/A"))&gt;0),"REVISAR","")</f>
        <v/>
      </c>
    </row>
    <row r="51">
      <c r="A51" s="24">
        <f>CRITERIOS!B39</f>
        <v/>
      </c>
      <c r="B51" s="24">
        <f>CRITERIOS!C39</f>
        <v/>
      </c>
      <c r="C51" s="25">
        <f>CRITERIOS!D39</f>
        <v/>
      </c>
      <c r="D51" s="24">
        <f>CRITERIOS!E39</f>
        <v/>
      </c>
      <c r="E51" s="24">
        <f>IFERROR(IF(AND(OR(CRITERIOS!F39="Todos",CRITERIOS!F39=$B$4),INDEX(CRITERIOS!H39:J39,MATCH($B$5,VARIABLES!$E$2:$E$4,0))=1),1,0),0)</f>
        <v/>
      </c>
      <c r="F51" s="24">
        <f>IFERROR(IF(E51=1,INDEX(CRITERIOS!K39:M39,MATCH($B$5,VARIABLES!$E$2:$E$4,0)),0),0)</f>
        <v/>
      </c>
      <c r="G51" s="24">
        <f>IF(CRITERIOS!N39="","",CRITERIOS!N39)</f>
        <v/>
      </c>
      <c r="H51" s="24">
        <f>IF(CRITERIOS!O39="","",CRITERIOS!O39)</f>
        <v/>
      </c>
      <c r="I51" s="21" t="n"/>
      <c r="J51" s="22">
        <f>IF(OR($E51=0,I$78=0),0,IF(AND(I51="N/A",$G51&lt;&gt;""),0,$F51+SUMPRODUCT(($G$14:$G$71=$A51)*($E$14:$E$71=1)*(I$14:I$71="N/A")*$F$14:$F$71)))</f>
        <v/>
      </c>
      <c r="K51" s="22">
        <f>IF(I51="SI",J51,0)</f>
        <v/>
      </c>
      <c r="L51" s="21" t="n"/>
      <c r="M51" s="22">
        <f>IF(OR($E51=0,L$78=0),0,IF(AND(L51="N/A",$G51&lt;&gt;""),0,$F51+SUMPRODUCT(($G$14:$G$71=$A51)*($E$14:$E$71=1)*(L$14:L$71="N/A")*$F$14:$F$71)))</f>
        <v/>
      </c>
      <c r="N51" s="22">
        <f>IF(L51="SI",M51,0)</f>
        <v/>
      </c>
      <c r="O51" s="21" t="n"/>
      <c r="P51" s="22">
        <f>IF(OR($E51=0,O$78=0),0,IF(AND(O51="N/A",$G51&lt;&gt;""),0,$F51+SUMPRODUCT(($G$14:$G$71=$A51)*($E$14:$E$71=1)*(O$14:O$71="N/A")*$F$14:$F$71)))</f>
        <v/>
      </c>
      <c r="Q51" s="22">
        <f>IF(O51="SI",P51,0)</f>
        <v/>
      </c>
      <c r="R51" s="21" t="n"/>
      <c r="S51" s="22">
        <f>IF(OR($E51=0,R$78=0),0,IF(AND(R51="N/A",$G51&lt;&gt;""),0,$F51+SUMPRODUCT(($G$14:$G$71=$A51)*($E$14:$E$71=1)*(R$14:R$71="N/A")*$F$14:$F$71)))</f>
        <v/>
      </c>
      <c r="T51" s="22">
        <f>IF(R51="SI",S51,0)</f>
        <v/>
      </c>
      <c r="U51" s="21" t="n"/>
      <c r="V51" s="22">
        <f>IF(OR($E51=0,U$78=0),0,IF(AND(U51="N/A",$G51&lt;&gt;""),0,$F51+SUMPRODUCT(($G$14:$G$71=$A51)*($E$14:$E$71=1)*(U$14:U$71="N/A")*$F$14:$F$71)))</f>
        <v/>
      </c>
      <c r="W51" s="22">
        <f>IF(U51="SI",V51,0)</f>
        <v/>
      </c>
      <c r="X51" s="21" t="n"/>
      <c r="Y51" s="22">
        <f>IF(OR($E51=0,X$78=0),0,IF(AND(X51="N/A",$G51&lt;&gt;""),0,$F51+SUMPRODUCT(($G$14:$G$71=$A51)*($E$14:$E$71=1)*(X$14:X$71="N/A")*$F$14:$F$71)))</f>
        <v/>
      </c>
      <c r="Z51" s="22">
        <f>IF(X51="SI",Y51,0)</f>
        <v/>
      </c>
      <c r="AA51" s="22">
        <f>SUM(J51,M51,P51,S51,V51,Y51)</f>
        <v/>
      </c>
      <c r="AB51" s="22">
        <f>SUM(K51,N51,Q51,T51,W51,Z51)</f>
        <v/>
      </c>
      <c r="AC51" s="23">
        <f>IF(AA51=0,"",AB51/AA51)</f>
        <v/>
      </c>
      <c r="AD51" s="22">
        <f>CRITERIOS!Q39</f>
        <v/>
      </c>
      <c r="AE51" s="22">
        <f>IF(AND(E51=1,H51&lt;&gt;"X",((I51="N/A")+(L51="N/A")+(O51="N/A")+(R51="N/A")+(U51="N/A")+(X51="N/A"))&gt;0),"REVISAR","")</f>
        <v/>
      </c>
    </row>
    <row r="52">
      <c r="A52" s="24">
        <f>CRITERIOS!B40</f>
        <v/>
      </c>
      <c r="B52" s="24">
        <f>CRITERIOS!C40</f>
        <v/>
      </c>
      <c r="C52" s="25">
        <f>CRITERIOS!D40</f>
        <v/>
      </c>
      <c r="D52" s="24">
        <f>CRITERIOS!E40</f>
        <v/>
      </c>
      <c r="E52" s="24">
        <f>IFERROR(IF(AND(OR(CRITERIOS!F40="Todos",CRITERIOS!F40=$B$4),INDEX(CRITERIOS!H40:J40,MATCH($B$5,VARIABLES!$E$2:$E$4,0))=1),1,0),0)</f>
        <v/>
      </c>
      <c r="F52" s="24">
        <f>IFERROR(IF(E52=1,INDEX(CRITERIOS!K40:M40,MATCH($B$5,VARIABLES!$E$2:$E$4,0)),0),0)</f>
        <v/>
      </c>
      <c r="G52" s="24">
        <f>IF(CRITERIOS!N40="","",CRITERIOS!N40)</f>
        <v/>
      </c>
      <c r="H52" s="24">
        <f>IF(CRITERIOS!O40="","",CRITERIOS!O40)</f>
        <v/>
      </c>
      <c r="I52" s="21" t="n"/>
      <c r="J52" s="22">
        <f>IF(OR($E52=0,I$78=0),0,IF(AND(I52="N/A",$G52&lt;&gt;""),0,$F52+SUMPRODUCT(($G$14:$G$71=$A52)*($E$14:$E$71=1)*(I$14:I$71="N/A")*$F$14:$F$71)))</f>
        <v/>
      </c>
      <c r="K52" s="22">
        <f>IF(I52="SI",J52,0)</f>
        <v/>
      </c>
      <c r="L52" s="21" t="n"/>
      <c r="M52" s="22">
        <f>IF(OR($E52=0,L$78=0),0,IF(AND(L52="N/A",$G52&lt;&gt;""),0,$F52+SUMPRODUCT(($G$14:$G$71=$A52)*($E$14:$E$71=1)*(L$14:L$71="N/A")*$F$14:$F$71)))</f>
        <v/>
      </c>
      <c r="N52" s="22">
        <f>IF(L52="SI",M52,0)</f>
        <v/>
      </c>
      <c r="O52" s="21" t="n"/>
      <c r="P52" s="22">
        <f>IF(OR($E52=0,O$78=0),0,IF(AND(O52="N/A",$G52&lt;&gt;""),0,$F52+SUMPRODUCT(($G$14:$G$71=$A52)*($E$14:$E$71=1)*(O$14:O$71="N/A")*$F$14:$F$71)))</f>
        <v/>
      </c>
      <c r="Q52" s="22">
        <f>IF(O52="SI",P52,0)</f>
        <v/>
      </c>
      <c r="R52" s="21" t="n"/>
      <c r="S52" s="22">
        <f>IF(OR($E52=0,R$78=0),0,IF(AND(R52="N/A",$G52&lt;&gt;""),0,$F52+SUMPRODUCT(($G$14:$G$71=$A52)*($E$14:$E$71=1)*(R$14:R$71="N/A")*$F$14:$F$71)))</f>
        <v/>
      </c>
      <c r="T52" s="22">
        <f>IF(R52="SI",S52,0)</f>
        <v/>
      </c>
      <c r="U52" s="21" t="n"/>
      <c r="V52" s="22">
        <f>IF(OR($E52=0,U$78=0),0,IF(AND(U52="N/A",$G52&lt;&gt;""),0,$F52+SUMPRODUCT(($G$14:$G$71=$A52)*($E$14:$E$71=1)*(U$14:U$71="N/A")*$F$14:$F$71)))</f>
        <v/>
      </c>
      <c r="W52" s="22">
        <f>IF(U52="SI",V52,0)</f>
        <v/>
      </c>
      <c r="X52" s="21" t="n"/>
      <c r="Y52" s="22">
        <f>IF(OR($E52=0,X$78=0),0,IF(AND(X52="N/A",$G52&lt;&gt;""),0,$F52+SUMPRODUCT(($G$14:$G$71=$A52)*($E$14:$E$71=1)*(X$14:X$71="N/A")*$F$14:$F$71)))</f>
        <v/>
      </c>
      <c r="Z52" s="22">
        <f>IF(X52="SI",Y52,0)</f>
        <v/>
      </c>
      <c r="AA52" s="22">
        <f>SUM(J52,M52,P52,S52,V52,Y52)</f>
        <v/>
      </c>
      <c r="AB52" s="22">
        <f>SUM(K52,N52,Q52,T52,W52,Z52)</f>
        <v/>
      </c>
      <c r="AC52" s="23">
        <f>IF(AA52=0,"",AB52/AA52)</f>
        <v/>
      </c>
      <c r="AD52" s="22">
        <f>CRITERIOS!Q40</f>
        <v/>
      </c>
      <c r="AE52" s="22">
        <f>IF(AND(E52=1,H52&lt;&gt;"X",((I52="N/A")+(L52="N/A")+(O52="N/A")+(R52="N/A")+(U52="N/A")+(X52="N/A"))&gt;0),"REVISAR","")</f>
        <v/>
      </c>
    </row>
    <row r="53">
      <c r="A53" s="22">
        <f>CRITERIOS!B41</f>
        <v/>
      </c>
      <c r="B53" s="22">
        <f>CRITERIOS!C41</f>
        <v/>
      </c>
      <c r="C53" s="8">
        <f>CRITERIOS!D41</f>
        <v/>
      </c>
      <c r="D53" s="22">
        <f>CRITERIOS!E41</f>
        <v/>
      </c>
      <c r="E53" s="22">
        <f>IFERROR(IF(AND(OR(CRITERIOS!F41="Todos",CRITERIOS!F41=$B$4),INDEX(CRITERIOS!H41:J41,MATCH($B$5,VARIABLES!$E$2:$E$4,0))=1),1,0),0)</f>
        <v/>
      </c>
      <c r="F53" s="22">
        <f>IFERROR(IF(E53=1,INDEX(CRITERIOS!K41:M41,MATCH($B$5,VARIABLES!$E$2:$E$4,0)),0),0)</f>
        <v/>
      </c>
      <c r="G53" s="22">
        <f>IF(CRITERIOS!N41="","",CRITERIOS!N41)</f>
        <v/>
      </c>
      <c r="H53" s="22">
        <f>IF(CRITERIOS!O41="","",CRITERIOS!O41)</f>
        <v/>
      </c>
      <c r="I53" s="21" t="n"/>
      <c r="J53" s="22">
        <f>IF(OR($E53=0,I$78=0),0,IF(AND(I53="N/A",$G53&lt;&gt;""),0,$F53+SUMPRODUCT(($G$14:$G$71=$A53)*($E$14:$E$71=1)*(I$14:I$71="N/A")*$F$14:$F$71)))</f>
        <v/>
      </c>
      <c r="K53" s="22">
        <f>IF(I53="SI",J53,0)</f>
        <v/>
      </c>
      <c r="L53" s="21" t="n"/>
      <c r="M53" s="22">
        <f>IF(OR($E53=0,L$78=0),0,IF(AND(L53="N/A",$G53&lt;&gt;""),0,$F53+SUMPRODUCT(($G$14:$G$71=$A53)*($E$14:$E$71=1)*(L$14:L$71="N/A")*$F$14:$F$71)))</f>
        <v/>
      </c>
      <c r="N53" s="22">
        <f>IF(L53="SI",M53,0)</f>
        <v/>
      </c>
      <c r="O53" s="21" t="n"/>
      <c r="P53" s="22">
        <f>IF(OR($E53=0,O$78=0),0,IF(AND(O53="N/A",$G53&lt;&gt;""),0,$F53+SUMPRODUCT(($G$14:$G$71=$A53)*($E$14:$E$71=1)*(O$14:O$71="N/A")*$F$14:$F$71)))</f>
        <v/>
      </c>
      <c r="Q53" s="22">
        <f>IF(O53="SI",P53,0)</f>
        <v/>
      </c>
      <c r="R53" s="21" t="n"/>
      <c r="S53" s="22">
        <f>IF(OR($E53=0,R$78=0),0,IF(AND(R53="N/A",$G53&lt;&gt;""),0,$F53+SUMPRODUCT(($G$14:$G$71=$A53)*($E$14:$E$71=1)*(R$14:R$71="N/A")*$F$14:$F$71)))</f>
        <v/>
      </c>
      <c r="T53" s="22">
        <f>IF(R53="SI",S53,0)</f>
        <v/>
      </c>
      <c r="U53" s="21" t="n"/>
      <c r="V53" s="22">
        <f>IF(OR($E53=0,U$78=0),0,IF(AND(U53="N/A",$G53&lt;&gt;""),0,$F53+SUMPRODUCT(($G$14:$G$71=$A53)*($E$14:$E$71=1)*(U$14:U$71="N/A")*$F$14:$F$71)))</f>
        <v/>
      </c>
      <c r="W53" s="22">
        <f>IF(U53="SI",V53,0)</f>
        <v/>
      </c>
      <c r="X53" s="21" t="n"/>
      <c r="Y53" s="22">
        <f>IF(OR($E53=0,X$78=0),0,IF(AND(X53="N/A",$G53&lt;&gt;""),0,$F53+SUMPRODUCT(($G$14:$G$71=$A53)*($E$14:$E$71=1)*(X$14:X$71="N/A")*$F$14:$F$71)))</f>
        <v/>
      </c>
      <c r="Z53" s="22">
        <f>IF(X53="SI",Y53,0)</f>
        <v/>
      </c>
      <c r="AA53" s="22">
        <f>SUM(J53,M53,P53,S53,V53,Y53)</f>
        <v/>
      </c>
      <c r="AB53" s="22">
        <f>SUM(K53,N53,Q53,T53,W53,Z53)</f>
        <v/>
      </c>
      <c r="AC53" s="23">
        <f>IF(AA53=0,"",AB53/AA53)</f>
        <v/>
      </c>
      <c r="AD53" s="22">
        <f>CRITERIOS!Q41</f>
        <v/>
      </c>
      <c r="AE53" s="22">
        <f>IF(AND(E53=1,H53&lt;&gt;"X",((I53="N/A")+(L53="N/A")+(O53="N/A")+(R53="N/A")+(U53="N/A")+(X53="N/A"))&gt;0),"REVISAR","")</f>
        <v/>
      </c>
    </row>
    <row r="54">
      <c r="A54" s="22">
        <f>CRITERIOS!B42</f>
        <v/>
      </c>
      <c r="B54" s="22">
        <f>CRITERIOS!C42</f>
        <v/>
      </c>
      <c r="C54" s="8">
        <f>CRITERIOS!D42</f>
        <v/>
      </c>
      <c r="D54" s="22">
        <f>CRITERIOS!E42</f>
        <v/>
      </c>
      <c r="E54" s="22">
        <f>IFERROR(IF(AND(OR(CRITERIOS!F42="Todos",CRITERIOS!F42=$B$4),INDEX(CRITERIOS!H42:J42,MATCH($B$5,VARIABLES!$E$2:$E$4,0))=1),1,0),0)</f>
        <v/>
      </c>
      <c r="F54" s="22">
        <f>IFERROR(IF(E54=1,INDEX(CRITERIOS!K42:M42,MATCH($B$5,VARIABLES!$E$2:$E$4,0)),0),0)</f>
        <v/>
      </c>
      <c r="G54" s="22">
        <f>IF(CRITERIOS!N42="","",CRITERIOS!N42)</f>
        <v/>
      </c>
      <c r="H54" s="22">
        <f>IF(CRITERIOS!O42="","",CRITERIOS!O42)</f>
        <v/>
      </c>
      <c r="I54" s="21" t="n"/>
      <c r="J54" s="22">
        <f>IF(OR($E54=0,I$78=0),0,IF(AND(I54="N/A",$G54&lt;&gt;""),0,$F54+SUMPRODUCT(($G$14:$G$71=$A54)*($E$14:$E$71=1)*(I$14:I$71="N/A")*$F$14:$F$71)))</f>
        <v/>
      </c>
      <c r="K54" s="22">
        <f>IF(I54="SI",J54,0)</f>
        <v/>
      </c>
      <c r="L54" s="21" t="n"/>
      <c r="M54" s="22">
        <f>IF(OR($E54=0,L$78=0),0,IF(AND(L54="N/A",$G54&lt;&gt;""),0,$F54+SUMPRODUCT(($G$14:$G$71=$A54)*($E$14:$E$71=1)*(L$14:L$71="N/A")*$F$14:$F$71)))</f>
        <v/>
      </c>
      <c r="N54" s="22">
        <f>IF(L54="SI",M54,0)</f>
        <v/>
      </c>
      <c r="O54" s="21" t="n"/>
      <c r="P54" s="22">
        <f>IF(OR($E54=0,O$78=0),0,IF(AND(O54="N/A",$G54&lt;&gt;""),0,$F54+SUMPRODUCT(($G$14:$G$71=$A54)*($E$14:$E$71=1)*(O$14:O$71="N/A")*$F$14:$F$71)))</f>
        <v/>
      </c>
      <c r="Q54" s="22">
        <f>IF(O54="SI",P54,0)</f>
        <v/>
      </c>
      <c r="R54" s="21" t="n"/>
      <c r="S54" s="22">
        <f>IF(OR($E54=0,R$78=0),0,IF(AND(R54="N/A",$G54&lt;&gt;""),0,$F54+SUMPRODUCT(($G$14:$G$71=$A54)*($E$14:$E$71=1)*(R$14:R$71="N/A")*$F$14:$F$71)))</f>
        <v/>
      </c>
      <c r="T54" s="22">
        <f>IF(R54="SI",S54,0)</f>
        <v/>
      </c>
      <c r="U54" s="21" t="n"/>
      <c r="V54" s="22">
        <f>IF(OR($E54=0,U$78=0),0,IF(AND(U54="N/A",$G54&lt;&gt;""),0,$F54+SUMPRODUCT(($G$14:$G$71=$A54)*($E$14:$E$71=1)*(U$14:U$71="N/A")*$F$14:$F$71)))</f>
        <v/>
      </c>
      <c r="W54" s="22">
        <f>IF(U54="SI",V54,0)</f>
        <v/>
      </c>
      <c r="X54" s="21" t="n"/>
      <c r="Y54" s="22">
        <f>IF(OR($E54=0,X$78=0),0,IF(AND(X54="N/A",$G54&lt;&gt;""),0,$F54+SUMPRODUCT(($G$14:$G$71=$A54)*($E$14:$E$71=1)*(X$14:X$71="N/A")*$F$14:$F$71)))</f>
        <v/>
      </c>
      <c r="Z54" s="22">
        <f>IF(X54="SI",Y54,0)</f>
        <v/>
      </c>
      <c r="AA54" s="22">
        <f>SUM(J54,M54,P54,S54,V54,Y54)</f>
        <v/>
      </c>
      <c r="AB54" s="22">
        <f>SUM(K54,N54,Q54,T54,W54,Z54)</f>
        <v/>
      </c>
      <c r="AC54" s="23">
        <f>IF(AA54=0,"",AB54/AA54)</f>
        <v/>
      </c>
      <c r="AD54" s="22">
        <f>CRITERIOS!Q42</f>
        <v/>
      </c>
      <c r="AE54" s="22">
        <f>IF(AND(E54=1,H54&lt;&gt;"X",((I54="N/A")+(L54="N/A")+(O54="N/A")+(R54="N/A")+(U54="N/A")+(X54="N/A"))&gt;0),"REVISAR","")</f>
        <v/>
      </c>
    </row>
    <row r="55">
      <c r="A55" s="24">
        <f>CRITERIOS!B43</f>
        <v/>
      </c>
      <c r="B55" s="24">
        <f>CRITERIOS!C43</f>
        <v/>
      </c>
      <c r="C55" s="25">
        <f>CRITERIOS!D43</f>
        <v/>
      </c>
      <c r="D55" s="24">
        <f>CRITERIOS!E43</f>
        <v/>
      </c>
      <c r="E55" s="24">
        <f>IFERROR(IF(AND(OR(CRITERIOS!F43="Todos",CRITERIOS!F43=$B$4),INDEX(CRITERIOS!H43:J43,MATCH($B$5,VARIABLES!$E$2:$E$4,0))=1),1,0),0)</f>
        <v/>
      </c>
      <c r="F55" s="24">
        <f>IFERROR(IF(E55=1,INDEX(CRITERIOS!K43:M43,MATCH($B$5,VARIABLES!$E$2:$E$4,0)),0),0)</f>
        <v/>
      </c>
      <c r="G55" s="24">
        <f>IF(CRITERIOS!N43="","",CRITERIOS!N43)</f>
        <v/>
      </c>
      <c r="H55" s="24">
        <f>IF(CRITERIOS!O43="","",CRITERIOS!O43)</f>
        <v/>
      </c>
      <c r="I55" s="21" t="n"/>
      <c r="J55" s="22">
        <f>IF(OR($E55=0,I$78=0),0,IF(AND(I55="N/A",$G55&lt;&gt;""),0,$F55+SUMPRODUCT(($G$14:$G$71=$A55)*($E$14:$E$71=1)*(I$14:I$71="N/A")*$F$14:$F$71)))</f>
        <v/>
      </c>
      <c r="K55" s="22">
        <f>IF(I55="SI",J55,0)</f>
        <v/>
      </c>
      <c r="L55" s="21" t="n"/>
      <c r="M55" s="22">
        <f>IF(OR($E55=0,L$78=0),0,IF(AND(L55="N/A",$G55&lt;&gt;""),0,$F55+SUMPRODUCT(($G$14:$G$71=$A55)*($E$14:$E$71=1)*(L$14:L$71="N/A")*$F$14:$F$71)))</f>
        <v/>
      </c>
      <c r="N55" s="22">
        <f>IF(L55="SI",M55,0)</f>
        <v/>
      </c>
      <c r="O55" s="21" t="n"/>
      <c r="P55" s="22">
        <f>IF(OR($E55=0,O$78=0),0,IF(AND(O55="N/A",$G55&lt;&gt;""),0,$F55+SUMPRODUCT(($G$14:$G$71=$A55)*($E$14:$E$71=1)*(O$14:O$71="N/A")*$F$14:$F$71)))</f>
        <v/>
      </c>
      <c r="Q55" s="22">
        <f>IF(O55="SI",P55,0)</f>
        <v/>
      </c>
      <c r="R55" s="21" t="n"/>
      <c r="S55" s="22">
        <f>IF(OR($E55=0,R$78=0),0,IF(AND(R55="N/A",$G55&lt;&gt;""),0,$F55+SUMPRODUCT(($G$14:$G$71=$A55)*($E$14:$E$71=1)*(R$14:R$71="N/A")*$F$14:$F$71)))</f>
        <v/>
      </c>
      <c r="T55" s="22">
        <f>IF(R55="SI",S55,0)</f>
        <v/>
      </c>
      <c r="U55" s="21" t="n"/>
      <c r="V55" s="22">
        <f>IF(OR($E55=0,U$78=0),0,IF(AND(U55="N/A",$G55&lt;&gt;""),0,$F55+SUMPRODUCT(($G$14:$G$71=$A55)*($E$14:$E$71=1)*(U$14:U$71="N/A")*$F$14:$F$71)))</f>
        <v/>
      </c>
      <c r="W55" s="22">
        <f>IF(U55="SI",V55,0)</f>
        <v/>
      </c>
      <c r="X55" s="21" t="n"/>
      <c r="Y55" s="22">
        <f>IF(OR($E55=0,X$78=0),0,IF(AND(X55="N/A",$G55&lt;&gt;""),0,$F55+SUMPRODUCT(($G$14:$G$71=$A55)*($E$14:$E$71=1)*(X$14:X$71="N/A")*$F$14:$F$71)))</f>
        <v/>
      </c>
      <c r="Z55" s="22">
        <f>IF(X55="SI",Y55,0)</f>
        <v/>
      </c>
      <c r="AA55" s="22">
        <f>SUM(J55,M55,P55,S55,V55,Y55)</f>
        <v/>
      </c>
      <c r="AB55" s="22">
        <f>SUM(K55,N55,Q55,T55,W55,Z55)</f>
        <v/>
      </c>
      <c r="AC55" s="23">
        <f>IF(AA55=0,"",AB55/AA55)</f>
        <v/>
      </c>
      <c r="AD55" s="22">
        <f>CRITERIOS!Q43</f>
        <v/>
      </c>
      <c r="AE55" s="22">
        <f>IF(AND(E55=1,H55&lt;&gt;"X",((I55="N/A")+(L55="N/A")+(O55="N/A")+(R55="N/A")+(U55="N/A")+(X55="N/A"))&gt;0),"REVISAR","")</f>
        <v/>
      </c>
    </row>
    <row r="56">
      <c r="A56" s="24">
        <f>CRITERIOS!B44</f>
        <v/>
      </c>
      <c r="B56" s="24">
        <f>CRITERIOS!C44</f>
        <v/>
      </c>
      <c r="C56" s="25">
        <f>CRITERIOS!D44</f>
        <v/>
      </c>
      <c r="D56" s="24">
        <f>CRITERIOS!E44</f>
        <v/>
      </c>
      <c r="E56" s="24">
        <f>IFERROR(IF(AND(OR(CRITERIOS!F44="Todos",CRITERIOS!F44=$B$4),INDEX(CRITERIOS!H44:J44,MATCH($B$5,VARIABLES!$E$2:$E$4,0))=1),1,0),0)</f>
        <v/>
      </c>
      <c r="F56" s="24">
        <f>IFERROR(IF(E56=1,INDEX(CRITERIOS!K44:M44,MATCH($B$5,VARIABLES!$E$2:$E$4,0)),0),0)</f>
        <v/>
      </c>
      <c r="G56" s="24">
        <f>IF(CRITERIOS!N44="","",CRITERIOS!N44)</f>
        <v/>
      </c>
      <c r="H56" s="24">
        <f>IF(CRITERIOS!O44="","",CRITERIOS!O44)</f>
        <v/>
      </c>
      <c r="I56" s="21" t="n"/>
      <c r="J56" s="22">
        <f>IF(OR($E56=0,I$78=0),0,IF(AND(I56="N/A",$G56&lt;&gt;""),0,$F56+SUMPRODUCT(($G$14:$G$71=$A56)*($E$14:$E$71=1)*(I$14:I$71="N/A")*$F$14:$F$71)))</f>
        <v/>
      </c>
      <c r="K56" s="22">
        <f>IF(I56="SI",J56,0)</f>
        <v/>
      </c>
      <c r="L56" s="21" t="n"/>
      <c r="M56" s="22">
        <f>IF(OR($E56=0,L$78=0),0,IF(AND(L56="N/A",$G56&lt;&gt;""),0,$F56+SUMPRODUCT(($G$14:$G$71=$A56)*($E$14:$E$71=1)*(L$14:L$71="N/A")*$F$14:$F$71)))</f>
        <v/>
      </c>
      <c r="N56" s="22">
        <f>IF(L56="SI",M56,0)</f>
        <v/>
      </c>
      <c r="O56" s="21" t="n"/>
      <c r="P56" s="22">
        <f>IF(OR($E56=0,O$78=0),0,IF(AND(O56="N/A",$G56&lt;&gt;""),0,$F56+SUMPRODUCT(($G$14:$G$71=$A56)*($E$14:$E$71=1)*(O$14:O$71="N/A")*$F$14:$F$71)))</f>
        <v/>
      </c>
      <c r="Q56" s="22">
        <f>IF(O56="SI",P56,0)</f>
        <v/>
      </c>
      <c r="R56" s="21" t="n"/>
      <c r="S56" s="22">
        <f>IF(OR($E56=0,R$78=0),0,IF(AND(R56="N/A",$G56&lt;&gt;""),0,$F56+SUMPRODUCT(($G$14:$G$71=$A56)*($E$14:$E$71=1)*(R$14:R$71="N/A")*$F$14:$F$71)))</f>
        <v/>
      </c>
      <c r="T56" s="22">
        <f>IF(R56="SI",S56,0)</f>
        <v/>
      </c>
      <c r="U56" s="21" t="n"/>
      <c r="V56" s="22">
        <f>IF(OR($E56=0,U$78=0),0,IF(AND(U56="N/A",$G56&lt;&gt;""),0,$F56+SUMPRODUCT(($G$14:$G$71=$A56)*($E$14:$E$71=1)*(U$14:U$71="N/A")*$F$14:$F$71)))</f>
        <v/>
      </c>
      <c r="W56" s="22">
        <f>IF(U56="SI",V56,0)</f>
        <v/>
      </c>
      <c r="X56" s="21" t="n"/>
      <c r="Y56" s="22">
        <f>IF(OR($E56=0,X$78=0),0,IF(AND(X56="N/A",$G56&lt;&gt;""),0,$F56+SUMPRODUCT(($G$14:$G$71=$A56)*($E$14:$E$71=1)*(X$14:X$71="N/A")*$F$14:$F$71)))</f>
        <v/>
      </c>
      <c r="Z56" s="22">
        <f>IF(X56="SI",Y56,0)</f>
        <v/>
      </c>
      <c r="AA56" s="22">
        <f>SUM(J56,M56,P56,S56,V56,Y56)</f>
        <v/>
      </c>
      <c r="AB56" s="22">
        <f>SUM(K56,N56,Q56,T56,W56,Z56)</f>
        <v/>
      </c>
      <c r="AC56" s="23">
        <f>IF(AA56=0,"",AB56/AA56)</f>
        <v/>
      </c>
      <c r="AD56" s="22">
        <f>CRITERIOS!Q44</f>
        <v/>
      </c>
      <c r="AE56" s="22">
        <f>IF(AND(E56=1,H56&lt;&gt;"X",((I56="N/A")+(L56="N/A")+(O56="N/A")+(R56="N/A")+(U56="N/A")+(X56="N/A"))&gt;0),"REVISAR","")</f>
        <v/>
      </c>
    </row>
    <row r="57">
      <c r="A57" s="24">
        <f>CRITERIOS!B45</f>
        <v/>
      </c>
      <c r="B57" s="24">
        <f>CRITERIOS!C45</f>
        <v/>
      </c>
      <c r="C57" s="25">
        <f>CRITERIOS!D45</f>
        <v/>
      </c>
      <c r="D57" s="24">
        <f>CRITERIOS!E45</f>
        <v/>
      </c>
      <c r="E57" s="24">
        <f>IFERROR(IF(AND(OR(CRITERIOS!F45="Todos",CRITERIOS!F45=$B$4),INDEX(CRITERIOS!H45:J45,MATCH($B$5,VARIABLES!$E$2:$E$4,0))=1),1,0),0)</f>
        <v/>
      </c>
      <c r="F57" s="24">
        <f>IFERROR(IF(E57=1,INDEX(CRITERIOS!K45:M45,MATCH($B$5,VARIABLES!$E$2:$E$4,0)),0),0)</f>
        <v/>
      </c>
      <c r="G57" s="24">
        <f>IF(CRITERIOS!N45="","",CRITERIOS!N45)</f>
        <v/>
      </c>
      <c r="H57" s="24">
        <f>IF(CRITERIOS!O45="","",CRITERIOS!O45)</f>
        <v/>
      </c>
      <c r="I57" s="21" t="n"/>
      <c r="J57" s="22">
        <f>IF(OR($E57=0,I$78=0),0,IF(AND(I57="N/A",$G57&lt;&gt;""),0,$F57+SUMPRODUCT(($G$14:$G$71=$A57)*($E$14:$E$71=1)*(I$14:I$71="N/A")*$F$14:$F$71)))</f>
        <v/>
      </c>
      <c r="K57" s="22">
        <f>IF(I57="SI",J57,0)</f>
        <v/>
      </c>
      <c r="L57" s="21" t="n"/>
      <c r="M57" s="22">
        <f>IF(OR($E57=0,L$78=0),0,IF(AND(L57="N/A",$G57&lt;&gt;""),0,$F57+SUMPRODUCT(($G$14:$G$71=$A57)*($E$14:$E$71=1)*(L$14:L$71="N/A")*$F$14:$F$71)))</f>
        <v/>
      </c>
      <c r="N57" s="22">
        <f>IF(L57="SI",M57,0)</f>
        <v/>
      </c>
      <c r="O57" s="21" t="n"/>
      <c r="P57" s="22">
        <f>IF(OR($E57=0,O$78=0),0,IF(AND(O57="N/A",$G57&lt;&gt;""),0,$F57+SUMPRODUCT(($G$14:$G$71=$A57)*($E$14:$E$71=1)*(O$14:O$71="N/A")*$F$14:$F$71)))</f>
        <v/>
      </c>
      <c r="Q57" s="22">
        <f>IF(O57="SI",P57,0)</f>
        <v/>
      </c>
      <c r="R57" s="21" t="n"/>
      <c r="S57" s="22">
        <f>IF(OR($E57=0,R$78=0),0,IF(AND(R57="N/A",$G57&lt;&gt;""),0,$F57+SUMPRODUCT(($G$14:$G$71=$A57)*($E$14:$E$71=1)*(R$14:R$71="N/A")*$F$14:$F$71)))</f>
        <v/>
      </c>
      <c r="T57" s="22">
        <f>IF(R57="SI",S57,0)</f>
        <v/>
      </c>
      <c r="U57" s="21" t="n"/>
      <c r="V57" s="22">
        <f>IF(OR($E57=0,U$78=0),0,IF(AND(U57="N/A",$G57&lt;&gt;""),0,$F57+SUMPRODUCT(($G$14:$G$71=$A57)*($E$14:$E$71=1)*(U$14:U$71="N/A")*$F$14:$F$71)))</f>
        <v/>
      </c>
      <c r="W57" s="22">
        <f>IF(U57="SI",V57,0)</f>
        <v/>
      </c>
      <c r="X57" s="21" t="n"/>
      <c r="Y57" s="22">
        <f>IF(OR($E57=0,X$78=0),0,IF(AND(X57="N/A",$G57&lt;&gt;""),0,$F57+SUMPRODUCT(($G$14:$G$71=$A57)*($E$14:$E$71=1)*(X$14:X$71="N/A")*$F$14:$F$71)))</f>
        <v/>
      </c>
      <c r="Z57" s="22">
        <f>IF(X57="SI",Y57,0)</f>
        <v/>
      </c>
      <c r="AA57" s="22">
        <f>SUM(J57,M57,P57,S57,V57,Y57)</f>
        <v/>
      </c>
      <c r="AB57" s="22">
        <f>SUM(K57,N57,Q57,T57,W57,Z57)</f>
        <v/>
      </c>
      <c r="AC57" s="23">
        <f>IF(AA57=0,"",AB57/AA57)</f>
        <v/>
      </c>
      <c r="AD57" s="22">
        <f>CRITERIOS!Q45</f>
        <v/>
      </c>
      <c r="AE57" s="22">
        <f>IF(AND(E57=1,H57&lt;&gt;"X",((I57="N/A")+(L57="N/A")+(O57="N/A")+(R57="N/A")+(U57="N/A")+(X57="N/A"))&gt;0),"REVISAR","")</f>
        <v/>
      </c>
    </row>
    <row r="58">
      <c r="A58" s="24">
        <f>CRITERIOS!B46</f>
        <v/>
      </c>
      <c r="B58" s="24">
        <f>CRITERIOS!C46</f>
        <v/>
      </c>
      <c r="C58" s="25">
        <f>CRITERIOS!D46</f>
        <v/>
      </c>
      <c r="D58" s="24">
        <f>CRITERIOS!E46</f>
        <v/>
      </c>
      <c r="E58" s="24">
        <f>IFERROR(IF(AND(OR(CRITERIOS!F46="Todos",CRITERIOS!F46=$B$4),INDEX(CRITERIOS!H46:J46,MATCH($B$5,VARIABLES!$E$2:$E$4,0))=1),1,0),0)</f>
        <v/>
      </c>
      <c r="F58" s="24">
        <f>IFERROR(IF(E58=1,INDEX(CRITERIOS!K46:M46,MATCH($B$5,VARIABLES!$E$2:$E$4,0)),0),0)</f>
        <v/>
      </c>
      <c r="G58" s="24">
        <f>IF(CRITERIOS!N46="","",CRITERIOS!N46)</f>
        <v/>
      </c>
      <c r="H58" s="24">
        <f>IF(CRITERIOS!O46="","",CRITERIOS!O46)</f>
        <v/>
      </c>
      <c r="I58" s="21" t="n"/>
      <c r="J58" s="22">
        <f>IF(OR($E58=0,I$78=0),0,IF(AND(I58="N/A",$G58&lt;&gt;""),0,$F58+SUMPRODUCT(($G$14:$G$71=$A58)*($E$14:$E$71=1)*(I$14:I$71="N/A")*$F$14:$F$71)))</f>
        <v/>
      </c>
      <c r="K58" s="22">
        <f>IF(I58="SI",J58,0)</f>
        <v/>
      </c>
      <c r="L58" s="21" t="n"/>
      <c r="M58" s="22">
        <f>IF(OR($E58=0,L$78=0),0,IF(AND(L58="N/A",$G58&lt;&gt;""),0,$F58+SUMPRODUCT(($G$14:$G$71=$A58)*($E$14:$E$71=1)*(L$14:L$71="N/A")*$F$14:$F$71)))</f>
        <v/>
      </c>
      <c r="N58" s="22">
        <f>IF(L58="SI",M58,0)</f>
        <v/>
      </c>
      <c r="O58" s="21" t="n"/>
      <c r="P58" s="22">
        <f>IF(OR($E58=0,O$78=0),0,IF(AND(O58="N/A",$G58&lt;&gt;""),0,$F58+SUMPRODUCT(($G$14:$G$71=$A58)*($E$14:$E$71=1)*(O$14:O$71="N/A")*$F$14:$F$71)))</f>
        <v/>
      </c>
      <c r="Q58" s="22">
        <f>IF(O58="SI",P58,0)</f>
        <v/>
      </c>
      <c r="R58" s="21" t="n"/>
      <c r="S58" s="22">
        <f>IF(OR($E58=0,R$78=0),0,IF(AND(R58="N/A",$G58&lt;&gt;""),0,$F58+SUMPRODUCT(($G$14:$G$71=$A58)*($E$14:$E$71=1)*(R$14:R$71="N/A")*$F$14:$F$71)))</f>
        <v/>
      </c>
      <c r="T58" s="22">
        <f>IF(R58="SI",S58,0)</f>
        <v/>
      </c>
      <c r="U58" s="21" t="n"/>
      <c r="V58" s="22">
        <f>IF(OR($E58=0,U$78=0),0,IF(AND(U58="N/A",$G58&lt;&gt;""),0,$F58+SUMPRODUCT(($G$14:$G$71=$A58)*($E$14:$E$71=1)*(U$14:U$71="N/A")*$F$14:$F$71)))</f>
        <v/>
      </c>
      <c r="W58" s="22">
        <f>IF(U58="SI",V58,0)</f>
        <v/>
      </c>
      <c r="X58" s="21" t="n"/>
      <c r="Y58" s="22">
        <f>IF(OR($E58=0,X$78=0),0,IF(AND(X58="N/A",$G58&lt;&gt;""),0,$F58+SUMPRODUCT(($G$14:$G$71=$A58)*($E$14:$E$71=1)*(X$14:X$71="N/A")*$F$14:$F$71)))</f>
        <v/>
      </c>
      <c r="Z58" s="22">
        <f>IF(X58="SI",Y58,0)</f>
        <v/>
      </c>
      <c r="AA58" s="22">
        <f>SUM(J58,M58,P58,S58,V58,Y58)</f>
        <v/>
      </c>
      <c r="AB58" s="22">
        <f>SUM(K58,N58,Q58,T58,W58,Z58)</f>
        <v/>
      </c>
      <c r="AC58" s="23">
        <f>IF(AA58=0,"",AB58/AA58)</f>
        <v/>
      </c>
      <c r="AD58" s="22">
        <f>CRITERIOS!Q46</f>
        <v/>
      </c>
      <c r="AE58" s="22">
        <f>IF(AND(E58=1,H58&lt;&gt;"X",((I58="N/A")+(L58="N/A")+(O58="N/A")+(R58="N/A")+(U58="N/A")+(X58="N/A"))&gt;0),"REVISAR","")</f>
        <v/>
      </c>
    </row>
    <row r="59">
      <c r="A59" s="24">
        <f>CRITERIOS!B47</f>
        <v/>
      </c>
      <c r="B59" s="24">
        <f>CRITERIOS!C47</f>
        <v/>
      </c>
      <c r="C59" s="25">
        <f>CRITERIOS!D47</f>
        <v/>
      </c>
      <c r="D59" s="24">
        <f>CRITERIOS!E47</f>
        <v/>
      </c>
      <c r="E59" s="24">
        <f>IFERROR(IF(AND(OR(CRITERIOS!F47="Todos",CRITERIOS!F47=$B$4),INDEX(CRITERIOS!H47:J47,MATCH($B$5,VARIABLES!$E$2:$E$4,0))=1),1,0),0)</f>
        <v/>
      </c>
      <c r="F59" s="24">
        <f>IFERROR(IF(E59=1,INDEX(CRITERIOS!K47:M47,MATCH($B$5,VARIABLES!$E$2:$E$4,0)),0),0)</f>
        <v/>
      </c>
      <c r="G59" s="24">
        <f>IF(CRITERIOS!N47="","",CRITERIOS!N47)</f>
        <v/>
      </c>
      <c r="H59" s="24">
        <f>IF(CRITERIOS!O47="","",CRITERIOS!O47)</f>
        <v/>
      </c>
      <c r="I59" s="21" t="n"/>
      <c r="J59" s="22">
        <f>IF(OR($E59=0,I$78=0),0,IF(AND(I59="N/A",$G59&lt;&gt;""),0,$F59+SUMPRODUCT(($G$14:$G$71=$A59)*($E$14:$E$71=1)*(I$14:I$71="N/A")*$F$14:$F$71)))</f>
        <v/>
      </c>
      <c r="K59" s="22">
        <f>IF(I59="SI",J59,0)</f>
        <v/>
      </c>
      <c r="L59" s="21" t="n"/>
      <c r="M59" s="22">
        <f>IF(OR($E59=0,L$78=0),0,IF(AND(L59="N/A",$G59&lt;&gt;""),0,$F59+SUMPRODUCT(($G$14:$G$71=$A59)*($E$14:$E$71=1)*(L$14:L$71="N/A")*$F$14:$F$71)))</f>
        <v/>
      </c>
      <c r="N59" s="22">
        <f>IF(L59="SI",M59,0)</f>
        <v/>
      </c>
      <c r="O59" s="21" t="n"/>
      <c r="P59" s="22">
        <f>IF(OR($E59=0,O$78=0),0,IF(AND(O59="N/A",$G59&lt;&gt;""),0,$F59+SUMPRODUCT(($G$14:$G$71=$A59)*($E$14:$E$71=1)*(O$14:O$71="N/A")*$F$14:$F$71)))</f>
        <v/>
      </c>
      <c r="Q59" s="22">
        <f>IF(O59="SI",P59,0)</f>
        <v/>
      </c>
      <c r="R59" s="21" t="n"/>
      <c r="S59" s="22">
        <f>IF(OR($E59=0,R$78=0),0,IF(AND(R59="N/A",$G59&lt;&gt;""),0,$F59+SUMPRODUCT(($G$14:$G$71=$A59)*($E$14:$E$71=1)*(R$14:R$71="N/A")*$F$14:$F$71)))</f>
        <v/>
      </c>
      <c r="T59" s="22">
        <f>IF(R59="SI",S59,0)</f>
        <v/>
      </c>
      <c r="U59" s="21" t="n"/>
      <c r="V59" s="22">
        <f>IF(OR($E59=0,U$78=0),0,IF(AND(U59="N/A",$G59&lt;&gt;""),0,$F59+SUMPRODUCT(($G$14:$G$71=$A59)*($E$14:$E$71=1)*(U$14:U$71="N/A")*$F$14:$F$71)))</f>
        <v/>
      </c>
      <c r="W59" s="22">
        <f>IF(U59="SI",V59,0)</f>
        <v/>
      </c>
      <c r="X59" s="21" t="n"/>
      <c r="Y59" s="22">
        <f>IF(OR($E59=0,X$78=0),0,IF(AND(X59="N/A",$G59&lt;&gt;""),0,$F59+SUMPRODUCT(($G$14:$G$71=$A59)*($E$14:$E$71=1)*(X$14:X$71="N/A")*$F$14:$F$71)))</f>
        <v/>
      </c>
      <c r="Z59" s="22">
        <f>IF(X59="SI",Y59,0)</f>
        <v/>
      </c>
      <c r="AA59" s="22">
        <f>SUM(J59,M59,P59,S59,V59,Y59)</f>
        <v/>
      </c>
      <c r="AB59" s="22">
        <f>SUM(K59,N59,Q59,T59,W59,Z59)</f>
        <v/>
      </c>
      <c r="AC59" s="23">
        <f>IF(AA59=0,"",AB59/AA59)</f>
        <v/>
      </c>
      <c r="AD59" s="22">
        <f>CRITERIOS!Q47</f>
        <v/>
      </c>
      <c r="AE59" s="22">
        <f>IF(AND(E59=1,H59&lt;&gt;"X",((I59="N/A")+(L59="N/A")+(O59="N/A")+(R59="N/A")+(U59="N/A")+(X59="N/A"))&gt;0),"REVISAR","")</f>
        <v/>
      </c>
    </row>
    <row r="60">
      <c r="A60" s="24">
        <f>CRITERIOS!B48</f>
        <v/>
      </c>
      <c r="B60" s="24">
        <f>CRITERIOS!C48</f>
        <v/>
      </c>
      <c r="C60" s="25">
        <f>CRITERIOS!D48</f>
        <v/>
      </c>
      <c r="D60" s="24">
        <f>CRITERIOS!E48</f>
        <v/>
      </c>
      <c r="E60" s="24">
        <f>IFERROR(IF(AND(OR(CRITERIOS!F48="Todos",CRITERIOS!F48=$B$4),INDEX(CRITERIOS!H48:J48,MATCH($B$5,VARIABLES!$E$2:$E$4,0))=1),1,0),0)</f>
        <v/>
      </c>
      <c r="F60" s="24">
        <f>IFERROR(IF(E60=1,INDEX(CRITERIOS!K48:M48,MATCH($B$5,VARIABLES!$E$2:$E$4,0)),0),0)</f>
        <v/>
      </c>
      <c r="G60" s="24">
        <f>IF(CRITERIOS!N48="","",CRITERIOS!N48)</f>
        <v/>
      </c>
      <c r="H60" s="24">
        <f>IF(CRITERIOS!O48="","",CRITERIOS!O48)</f>
        <v/>
      </c>
      <c r="I60" s="21" t="n"/>
      <c r="J60" s="22">
        <f>IF(OR($E60=0,I$78=0),0,IF(AND(I60="N/A",$G60&lt;&gt;""),0,$F60+SUMPRODUCT(($G$14:$G$71=$A60)*($E$14:$E$71=1)*(I$14:I$71="N/A")*$F$14:$F$71)))</f>
        <v/>
      </c>
      <c r="K60" s="22">
        <f>IF(I60="SI",J60,0)</f>
        <v/>
      </c>
      <c r="L60" s="21" t="n"/>
      <c r="M60" s="22">
        <f>IF(OR($E60=0,L$78=0),0,IF(AND(L60="N/A",$G60&lt;&gt;""),0,$F60+SUMPRODUCT(($G$14:$G$71=$A60)*($E$14:$E$71=1)*(L$14:L$71="N/A")*$F$14:$F$71)))</f>
        <v/>
      </c>
      <c r="N60" s="22">
        <f>IF(L60="SI",M60,0)</f>
        <v/>
      </c>
      <c r="O60" s="21" t="n"/>
      <c r="P60" s="22">
        <f>IF(OR($E60=0,O$78=0),0,IF(AND(O60="N/A",$G60&lt;&gt;""),0,$F60+SUMPRODUCT(($G$14:$G$71=$A60)*($E$14:$E$71=1)*(O$14:O$71="N/A")*$F$14:$F$71)))</f>
        <v/>
      </c>
      <c r="Q60" s="22">
        <f>IF(O60="SI",P60,0)</f>
        <v/>
      </c>
      <c r="R60" s="21" t="n"/>
      <c r="S60" s="22">
        <f>IF(OR($E60=0,R$78=0),0,IF(AND(R60="N/A",$G60&lt;&gt;""),0,$F60+SUMPRODUCT(($G$14:$G$71=$A60)*($E$14:$E$71=1)*(R$14:R$71="N/A")*$F$14:$F$71)))</f>
        <v/>
      </c>
      <c r="T60" s="22">
        <f>IF(R60="SI",S60,0)</f>
        <v/>
      </c>
      <c r="U60" s="21" t="n"/>
      <c r="V60" s="22">
        <f>IF(OR($E60=0,U$78=0),0,IF(AND(U60="N/A",$G60&lt;&gt;""),0,$F60+SUMPRODUCT(($G$14:$G$71=$A60)*($E$14:$E$71=1)*(U$14:U$71="N/A")*$F$14:$F$71)))</f>
        <v/>
      </c>
      <c r="W60" s="22">
        <f>IF(U60="SI",V60,0)</f>
        <v/>
      </c>
      <c r="X60" s="21" t="n"/>
      <c r="Y60" s="22">
        <f>IF(OR($E60=0,X$78=0),0,IF(AND(X60="N/A",$G60&lt;&gt;""),0,$F60+SUMPRODUCT(($G$14:$G$71=$A60)*($E$14:$E$71=1)*(X$14:X$71="N/A")*$F$14:$F$71)))</f>
        <v/>
      </c>
      <c r="Z60" s="22">
        <f>IF(X60="SI",Y60,0)</f>
        <v/>
      </c>
      <c r="AA60" s="22">
        <f>SUM(J60,M60,P60,S60,V60,Y60)</f>
        <v/>
      </c>
      <c r="AB60" s="22">
        <f>SUM(K60,N60,Q60,T60,W60,Z60)</f>
        <v/>
      </c>
      <c r="AC60" s="23">
        <f>IF(AA60=0,"",AB60/AA60)</f>
        <v/>
      </c>
      <c r="AD60" s="22">
        <f>CRITERIOS!Q48</f>
        <v/>
      </c>
      <c r="AE60" s="22">
        <f>IF(AND(E60=1,H60&lt;&gt;"X",((I60="N/A")+(L60="N/A")+(O60="N/A")+(R60="N/A")+(U60="N/A")+(X60="N/A"))&gt;0),"REVISAR","")</f>
        <v/>
      </c>
    </row>
    <row r="61">
      <c r="A61" s="22">
        <f>CRITERIOS!B49</f>
        <v/>
      </c>
      <c r="B61" s="22">
        <f>CRITERIOS!C49</f>
        <v/>
      </c>
      <c r="C61" s="8">
        <f>CRITERIOS!D49</f>
        <v/>
      </c>
      <c r="D61" s="22">
        <f>CRITERIOS!E49</f>
        <v/>
      </c>
      <c r="E61" s="22">
        <f>IFERROR(IF(AND(OR(CRITERIOS!F49="Todos",CRITERIOS!F49=$B$4),INDEX(CRITERIOS!H49:J49,MATCH($B$5,VARIABLES!$E$2:$E$4,0))=1),1,0),0)</f>
        <v/>
      </c>
      <c r="F61" s="22">
        <f>IFERROR(IF(E61=1,INDEX(CRITERIOS!K49:M49,MATCH($B$5,VARIABLES!$E$2:$E$4,0)),0),0)</f>
        <v/>
      </c>
      <c r="G61" s="22">
        <f>IF(CRITERIOS!N49="","",CRITERIOS!N49)</f>
        <v/>
      </c>
      <c r="H61" s="22">
        <f>IF(CRITERIOS!O49="","",CRITERIOS!O49)</f>
        <v/>
      </c>
      <c r="I61" s="21" t="n"/>
      <c r="J61" s="22">
        <f>IF(OR($E61=0,I$78=0),0,IF(AND(I61="N/A",$G61&lt;&gt;""),0,$F61+SUMPRODUCT(($G$14:$G$71=$A61)*($E$14:$E$71=1)*(I$14:I$71="N/A")*$F$14:$F$71)))</f>
        <v/>
      </c>
      <c r="K61" s="22">
        <f>IF(I61="SI",J61,0)</f>
        <v/>
      </c>
      <c r="L61" s="21" t="n"/>
      <c r="M61" s="22">
        <f>IF(OR($E61=0,L$78=0),0,IF(AND(L61="N/A",$G61&lt;&gt;""),0,$F61+SUMPRODUCT(($G$14:$G$71=$A61)*($E$14:$E$71=1)*(L$14:L$71="N/A")*$F$14:$F$71)))</f>
        <v/>
      </c>
      <c r="N61" s="22">
        <f>IF(L61="SI",M61,0)</f>
        <v/>
      </c>
      <c r="O61" s="21" t="n"/>
      <c r="P61" s="22">
        <f>IF(OR($E61=0,O$78=0),0,IF(AND(O61="N/A",$G61&lt;&gt;""),0,$F61+SUMPRODUCT(($G$14:$G$71=$A61)*($E$14:$E$71=1)*(O$14:O$71="N/A")*$F$14:$F$71)))</f>
        <v/>
      </c>
      <c r="Q61" s="22">
        <f>IF(O61="SI",P61,0)</f>
        <v/>
      </c>
      <c r="R61" s="21" t="n"/>
      <c r="S61" s="22">
        <f>IF(OR($E61=0,R$78=0),0,IF(AND(R61="N/A",$G61&lt;&gt;""),0,$F61+SUMPRODUCT(($G$14:$G$71=$A61)*($E$14:$E$71=1)*(R$14:R$71="N/A")*$F$14:$F$71)))</f>
        <v/>
      </c>
      <c r="T61" s="22">
        <f>IF(R61="SI",S61,0)</f>
        <v/>
      </c>
      <c r="U61" s="21" t="n"/>
      <c r="V61" s="22">
        <f>IF(OR($E61=0,U$78=0),0,IF(AND(U61="N/A",$G61&lt;&gt;""),0,$F61+SUMPRODUCT(($G$14:$G$71=$A61)*($E$14:$E$71=1)*(U$14:U$71="N/A")*$F$14:$F$71)))</f>
        <v/>
      </c>
      <c r="W61" s="22">
        <f>IF(U61="SI",V61,0)</f>
        <v/>
      </c>
      <c r="X61" s="21" t="n"/>
      <c r="Y61" s="22">
        <f>IF(OR($E61=0,X$78=0),0,IF(AND(X61="N/A",$G61&lt;&gt;""),0,$F61+SUMPRODUCT(($G$14:$G$71=$A61)*($E$14:$E$71=1)*(X$14:X$71="N/A")*$F$14:$F$71)))</f>
        <v/>
      </c>
      <c r="Z61" s="22">
        <f>IF(X61="SI",Y61,0)</f>
        <v/>
      </c>
      <c r="AA61" s="22">
        <f>SUM(J61,M61,P61,S61,V61,Y61)</f>
        <v/>
      </c>
      <c r="AB61" s="22">
        <f>SUM(K61,N61,Q61,T61,W61,Z61)</f>
        <v/>
      </c>
      <c r="AC61" s="23">
        <f>IF(AA61=0,"",AB61/AA61)</f>
        <v/>
      </c>
      <c r="AD61" s="22">
        <f>CRITERIOS!Q49</f>
        <v/>
      </c>
      <c r="AE61" s="22">
        <f>IF(AND(E61=1,H61&lt;&gt;"X",((I61="N/A")+(L61="N/A")+(O61="N/A")+(R61="N/A")+(U61="N/A")+(X61="N/A"))&gt;0),"REVISAR","")</f>
        <v/>
      </c>
    </row>
    <row r="62">
      <c r="A62" s="24">
        <f>CRITERIOS!B50</f>
        <v/>
      </c>
      <c r="B62" s="24">
        <f>CRITERIOS!C50</f>
        <v/>
      </c>
      <c r="C62" s="25">
        <f>CRITERIOS!D50</f>
        <v/>
      </c>
      <c r="D62" s="24">
        <f>CRITERIOS!E50</f>
        <v/>
      </c>
      <c r="E62" s="24">
        <f>IFERROR(IF(AND(OR(CRITERIOS!F50="Todos",CRITERIOS!F50=$B$4),INDEX(CRITERIOS!H50:J50,MATCH($B$5,VARIABLES!$E$2:$E$4,0))=1),1,0),0)</f>
        <v/>
      </c>
      <c r="F62" s="24">
        <f>IFERROR(IF(E62=1,INDEX(CRITERIOS!K50:M50,MATCH($B$5,VARIABLES!$E$2:$E$4,0)),0),0)</f>
        <v/>
      </c>
      <c r="G62" s="24">
        <f>IF(CRITERIOS!N50="","",CRITERIOS!N50)</f>
        <v/>
      </c>
      <c r="H62" s="24">
        <f>IF(CRITERIOS!O50="","",CRITERIOS!O50)</f>
        <v/>
      </c>
      <c r="I62" s="21" t="n"/>
      <c r="J62" s="22">
        <f>IF(OR($E62=0,I$78=0),0,IF(AND(I62="N/A",$G62&lt;&gt;""),0,$F62+SUMPRODUCT(($G$14:$G$71=$A62)*($E$14:$E$71=1)*(I$14:I$71="N/A")*$F$14:$F$71)))</f>
        <v/>
      </c>
      <c r="K62" s="22">
        <f>IF(I62="SI",J62,0)</f>
        <v/>
      </c>
      <c r="L62" s="21" t="n"/>
      <c r="M62" s="22">
        <f>IF(OR($E62=0,L$78=0),0,IF(AND(L62="N/A",$G62&lt;&gt;""),0,$F62+SUMPRODUCT(($G$14:$G$71=$A62)*($E$14:$E$71=1)*(L$14:L$71="N/A")*$F$14:$F$71)))</f>
        <v/>
      </c>
      <c r="N62" s="22">
        <f>IF(L62="SI",M62,0)</f>
        <v/>
      </c>
      <c r="O62" s="21" t="n"/>
      <c r="P62" s="22">
        <f>IF(OR($E62=0,O$78=0),0,IF(AND(O62="N/A",$G62&lt;&gt;""),0,$F62+SUMPRODUCT(($G$14:$G$71=$A62)*($E$14:$E$71=1)*(O$14:O$71="N/A")*$F$14:$F$71)))</f>
        <v/>
      </c>
      <c r="Q62" s="22">
        <f>IF(O62="SI",P62,0)</f>
        <v/>
      </c>
      <c r="R62" s="21" t="n"/>
      <c r="S62" s="22">
        <f>IF(OR($E62=0,R$78=0),0,IF(AND(R62="N/A",$G62&lt;&gt;""),0,$F62+SUMPRODUCT(($G$14:$G$71=$A62)*($E$14:$E$71=1)*(R$14:R$71="N/A")*$F$14:$F$71)))</f>
        <v/>
      </c>
      <c r="T62" s="22">
        <f>IF(R62="SI",S62,0)</f>
        <v/>
      </c>
      <c r="U62" s="21" t="n"/>
      <c r="V62" s="22">
        <f>IF(OR($E62=0,U$78=0),0,IF(AND(U62="N/A",$G62&lt;&gt;""),0,$F62+SUMPRODUCT(($G$14:$G$71=$A62)*($E$14:$E$71=1)*(U$14:U$71="N/A")*$F$14:$F$71)))</f>
        <v/>
      </c>
      <c r="W62" s="22">
        <f>IF(U62="SI",V62,0)</f>
        <v/>
      </c>
      <c r="X62" s="21" t="n"/>
      <c r="Y62" s="22">
        <f>IF(OR($E62=0,X$78=0),0,IF(AND(X62="N/A",$G62&lt;&gt;""),0,$F62+SUMPRODUCT(($G$14:$G$71=$A62)*($E$14:$E$71=1)*(X$14:X$71="N/A")*$F$14:$F$71)))</f>
        <v/>
      </c>
      <c r="Z62" s="22">
        <f>IF(X62="SI",Y62,0)</f>
        <v/>
      </c>
      <c r="AA62" s="22">
        <f>SUM(J62,M62,P62,S62,V62,Y62)</f>
        <v/>
      </c>
      <c r="AB62" s="22">
        <f>SUM(K62,N62,Q62,T62,W62,Z62)</f>
        <v/>
      </c>
      <c r="AC62" s="23">
        <f>IF(AA62=0,"",AB62/AA62)</f>
        <v/>
      </c>
      <c r="AD62" s="22">
        <f>CRITERIOS!Q50</f>
        <v/>
      </c>
      <c r="AE62" s="22">
        <f>IF(AND(E62=1,H62&lt;&gt;"X",((I62="N/A")+(L62="N/A")+(O62="N/A")+(R62="N/A")+(U62="N/A")+(X62="N/A"))&gt;0),"REVISAR","")</f>
        <v/>
      </c>
    </row>
    <row r="63">
      <c r="A63" s="24">
        <f>CRITERIOS!B51</f>
        <v/>
      </c>
      <c r="B63" s="24">
        <f>CRITERIOS!C51</f>
        <v/>
      </c>
      <c r="C63" s="25">
        <f>CRITERIOS!D51</f>
        <v/>
      </c>
      <c r="D63" s="24">
        <f>CRITERIOS!E51</f>
        <v/>
      </c>
      <c r="E63" s="24">
        <f>IFERROR(IF(AND(OR(CRITERIOS!F51="Todos",CRITERIOS!F51=$B$4),INDEX(CRITERIOS!H51:J51,MATCH($B$5,VARIABLES!$E$2:$E$4,0))=1),1,0),0)</f>
        <v/>
      </c>
      <c r="F63" s="24">
        <f>IFERROR(IF(E63=1,INDEX(CRITERIOS!K51:M51,MATCH($B$5,VARIABLES!$E$2:$E$4,0)),0),0)</f>
        <v/>
      </c>
      <c r="G63" s="24">
        <f>IF(CRITERIOS!N51="","",CRITERIOS!N51)</f>
        <v/>
      </c>
      <c r="H63" s="24">
        <f>IF(CRITERIOS!O51="","",CRITERIOS!O51)</f>
        <v/>
      </c>
      <c r="I63" s="21" t="n"/>
      <c r="J63" s="22">
        <f>IF(OR($E63=0,I$78=0),0,IF(AND(I63="N/A",$G63&lt;&gt;""),0,$F63+SUMPRODUCT(($G$14:$G$71=$A63)*($E$14:$E$71=1)*(I$14:I$71="N/A")*$F$14:$F$71)))</f>
        <v/>
      </c>
      <c r="K63" s="22">
        <f>IF(I63="SI",J63,0)</f>
        <v/>
      </c>
      <c r="L63" s="21" t="n"/>
      <c r="M63" s="22">
        <f>IF(OR($E63=0,L$78=0),0,IF(AND(L63="N/A",$G63&lt;&gt;""),0,$F63+SUMPRODUCT(($G$14:$G$71=$A63)*($E$14:$E$71=1)*(L$14:L$71="N/A")*$F$14:$F$71)))</f>
        <v/>
      </c>
      <c r="N63" s="22">
        <f>IF(L63="SI",M63,0)</f>
        <v/>
      </c>
      <c r="O63" s="21" t="n"/>
      <c r="P63" s="22">
        <f>IF(OR($E63=0,O$78=0),0,IF(AND(O63="N/A",$G63&lt;&gt;""),0,$F63+SUMPRODUCT(($G$14:$G$71=$A63)*($E$14:$E$71=1)*(O$14:O$71="N/A")*$F$14:$F$71)))</f>
        <v/>
      </c>
      <c r="Q63" s="22">
        <f>IF(O63="SI",P63,0)</f>
        <v/>
      </c>
      <c r="R63" s="21" t="n"/>
      <c r="S63" s="22">
        <f>IF(OR($E63=0,R$78=0),0,IF(AND(R63="N/A",$G63&lt;&gt;""),0,$F63+SUMPRODUCT(($G$14:$G$71=$A63)*($E$14:$E$71=1)*(R$14:R$71="N/A")*$F$14:$F$71)))</f>
        <v/>
      </c>
      <c r="T63" s="22">
        <f>IF(R63="SI",S63,0)</f>
        <v/>
      </c>
      <c r="U63" s="21" t="n"/>
      <c r="V63" s="22">
        <f>IF(OR($E63=0,U$78=0),0,IF(AND(U63="N/A",$G63&lt;&gt;""),0,$F63+SUMPRODUCT(($G$14:$G$71=$A63)*($E$14:$E$71=1)*(U$14:U$71="N/A")*$F$14:$F$71)))</f>
        <v/>
      </c>
      <c r="W63" s="22">
        <f>IF(U63="SI",V63,0)</f>
        <v/>
      </c>
      <c r="X63" s="21" t="n"/>
      <c r="Y63" s="22">
        <f>IF(OR($E63=0,X$78=0),0,IF(AND(X63="N/A",$G63&lt;&gt;""),0,$F63+SUMPRODUCT(($G$14:$G$71=$A63)*($E$14:$E$71=1)*(X$14:X$71="N/A")*$F$14:$F$71)))</f>
        <v/>
      </c>
      <c r="Z63" s="22">
        <f>IF(X63="SI",Y63,0)</f>
        <v/>
      </c>
      <c r="AA63" s="22">
        <f>SUM(J63,M63,P63,S63,V63,Y63)</f>
        <v/>
      </c>
      <c r="AB63" s="22">
        <f>SUM(K63,N63,Q63,T63,W63,Z63)</f>
        <v/>
      </c>
      <c r="AC63" s="23">
        <f>IF(AA63=0,"",AB63/AA63)</f>
        <v/>
      </c>
      <c r="AD63" s="22">
        <f>CRITERIOS!Q51</f>
        <v/>
      </c>
      <c r="AE63" s="22">
        <f>IF(AND(E63=1,H63&lt;&gt;"X",((I63="N/A")+(L63="N/A")+(O63="N/A")+(R63="N/A")+(U63="N/A")+(X63="N/A"))&gt;0),"REVISAR","")</f>
        <v/>
      </c>
    </row>
    <row r="64">
      <c r="A64" s="22">
        <f>CRITERIOS!B52</f>
        <v/>
      </c>
      <c r="B64" s="22">
        <f>CRITERIOS!C52</f>
        <v/>
      </c>
      <c r="C64" s="8">
        <f>CRITERIOS!D52</f>
        <v/>
      </c>
      <c r="D64" s="22">
        <f>CRITERIOS!E52</f>
        <v/>
      </c>
      <c r="E64" s="22">
        <f>IFERROR(IF(AND(OR(CRITERIOS!F52="Todos",CRITERIOS!F52=$B$4),INDEX(CRITERIOS!H52:J52,MATCH($B$5,VARIABLES!$E$2:$E$4,0))=1),1,0),0)</f>
        <v/>
      </c>
      <c r="F64" s="22">
        <f>IFERROR(IF(E64=1,INDEX(CRITERIOS!K52:M52,MATCH($B$5,VARIABLES!$E$2:$E$4,0)),0),0)</f>
        <v/>
      </c>
      <c r="G64" s="22">
        <f>IF(CRITERIOS!N52="","",CRITERIOS!N52)</f>
        <v/>
      </c>
      <c r="H64" s="22">
        <f>IF(CRITERIOS!O52="","",CRITERIOS!O52)</f>
        <v/>
      </c>
      <c r="I64" s="21" t="n"/>
      <c r="J64" s="22">
        <f>IF(OR($E64=0,I$78=0),0,IF(AND(I64="N/A",$G64&lt;&gt;""),0,$F64+SUMPRODUCT(($G$14:$G$71=$A64)*($E$14:$E$71=1)*(I$14:I$71="N/A")*$F$14:$F$71)))</f>
        <v/>
      </c>
      <c r="K64" s="22">
        <f>IF(I64="SI",J64,0)</f>
        <v/>
      </c>
      <c r="L64" s="21" t="n"/>
      <c r="M64" s="22">
        <f>IF(OR($E64=0,L$78=0),0,IF(AND(L64="N/A",$G64&lt;&gt;""),0,$F64+SUMPRODUCT(($G$14:$G$71=$A64)*($E$14:$E$71=1)*(L$14:L$71="N/A")*$F$14:$F$71)))</f>
        <v/>
      </c>
      <c r="N64" s="22">
        <f>IF(L64="SI",M64,0)</f>
        <v/>
      </c>
      <c r="O64" s="21" t="n"/>
      <c r="P64" s="22">
        <f>IF(OR($E64=0,O$78=0),0,IF(AND(O64="N/A",$G64&lt;&gt;""),0,$F64+SUMPRODUCT(($G$14:$G$71=$A64)*($E$14:$E$71=1)*(O$14:O$71="N/A")*$F$14:$F$71)))</f>
        <v/>
      </c>
      <c r="Q64" s="22">
        <f>IF(O64="SI",P64,0)</f>
        <v/>
      </c>
      <c r="R64" s="21" t="n"/>
      <c r="S64" s="22">
        <f>IF(OR($E64=0,R$78=0),0,IF(AND(R64="N/A",$G64&lt;&gt;""),0,$F64+SUMPRODUCT(($G$14:$G$71=$A64)*($E$14:$E$71=1)*(R$14:R$71="N/A")*$F$14:$F$71)))</f>
        <v/>
      </c>
      <c r="T64" s="22">
        <f>IF(R64="SI",S64,0)</f>
        <v/>
      </c>
      <c r="U64" s="21" t="n"/>
      <c r="V64" s="22">
        <f>IF(OR($E64=0,U$78=0),0,IF(AND(U64="N/A",$G64&lt;&gt;""),0,$F64+SUMPRODUCT(($G$14:$G$71=$A64)*($E$14:$E$71=1)*(U$14:U$71="N/A")*$F$14:$F$71)))</f>
        <v/>
      </c>
      <c r="W64" s="22">
        <f>IF(U64="SI",V64,0)</f>
        <v/>
      </c>
      <c r="X64" s="21" t="n"/>
      <c r="Y64" s="22">
        <f>IF(OR($E64=0,X$78=0),0,IF(AND(X64="N/A",$G64&lt;&gt;""),0,$F64+SUMPRODUCT(($G$14:$G$71=$A64)*($E$14:$E$71=1)*(X$14:X$71="N/A")*$F$14:$F$71)))</f>
        <v/>
      </c>
      <c r="Z64" s="22">
        <f>IF(X64="SI",Y64,0)</f>
        <v/>
      </c>
      <c r="AA64" s="22">
        <f>SUM(J64,M64,P64,S64,V64,Y64)</f>
        <v/>
      </c>
      <c r="AB64" s="22">
        <f>SUM(K64,N64,Q64,T64,W64,Z64)</f>
        <v/>
      </c>
      <c r="AC64" s="23">
        <f>IF(AA64=0,"",AB64/AA64)</f>
        <v/>
      </c>
      <c r="AD64" s="22">
        <f>CRITERIOS!Q52</f>
        <v/>
      </c>
      <c r="AE64" s="22">
        <f>IF(AND(E64=1,H64&lt;&gt;"X",((I64="N/A")+(L64="N/A")+(O64="N/A")+(R64="N/A")+(U64="N/A")+(X64="N/A"))&gt;0),"REVISAR","")</f>
        <v/>
      </c>
    </row>
    <row r="65">
      <c r="A65" s="24">
        <f>CRITERIOS!B53</f>
        <v/>
      </c>
      <c r="B65" s="24">
        <f>CRITERIOS!C53</f>
        <v/>
      </c>
      <c r="C65" s="25">
        <f>CRITERIOS!D53</f>
        <v/>
      </c>
      <c r="D65" s="24">
        <f>CRITERIOS!E53</f>
        <v/>
      </c>
      <c r="E65" s="24">
        <f>IFERROR(IF(AND(OR(CRITERIOS!F53="Todos",CRITERIOS!F53=$B$4),INDEX(CRITERIOS!H53:J53,MATCH($B$5,VARIABLES!$E$2:$E$4,0))=1),1,0),0)</f>
        <v/>
      </c>
      <c r="F65" s="24">
        <f>IFERROR(IF(E65=1,INDEX(CRITERIOS!K53:M53,MATCH($B$5,VARIABLES!$E$2:$E$4,0)),0),0)</f>
        <v/>
      </c>
      <c r="G65" s="24">
        <f>IF(CRITERIOS!N53="","",CRITERIOS!N53)</f>
        <v/>
      </c>
      <c r="H65" s="24">
        <f>IF(CRITERIOS!O53="","",CRITERIOS!O53)</f>
        <v/>
      </c>
      <c r="I65" s="21" t="n"/>
      <c r="J65" s="22">
        <f>IF(OR($E65=0,I$78=0),0,IF(AND(I65="N/A",$G65&lt;&gt;""),0,$F65+SUMPRODUCT(($G$14:$G$71=$A65)*($E$14:$E$71=1)*(I$14:I$71="N/A")*$F$14:$F$71)))</f>
        <v/>
      </c>
      <c r="K65" s="22">
        <f>IF(I65="SI",J65,0)</f>
        <v/>
      </c>
      <c r="L65" s="21" t="n"/>
      <c r="M65" s="22">
        <f>IF(OR($E65=0,L$78=0),0,IF(AND(L65="N/A",$G65&lt;&gt;""),0,$F65+SUMPRODUCT(($G$14:$G$71=$A65)*($E$14:$E$71=1)*(L$14:L$71="N/A")*$F$14:$F$71)))</f>
        <v/>
      </c>
      <c r="N65" s="22">
        <f>IF(L65="SI",M65,0)</f>
        <v/>
      </c>
      <c r="O65" s="21" t="n"/>
      <c r="P65" s="22">
        <f>IF(OR($E65=0,O$78=0),0,IF(AND(O65="N/A",$G65&lt;&gt;""),0,$F65+SUMPRODUCT(($G$14:$G$71=$A65)*($E$14:$E$71=1)*(O$14:O$71="N/A")*$F$14:$F$71)))</f>
        <v/>
      </c>
      <c r="Q65" s="22">
        <f>IF(O65="SI",P65,0)</f>
        <v/>
      </c>
      <c r="R65" s="21" t="n"/>
      <c r="S65" s="22">
        <f>IF(OR($E65=0,R$78=0),0,IF(AND(R65="N/A",$G65&lt;&gt;""),0,$F65+SUMPRODUCT(($G$14:$G$71=$A65)*($E$14:$E$71=1)*(R$14:R$71="N/A")*$F$14:$F$71)))</f>
        <v/>
      </c>
      <c r="T65" s="22">
        <f>IF(R65="SI",S65,0)</f>
        <v/>
      </c>
      <c r="U65" s="21" t="n"/>
      <c r="V65" s="22">
        <f>IF(OR($E65=0,U$78=0),0,IF(AND(U65="N/A",$G65&lt;&gt;""),0,$F65+SUMPRODUCT(($G$14:$G$71=$A65)*($E$14:$E$71=1)*(U$14:U$71="N/A")*$F$14:$F$71)))</f>
        <v/>
      </c>
      <c r="W65" s="22">
        <f>IF(U65="SI",V65,0)</f>
        <v/>
      </c>
      <c r="X65" s="21" t="n"/>
      <c r="Y65" s="22">
        <f>IF(OR($E65=0,X$78=0),0,IF(AND(X65="N/A",$G65&lt;&gt;""),0,$F65+SUMPRODUCT(($G$14:$G$71=$A65)*($E$14:$E$71=1)*(X$14:X$71="N/A")*$F$14:$F$71)))</f>
        <v/>
      </c>
      <c r="Z65" s="22">
        <f>IF(X65="SI",Y65,0)</f>
        <v/>
      </c>
      <c r="AA65" s="22">
        <f>SUM(J65,M65,P65,S65,V65,Y65)</f>
        <v/>
      </c>
      <c r="AB65" s="22">
        <f>SUM(K65,N65,Q65,T65,W65,Z65)</f>
        <v/>
      </c>
      <c r="AC65" s="23">
        <f>IF(AA65=0,"",AB65/AA65)</f>
        <v/>
      </c>
      <c r="AD65" s="22">
        <f>CRITERIOS!Q53</f>
        <v/>
      </c>
      <c r="AE65" s="22">
        <f>IF(AND(E65=1,H65&lt;&gt;"X",((I65="N/A")+(L65="N/A")+(O65="N/A")+(R65="N/A")+(U65="N/A")+(X65="N/A"))&gt;0),"REVISAR","")</f>
        <v/>
      </c>
    </row>
    <row r="66">
      <c r="A66" s="24">
        <f>CRITERIOS!B54</f>
        <v/>
      </c>
      <c r="B66" s="24">
        <f>CRITERIOS!C54</f>
        <v/>
      </c>
      <c r="C66" s="25">
        <f>CRITERIOS!D54</f>
        <v/>
      </c>
      <c r="D66" s="24">
        <f>CRITERIOS!E54</f>
        <v/>
      </c>
      <c r="E66" s="24">
        <f>IFERROR(IF(AND(OR(CRITERIOS!F54="Todos",CRITERIOS!F54=$B$4),INDEX(CRITERIOS!H54:J54,MATCH($B$5,VARIABLES!$E$2:$E$4,0))=1),1,0),0)</f>
        <v/>
      </c>
      <c r="F66" s="24">
        <f>IFERROR(IF(E66=1,INDEX(CRITERIOS!K54:M54,MATCH($B$5,VARIABLES!$E$2:$E$4,0)),0),0)</f>
        <v/>
      </c>
      <c r="G66" s="24">
        <f>IF(CRITERIOS!N54="","",CRITERIOS!N54)</f>
        <v/>
      </c>
      <c r="H66" s="24">
        <f>IF(CRITERIOS!O54="","",CRITERIOS!O54)</f>
        <v/>
      </c>
      <c r="I66" s="21" t="n"/>
      <c r="J66" s="22">
        <f>IF(OR($E66=0,I$78=0),0,IF(AND(I66="N/A",$G66&lt;&gt;""),0,$F66+SUMPRODUCT(($G$14:$G$71=$A66)*($E$14:$E$71=1)*(I$14:I$71="N/A")*$F$14:$F$71)))</f>
        <v/>
      </c>
      <c r="K66" s="22">
        <f>IF(I66="SI",J66,0)</f>
        <v/>
      </c>
      <c r="L66" s="21" t="n"/>
      <c r="M66" s="22">
        <f>IF(OR($E66=0,L$78=0),0,IF(AND(L66="N/A",$G66&lt;&gt;""),0,$F66+SUMPRODUCT(($G$14:$G$71=$A66)*($E$14:$E$71=1)*(L$14:L$71="N/A")*$F$14:$F$71)))</f>
        <v/>
      </c>
      <c r="N66" s="22">
        <f>IF(L66="SI",M66,0)</f>
        <v/>
      </c>
      <c r="O66" s="21" t="n"/>
      <c r="P66" s="22">
        <f>IF(OR($E66=0,O$78=0),0,IF(AND(O66="N/A",$G66&lt;&gt;""),0,$F66+SUMPRODUCT(($G$14:$G$71=$A66)*($E$14:$E$71=1)*(O$14:O$71="N/A")*$F$14:$F$71)))</f>
        <v/>
      </c>
      <c r="Q66" s="22">
        <f>IF(O66="SI",P66,0)</f>
        <v/>
      </c>
      <c r="R66" s="21" t="n"/>
      <c r="S66" s="22">
        <f>IF(OR($E66=0,R$78=0),0,IF(AND(R66="N/A",$G66&lt;&gt;""),0,$F66+SUMPRODUCT(($G$14:$G$71=$A66)*($E$14:$E$71=1)*(R$14:R$71="N/A")*$F$14:$F$71)))</f>
        <v/>
      </c>
      <c r="T66" s="22">
        <f>IF(R66="SI",S66,0)</f>
        <v/>
      </c>
      <c r="U66" s="21" t="n"/>
      <c r="V66" s="22">
        <f>IF(OR($E66=0,U$78=0),0,IF(AND(U66="N/A",$G66&lt;&gt;""),0,$F66+SUMPRODUCT(($G$14:$G$71=$A66)*($E$14:$E$71=1)*(U$14:U$71="N/A")*$F$14:$F$71)))</f>
        <v/>
      </c>
      <c r="W66" s="22">
        <f>IF(U66="SI",V66,0)</f>
        <v/>
      </c>
      <c r="X66" s="21" t="n"/>
      <c r="Y66" s="22">
        <f>IF(OR($E66=0,X$78=0),0,IF(AND(X66="N/A",$G66&lt;&gt;""),0,$F66+SUMPRODUCT(($G$14:$G$71=$A66)*($E$14:$E$71=1)*(X$14:X$71="N/A")*$F$14:$F$71)))</f>
        <v/>
      </c>
      <c r="Z66" s="22">
        <f>IF(X66="SI",Y66,0)</f>
        <v/>
      </c>
      <c r="AA66" s="22">
        <f>SUM(J66,M66,P66,S66,V66,Y66)</f>
        <v/>
      </c>
      <c r="AB66" s="22">
        <f>SUM(K66,N66,Q66,T66,W66,Z66)</f>
        <v/>
      </c>
      <c r="AC66" s="23">
        <f>IF(AA66=0,"",AB66/AA66)</f>
        <v/>
      </c>
      <c r="AD66" s="22">
        <f>CRITERIOS!Q54</f>
        <v/>
      </c>
      <c r="AE66" s="22">
        <f>IF(AND(E66=1,H66&lt;&gt;"X",((I66="N/A")+(L66="N/A")+(O66="N/A")+(R66="N/A")+(U66="N/A")+(X66="N/A"))&gt;0),"REVISAR","")</f>
        <v/>
      </c>
    </row>
    <row r="67">
      <c r="A67" s="24">
        <f>CRITERIOS!B55</f>
        <v/>
      </c>
      <c r="B67" s="24">
        <f>CRITERIOS!C55</f>
        <v/>
      </c>
      <c r="C67" s="25">
        <f>CRITERIOS!D55</f>
        <v/>
      </c>
      <c r="D67" s="24">
        <f>CRITERIOS!E55</f>
        <v/>
      </c>
      <c r="E67" s="24">
        <f>IFERROR(IF(AND(OR(CRITERIOS!F55="Todos",CRITERIOS!F55=$B$4),INDEX(CRITERIOS!H55:J55,MATCH($B$5,VARIABLES!$E$2:$E$4,0))=1),1,0),0)</f>
        <v/>
      </c>
      <c r="F67" s="24">
        <f>IFERROR(IF(E67=1,INDEX(CRITERIOS!K55:M55,MATCH($B$5,VARIABLES!$E$2:$E$4,0)),0),0)</f>
        <v/>
      </c>
      <c r="G67" s="24">
        <f>IF(CRITERIOS!N55="","",CRITERIOS!N55)</f>
        <v/>
      </c>
      <c r="H67" s="24">
        <f>IF(CRITERIOS!O55="","",CRITERIOS!O55)</f>
        <v/>
      </c>
      <c r="I67" s="21" t="n"/>
      <c r="J67" s="22">
        <f>IF(OR($E67=0,I$78=0),0,IF(AND(I67="N/A",$G67&lt;&gt;""),0,$F67+SUMPRODUCT(($G$14:$G$71=$A67)*($E$14:$E$71=1)*(I$14:I$71="N/A")*$F$14:$F$71)))</f>
        <v/>
      </c>
      <c r="K67" s="22">
        <f>IF(I67="SI",J67,0)</f>
        <v/>
      </c>
      <c r="L67" s="21" t="n"/>
      <c r="M67" s="22">
        <f>IF(OR($E67=0,L$78=0),0,IF(AND(L67="N/A",$G67&lt;&gt;""),0,$F67+SUMPRODUCT(($G$14:$G$71=$A67)*($E$14:$E$71=1)*(L$14:L$71="N/A")*$F$14:$F$71)))</f>
        <v/>
      </c>
      <c r="N67" s="22">
        <f>IF(L67="SI",M67,0)</f>
        <v/>
      </c>
      <c r="O67" s="21" t="n"/>
      <c r="P67" s="22">
        <f>IF(OR($E67=0,O$78=0),0,IF(AND(O67="N/A",$G67&lt;&gt;""),0,$F67+SUMPRODUCT(($G$14:$G$71=$A67)*($E$14:$E$71=1)*(O$14:O$71="N/A")*$F$14:$F$71)))</f>
        <v/>
      </c>
      <c r="Q67" s="22">
        <f>IF(O67="SI",P67,0)</f>
        <v/>
      </c>
      <c r="R67" s="21" t="n"/>
      <c r="S67" s="22">
        <f>IF(OR($E67=0,R$78=0),0,IF(AND(R67="N/A",$G67&lt;&gt;""),0,$F67+SUMPRODUCT(($G$14:$G$71=$A67)*($E$14:$E$71=1)*(R$14:R$71="N/A")*$F$14:$F$71)))</f>
        <v/>
      </c>
      <c r="T67" s="22">
        <f>IF(R67="SI",S67,0)</f>
        <v/>
      </c>
      <c r="U67" s="21" t="n"/>
      <c r="V67" s="22">
        <f>IF(OR($E67=0,U$78=0),0,IF(AND(U67="N/A",$G67&lt;&gt;""),0,$F67+SUMPRODUCT(($G$14:$G$71=$A67)*($E$14:$E$71=1)*(U$14:U$71="N/A")*$F$14:$F$71)))</f>
        <v/>
      </c>
      <c r="W67" s="22">
        <f>IF(U67="SI",V67,0)</f>
        <v/>
      </c>
      <c r="X67" s="21" t="n"/>
      <c r="Y67" s="22">
        <f>IF(OR($E67=0,X$78=0),0,IF(AND(X67="N/A",$G67&lt;&gt;""),0,$F67+SUMPRODUCT(($G$14:$G$71=$A67)*($E$14:$E$71=1)*(X$14:X$71="N/A")*$F$14:$F$71)))</f>
        <v/>
      </c>
      <c r="Z67" s="22">
        <f>IF(X67="SI",Y67,0)</f>
        <v/>
      </c>
      <c r="AA67" s="22">
        <f>SUM(J67,M67,P67,S67,V67,Y67)</f>
        <v/>
      </c>
      <c r="AB67" s="22">
        <f>SUM(K67,N67,Q67,T67,W67,Z67)</f>
        <v/>
      </c>
      <c r="AC67" s="23">
        <f>IF(AA67=0,"",AB67/AA67)</f>
        <v/>
      </c>
      <c r="AD67" s="22">
        <f>CRITERIOS!Q55</f>
        <v/>
      </c>
      <c r="AE67" s="22">
        <f>IF(AND(E67=1,H67&lt;&gt;"X",((I67="N/A")+(L67="N/A")+(O67="N/A")+(R67="N/A")+(U67="N/A")+(X67="N/A"))&gt;0),"REVISAR","")</f>
        <v/>
      </c>
    </row>
    <row r="68">
      <c r="A68" s="24">
        <f>CRITERIOS!B56</f>
        <v/>
      </c>
      <c r="B68" s="24">
        <f>CRITERIOS!C56</f>
        <v/>
      </c>
      <c r="C68" s="25">
        <f>CRITERIOS!D56</f>
        <v/>
      </c>
      <c r="D68" s="24">
        <f>CRITERIOS!E56</f>
        <v/>
      </c>
      <c r="E68" s="24">
        <f>IFERROR(IF(AND(OR(CRITERIOS!F56="Todos",CRITERIOS!F56=$B$4),INDEX(CRITERIOS!H56:J56,MATCH($B$5,VARIABLES!$E$2:$E$4,0))=1),1,0),0)</f>
        <v/>
      </c>
      <c r="F68" s="24">
        <f>IFERROR(IF(E68=1,INDEX(CRITERIOS!K56:M56,MATCH($B$5,VARIABLES!$E$2:$E$4,0)),0),0)</f>
        <v/>
      </c>
      <c r="G68" s="24">
        <f>IF(CRITERIOS!N56="","",CRITERIOS!N56)</f>
        <v/>
      </c>
      <c r="H68" s="24">
        <f>IF(CRITERIOS!O56="","",CRITERIOS!O56)</f>
        <v/>
      </c>
      <c r="I68" s="21" t="n"/>
      <c r="J68" s="22">
        <f>IF(OR($E68=0,I$78=0),0,IF(AND(I68="N/A",$G68&lt;&gt;""),0,$F68+SUMPRODUCT(($G$14:$G$71=$A68)*($E$14:$E$71=1)*(I$14:I$71="N/A")*$F$14:$F$71)))</f>
        <v/>
      </c>
      <c r="K68" s="22">
        <f>IF(I68="SI",J68,0)</f>
        <v/>
      </c>
      <c r="L68" s="21" t="n"/>
      <c r="M68" s="22">
        <f>IF(OR($E68=0,L$78=0),0,IF(AND(L68="N/A",$G68&lt;&gt;""),0,$F68+SUMPRODUCT(($G$14:$G$71=$A68)*($E$14:$E$71=1)*(L$14:L$71="N/A")*$F$14:$F$71)))</f>
        <v/>
      </c>
      <c r="N68" s="22">
        <f>IF(L68="SI",M68,0)</f>
        <v/>
      </c>
      <c r="O68" s="21" t="n"/>
      <c r="P68" s="22">
        <f>IF(OR($E68=0,O$78=0),0,IF(AND(O68="N/A",$G68&lt;&gt;""),0,$F68+SUMPRODUCT(($G$14:$G$71=$A68)*($E$14:$E$71=1)*(O$14:O$71="N/A")*$F$14:$F$71)))</f>
        <v/>
      </c>
      <c r="Q68" s="22">
        <f>IF(O68="SI",P68,0)</f>
        <v/>
      </c>
      <c r="R68" s="21" t="n"/>
      <c r="S68" s="22">
        <f>IF(OR($E68=0,R$78=0),0,IF(AND(R68="N/A",$G68&lt;&gt;""),0,$F68+SUMPRODUCT(($G$14:$G$71=$A68)*($E$14:$E$71=1)*(R$14:R$71="N/A")*$F$14:$F$71)))</f>
        <v/>
      </c>
      <c r="T68" s="22">
        <f>IF(R68="SI",S68,0)</f>
        <v/>
      </c>
      <c r="U68" s="21" t="n"/>
      <c r="V68" s="22">
        <f>IF(OR($E68=0,U$78=0),0,IF(AND(U68="N/A",$G68&lt;&gt;""),0,$F68+SUMPRODUCT(($G$14:$G$71=$A68)*($E$14:$E$71=1)*(U$14:U$71="N/A")*$F$14:$F$71)))</f>
        <v/>
      </c>
      <c r="W68" s="22">
        <f>IF(U68="SI",V68,0)</f>
        <v/>
      </c>
      <c r="X68" s="21" t="n"/>
      <c r="Y68" s="22">
        <f>IF(OR($E68=0,X$78=0),0,IF(AND(X68="N/A",$G68&lt;&gt;""),0,$F68+SUMPRODUCT(($G$14:$G$71=$A68)*($E$14:$E$71=1)*(X$14:X$71="N/A")*$F$14:$F$71)))</f>
        <v/>
      </c>
      <c r="Z68" s="22">
        <f>IF(X68="SI",Y68,0)</f>
        <v/>
      </c>
      <c r="AA68" s="22">
        <f>SUM(J68,M68,P68,S68,V68,Y68)</f>
        <v/>
      </c>
      <c r="AB68" s="22">
        <f>SUM(K68,N68,Q68,T68,W68,Z68)</f>
        <v/>
      </c>
      <c r="AC68" s="23">
        <f>IF(AA68=0,"",AB68/AA68)</f>
        <v/>
      </c>
      <c r="AD68" s="22">
        <f>CRITERIOS!Q56</f>
        <v/>
      </c>
      <c r="AE68" s="22">
        <f>IF(AND(E68=1,H68&lt;&gt;"X",((I68="N/A")+(L68="N/A")+(O68="N/A")+(R68="N/A")+(U68="N/A")+(X68="N/A"))&gt;0),"REVISAR","")</f>
        <v/>
      </c>
    </row>
    <row r="69">
      <c r="A69" s="22">
        <f>CRITERIOS!B57</f>
        <v/>
      </c>
      <c r="B69" s="22">
        <f>CRITERIOS!C57</f>
        <v/>
      </c>
      <c r="C69" s="8">
        <f>CRITERIOS!D57</f>
        <v/>
      </c>
      <c r="D69" s="22">
        <f>CRITERIOS!E57</f>
        <v/>
      </c>
      <c r="E69" s="22">
        <f>IFERROR(IF(AND(OR(CRITERIOS!F57="Todos",CRITERIOS!F57=$B$4),INDEX(CRITERIOS!H57:J57,MATCH($B$5,VARIABLES!$E$2:$E$4,0))=1),1,0),0)</f>
        <v/>
      </c>
      <c r="F69" s="22">
        <f>IFERROR(IF(E69=1,INDEX(CRITERIOS!K57:M57,MATCH($B$5,VARIABLES!$E$2:$E$4,0)),0),0)</f>
        <v/>
      </c>
      <c r="G69" s="22">
        <f>IF(CRITERIOS!N57="","",CRITERIOS!N57)</f>
        <v/>
      </c>
      <c r="H69" s="22">
        <f>IF(CRITERIOS!O57="","",CRITERIOS!O57)</f>
        <v/>
      </c>
      <c r="I69" s="21" t="n"/>
      <c r="J69" s="22">
        <f>IF(OR($E69=0,I$78=0),0,IF(AND(I69="N/A",$G69&lt;&gt;""),0,$F69+SUMPRODUCT(($G$14:$G$71=$A69)*($E$14:$E$71=1)*(I$14:I$71="N/A")*$F$14:$F$71)))</f>
        <v/>
      </c>
      <c r="K69" s="22">
        <f>IF(I69="SI",J69,0)</f>
        <v/>
      </c>
      <c r="L69" s="21" t="n"/>
      <c r="M69" s="22">
        <f>IF(OR($E69=0,L$78=0),0,IF(AND(L69="N/A",$G69&lt;&gt;""),0,$F69+SUMPRODUCT(($G$14:$G$71=$A69)*($E$14:$E$71=1)*(L$14:L$71="N/A")*$F$14:$F$71)))</f>
        <v/>
      </c>
      <c r="N69" s="22">
        <f>IF(L69="SI",M69,0)</f>
        <v/>
      </c>
      <c r="O69" s="21" t="n"/>
      <c r="P69" s="22">
        <f>IF(OR($E69=0,O$78=0),0,IF(AND(O69="N/A",$G69&lt;&gt;""),0,$F69+SUMPRODUCT(($G$14:$G$71=$A69)*($E$14:$E$71=1)*(O$14:O$71="N/A")*$F$14:$F$71)))</f>
        <v/>
      </c>
      <c r="Q69" s="22">
        <f>IF(O69="SI",P69,0)</f>
        <v/>
      </c>
      <c r="R69" s="21" t="n"/>
      <c r="S69" s="22">
        <f>IF(OR($E69=0,R$78=0),0,IF(AND(R69="N/A",$G69&lt;&gt;""),0,$F69+SUMPRODUCT(($G$14:$G$71=$A69)*($E$14:$E$71=1)*(R$14:R$71="N/A")*$F$14:$F$71)))</f>
        <v/>
      </c>
      <c r="T69" s="22">
        <f>IF(R69="SI",S69,0)</f>
        <v/>
      </c>
      <c r="U69" s="21" t="n"/>
      <c r="V69" s="22">
        <f>IF(OR($E69=0,U$78=0),0,IF(AND(U69="N/A",$G69&lt;&gt;""),0,$F69+SUMPRODUCT(($G$14:$G$71=$A69)*($E$14:$E$71=1)*(U$14:U$71="N/A")*$F$14:$F$71)))</f>
        <v/>
      </c>
      <c r="W69" s="22">
        <f>IF(U69="SI",V69,0)</f>
        <v/>
      </c>
      <c r="X69" s="21" t="n"/>
      <c r="Y69" s="22">
        <f>IF(OR($E69=0,X$78=0),0,IF(AND(X69="N/A",$G69&lt;&gt;""),0,$F69+SUMPRODUCT(($G$14:$G$71=$A69)*($E$14:$E$71=1)*(X$14:X$71="N/A")*$F$14:$F$71)))</f>
        <v/>
      </c>
      <c r="Z69" s="22">
        <f>IF(X69="SI",Y69,0)</f>
        <v/>
      </c>
      <c r="AA69" s="22">
        <f>SUM(J69,M69,P69,S69,V69,Y69)</f>
        <v/>
      </c>
      <c r="AB69" s="22">
        <f>SUM(K69,N69,Q69,T69,W69,Z69)</f>
        <v/>
      </c>
      <c r="AC69" s="23">
        <f>IF(AA69=0,"",AB69/AA69)</f>
        <v/>
      </c>
      <c r="AD69" s="22">
        <f>CRITERIOS!Q57</f>
        <v/>
      </c>
      <c r="AE69" s="22">
        <f>IF(AND(E69=1,H69&lt;&gt;"X",((I69="N/A")+(L69="N/A")+(O69="N/A")+(R69="N/A")+(U69="N/A")+(X69="N/A"))&gt;0),"REVISAR","")</f>
        <v/>
      </c>
    </row>
    <row r="70">
      <c r="A70" s="22">
        <f>CRITERIOS!B58</f>
        <v/>
      </c>
      <c r="B70" s="22">
        <f>CRITERIOS!C58</f>
        <v/>
      </c>
      <c r="C70" s="8">
        <f>CRITERIOS!D58</f>
        <v/>
      </c>
      <c r="D70" s="22">
        <f>CRITERIOS!E58</f>
        <v/>
      </c>
      <c r="E70" s="22">
        <f>IFERROR(IF(AND(OR(CRITERIOS!F58="Todos",CRITERIOS!F58=$B$4),INDEX(CRITERIOS!H58:J58,MATCH($B$5,VARIABLES!$E$2:$E$4,0))=1),1,0),0)</f>
        <v/>
      </c>
      <c r="F70" s="22">
        <f>IFERROR(IF(E70=1,INDEX(CRITERIOS!K58:M58,MATCH($B$5,VARIABLES!$E$2:$E$4,0)),0),0)</f>
        <v/>
      </c>
      <c r="G70" s="22">
        <f>IF(CRITERIOS!N58="","",CRITERIOS!N58)</f>
        <v/>
      </c>
      <c r="H70" s="22">
        <f>IF(CRITERIOS!O58="","",CRITERIOS!O58)</f>
        <v/>
      </c>
      <c r="I70" s="21" t="n"/>
      <c r="J70" s="22">
        <f>IF(OR($E70=0,I$78=0),0,IF(AND(I70="N/A",$G70&lt;&gt;""),0,$F70+SUMPRODUCT(($G$14:$G$71=$A70)*($E$14:$E$71=1)*(I$14:I$71="N/A")*$F$14:$F$71)))</f>
        <v/>
      </c>
      <c r="K70" s="22">
        <f>IF(I70="SI",J70,0)</f>
        <v/>
      </c>
      <c r="L70" s="21" t="n"/>
      <c r="M70" s="22">
        <f>IF(OR($E70=0,L$78=0),0,IF(AND(L70="N/A",$G70&lt;&gt;""),0,$F70+SUMPRODUCT(($G$14:$G$71=$A70)*($E$14:$E$71=1)*(L$14:L$71="N/A")*$F$14:$F$71)))</f>
        <v/>
      </c>
      <c r="N70" s="22">
        <f>IF(L70="SI",M70,0)</f>
        <v/>
      </c>
      <c r="O70" s="21" t="n"/>
      <c r="P70" s="22">
        <f>IF(OR($E70=0,O$78=0),0,IF(AND(O70="N/A",$G70&lt;&gt;""),0,$F70+SUMPRODUCT(($G$14:$G$71=$A70)*($E$14:$E$71=1)*(O$14:O$71="N/A")*$F$14:$F$71)))</f>
        <v/>
      </c>
      <c r="Q70" s="22">
        <f>IF(O70="SI",P70,0)</f>
        <v/>
      </c>
      <c r="R70" s="21" t="n"/>
      <c r="S70" s="22">
        <f>IF(OR($E70=0,R$78=0),0,IF(AND(R70="N/A",$G70&lt;&gt;""),0,$F70+SUMPRODUCT(($G$14:$G$71=$A70)*($E$14:$E$71=1)*(R$14:R$71="N/A")*$F$14:$F$71)))</f>
        <v/>
      </c>
      <c r="T70" s="22">
        <f>IF(R70="SI",S70,0)</f>
        <v/>
      </c>
      <c r="U70" s="21" t="n"/>
      <c r="V70" s="22">
        <f>IF(OR($E70=0,U$78=0),0,IF(AND(U70="N/A",$G70&lt;&gt;""),0,$F70+SUMPRODUCT(($G$14:$G$71=$A70)*($E$14:$E$71=1)*(U$14:U$71="N/A")*$F$14:$F$71)))</f>
        <v/>
      </c>
      <c r="W70" s="22">
        <f>IF(U70="SI",V70,0)</f>
        <v/>
      </c>
      <c r="X70" s="21" t="n"/>
      <c r="Y70" s="22">
        <f>IF(OR($E70=0,X$78=0),0,IF(AND(X70="N/A",$G70&lt;&gt;""),0,$F70+SUMPRODUCT(($G$14:$G$71=$A70)*($E$14:$E$71=1)*(X$14:X$71="N/A")*$F$14:$F$71)))</f>
        <v/>
      </c>
      <c r="Z70" s="22">
        <f>IF(X70="SI",Y70,0)</f>
        <v/>
      </c>
      <c r="AA70" s="22">
        <f>SUM(J70,M70,P70,S70,V70,Y70)</f>
        <v/>
      </c>
      <c r="AB70" s="22">
        <f>SUM(K70,N70,Q70,T70,W70,Z70)</f>
        <v/>
      </c>
      <c r="AC70" s="23">
        <f>IF(AA70=0,"",AB70/AA70)</f>
        <v/>
      </c>
      <c r="AD70" s="22">
        <f>CRITERIOS!Q58</f>
        <v/>
      </c>
      <c r="AE70" s="22">
        <f>IF(AND(E70=1,H70&lt;&gt;"X",((I70="N/A")+(L70="N/A")+(O70="N/A")+(R70="N/A")+(U70="N/A")+(X70="N/A"))&gt;0),"REVISAR","")</f>
        <v/>
      </c>
    </row>
    <row r="71">
      <c r="A71" s="24">
        <f>CRITERIOS!B59</f>
        <v/>
      </c>
      <c r="B71" s="24">
        <f>CRITERIOS!C59</f>
        <v/>
      </c>
      <c r="C71" s="25">
        <f>CRITERIOS!D59</f>
        <v/>
      </c>
      <c r="D71" s="24">
        <f>CRITERIOS!E59</f>
        <v/>
      </c>
      <c r="E71" s="24">
        <f>IFERROR(IF(AND(OR(CRITERIOS!F59="Todos",CRITERIOS!F59=$B$4),INDEX(CRITERIOS!H59:J59,MATCH($B$5,VARIABLES!$E$2:$E$4,0))=1),1,0),0)</f>
        <v/>
      </c>
      <c r="F71" s="24">
        <f>IFERROR(IF(E71=1,INDEX(CRITERIOS!K59:M59,MATCH($B$5,VARIABLES!$E$2:$E$4,0)),0),0)</f>
        <v/>
      </c>
      <c r="G71" s="24">
        <f>IF(CRITERIOS!N59="","",CRITERIOS!N59)</f>
        <v/>
      </c>
      <c r="H71" s="24">
        <f>IF(CRITERIOS!O59="","",CRITERIOS!O59)</f>
        <v/>
      </c>
      <c r="I71" s="21" t="n"/>
      <c r="J71" s="22">
        <f>IF(OR($E71=0,I$78=0),0,IF(AND(I71="N/A",$G71&lt;&gt;""),0,$F71+SUMPRODUCT(($G$14:$G$71=$A71)*($E$14:$E$71=1)*(I$14:I$71="N/A")*$F$14:$F$71)))</f>
        <v/>
      </c>
      <c r="K71" s="22">
        <f>IF(I71="SI",J71,0)</f>
        <v/>
      </c>
      <c r="L71" s="21" t="n"/>
      <c r="M71" s="22">
        <f>IF(OR($E71=0,L$78=0),0,IF(AND(L71="N/A",$G71&lt;&gt;""),0,$F71+SUMPRODUCT(($G$14:$G$71=$A71)*($E$14:$E$71=1)*(L$14:L$71="N/A")*$F$14:$F$71)))</f>
        <v/>
      </c>
      <c r="N71" s="22">
        <f>IF(L71="SI",M71,0)</f>
        <v/>
      </c>
      <c r="O71" s="21" t="n"/>
      <c r="P71" s="22">
        <f>IF(OR($E71=0,O$78=0),0,IF(AND(O71="N/A",$G71&lt;&gt;""),0,$F71+SUMPRODUCT(($G$14:$G$71=$A71)*($E$14:$E$71=1)*(O$14:O$71="N/A")*$F$14:$F$71)))</f>
        <v/>
      </c>
      <c r="Q71" s="22">
        <f>IF(O71="SI",P71,0)</f>
        <v/>
      </c>
      <c r="R71" s="21" t="n"/>
      <c r="S71" s="22">
        <f>IF(OR($E71=0,R$78=0),0,IF(AND(R71="N/A",$G71&lt;&gt;""),0,$F71+SUMPRODUCT(($G$14:$G$71=$A71)*($E$14:$E$71=1)*(R$14:R$71="N/A")*$F$14:$F$71)))</f>
        <v/>
      </c>
      <c r="T71" s="22">
        <f>IF(R71="SI",S71,0)</f>
        <v/>
      </c>
      <c r="U71" s="21" t="n"/>
      <c r="V71" s="22">
        <f>IF(OR($E71=0,U$78=0),0,IF(AND(U71="N/A",$G71&lt;&gt;""),0,$F71+SUMPRODUCT(($G$14:$G$71=$A71)*($E$14:$E$71=1)*(U$14:U$71="N/A")*$F$14:$F$71)))</f>
        <v/>
      </c>
      <c r="W71" s="22">
        <f>IF(U71="SI",V71,0)</f>
        <v/>
      </c>
      <c r="X71" s="21" t="n"/>
      <c r="Y71" s="22">
        <f>IF(OR($E71=0,X$78=0),0,IF(AND(X71="N/A",$G71&lt;&gt;""),0,$F71+SUMPRODUCT(($G$14:$G$71=$A71)*($E$14:$E$71=1)*(X$14:X$71="N/A")*$F$14:$F$71)))</f>
        <v/>
      </c>
      <c r="Z71" s="22">
        <f>IF(X71="SI",Y71,0)</f>
        <v/>
      </c>
      <c r="AA71" s="22">
        <f>SUM(J71,M71,P71,S71,V71,Y71)</f>
        <v/>
      </c>
      <c r="AB71" s="22">
        <f>SUM(K71,N71,Q71,T71,W71,Z71)</f>
        <v/>
      </c>
      <c r="AC71" s="23">
        <f>IF(AA71=0,"",AB71/AA71)</f>
        <v/>
      </c>
      <c r="AD71" s="22">
        <f>CRITERIOS!Q59</f>
        <v/>
      </c>
      <c r="AE71" s="22">
        <f>IF(AND(E71=1,H71&lt;&gt;"X",((I71="N/A")+(L71="N/A")+(O71="N/A")+(R71="N/A")+(U71="N/A")+(X71="N/A"))&gt;0),"REVISAR","")</f>
        <v/>
      </c>
    </row>
    <row r="73">
      <c r="C73" s="4" t="inlineStr">
        <is>
          <t>Puntaje de la conversación (/100)</t>
        </is>
      </c>
      <c r="K73" s="26">
        <f>IF(I78=1,SUM(K14:K71),"")</f>
        <v/>
      </c>
      <c r="N73" s="26">
        <f>IF(L78=1,SUM(N14:N71),"")</f>
        <v/>
      </c>
      <c r="Q73" s="26">
        <f>IF(O78=1,SUM(Q14:Q71),"")</f>
        <v/>
      </c>
      <c r="T73" s="26">
        <f>IF(R78=1,SUM(T14:T71),"")</f>
        <v/>
      </c>
      <c r="W73" s="26">
        <f>IF(U78=1,SUM(W14:W71),"")</f>
        <v/>
      </c>
      <c r="Z73" s="26">
        <f>IF(X78=1,SUM(Z14:Z71),"")</f>
        <v/>
      </c>
    </row>
    <row r="74">
      <c r="C74" s="4" t="inlineStr">
        <is>
          <t>Fase I: HD con NO (1 = reprueba)</t>
        </is>
      </c>
      <c r="I74">
        <f>IF(I78=1,IF(COUNTIFS($D$14:$D$71,"Control HD",I14:I71,"NO")&gt;0,1,0),0)</f>
        <v/>
      </c>
      <c r="L74">
        <f>IF(L78=1,IF(COUNTIFS($D$14:$D$71,"Control HD",L14:L71,"NO")&gt;0,1,0),0)</f>
        <v/>
      </c>
      <c r="O74">
        <f>IF(O78=1,IF(COUNTIFS($D$14:$D$71,"Control HD",O14:O71,"NO")&gt;0,1,0),0)</f>
        <v/>
      </c>
      <c r="R74">
        <f>IF(R78=1,IF(COUNTIFS($D$14:$D$71,"Control HD",R14:R71,"NO")&gt;0,1,0),0)</f>
        <v/>
      </c>
      <c r="U74">
        <f>IF(U78=1,IF(COUNTIFS($D$14:$D$71,"Control HD",U14:U71,"NO")&gt;0,1,0),0)</f>
        <v/>
      </c>
      <c r="X74">
        <f>IF(X78=1,IF(COUNTIFS($D$14:$D$71,"Control HD",X14:X71,"NO")&gt;0,1,0),0)</f>
        <v/>
      </c>
    </row>
    <row r="75">
      <c r="C75" s="4" t="inlineStr">
        <is>
          <t>ECU con error (1 = sí)</t>
        </is>
      </c>
      <c r="I75">
        <f>IF(I78=1,IF(COUNTIFS($D$14:$D$71,"ECU",I14:I71,"NO")&gt;0,1,0),0)</f>
        <v/>
      </c>
      <c r="L75">
        <f>IF(L78=1,IF(COUNTIFS($D$14:$D$71,"ECU",L14:L71,"NO")&gt;0,1,0),0)</f>
        <v/>
      </c>
      <c r="O75">
        <f>IF(O78=1,IF(COUNTIFS($D$14:$D$71,"ECU",O14:O71,"NO")&gt;0,1,0),0)</f>
        <v/>
      </c>
      <c r="R75">
        <f>IF(R78=1,IF(COUNTIFS($D$14:$D$71,"ECU",R14:R71,"NO")&gt;0,1,0),0)</f>
        <v/>
      </c>
      <c r="U75">
        <f>IF(U78=1,IF(COUNTIFS($D$14:$D$71,"ECU",U14:U71,"NO")&gt;0,1,0),0)</f>
        <v/>
      </c>
      <c r="X75">
        <f>IF(X78=1,IF(COUNTIFS($D$14:$D$71,"ECU",X14:X71,"NO")&gt;0,1,0),0)</f>
        <v/>
      </c>
    </row>
    <row r="76">
      <c r="C76" s="4" t="inlineStr">
        <is>
          <t>ECN con error (1 = sí)</t>
        </is>
      </c>
      <c r="I76">
        <f>IF(I78=1,IF(COUNTIFS($D$14:$D$71,"ECN",I14:I71,"NO")&gt;0,1,0),0)</f>
        <v/>
      </c>
      <c r="L76">
        <f>IF(L78=1,IF(COUNTIFS($D$14:$D$71,"ECN",L14:L71,"NO")&gt;0,1,0),0)</f>
        <v/>
      </c>
      <c r="O76">
        <f>IF(O78=1,IF(COUNTIFS($D$14:$D$71,"ECN",O14:O71,"NO")&gt;0,1,0),0)</f>
        <v/>
      </c>
      <c r="R76">
        <f>IF(R78=1,IF(COUNTIFS($D$14:$D$71,"ECN",R14:R71,"NO")&gt;0,1,0),0)</f>
        <v/>
      </c>
      <c r="U76">
        <f>IF(U78=1,IF(COUNTIFS($D$14:$D$71,"ECN",U14:U71,"NO")&gt;0,1,0),0)</f>
        <v/>
      </c>
      <c r="X76">
        <f>IF(X78=1,IF(COUNTIFS($D$14:$D$71,"ECN",X14:X71,"NO")&gt;0,1,0),0)</f>
        <v/>
      </c>
    </row>
    <row r="77">
      <c r="C77" s="4" t="inlineStr">
        <is>
          <t>ECC con error (1 = sí)</t>
        </is>
      </c>
      <c r="I77">
        <f>IF(I78=1,IF(COUNTIFS($D$14:$D$71,"ECC",I14:I71,"NO")&gt;0,1,0),0)</f>
        <v/>
      </c>
      <c r="L77">
        <f>IF(L78=1,IF(COUNTIFS($D$14:$D$71,"ECC",L14:L71,"NO")&gt;0,1,0),0)</f>
        <v/>
      </c>
      <c r="O77">
        <f>IF(O78=1,IF(COUNTIFS($D$14:$D$71,"ECC",O14:O71,"NO")&gt;0,1,0),0)</f>
        <v/>
      </c>
      <c r="R77">
        <f>IF(R78=1,IF(COUNTIFS($D$14:$D$71,"ECC",R14:R71,"NO")&gt;0,1,0),0)</f>
        <v/>
      </c>
      <c r="U77">
        <f>IF(U78=1,IF(COUNTIFS($D$14:$D$71,"ECC",U14:U71,"NO")&gt;0,1,0),0)</f>
        <v/>
      </c>
      <c r="X77">
        <f>IF(X78=1,IF(COUNTIFS($D$14:$D$71,"ECC",X14:X71,"NO")&gt;0,1,0),0)</f>
        <v/>
      </c>
    </row>
    <row r="78">
      <c r="C78" s="4" t="inlineStr">
        <is>
          <t>Conversación evaluada (1 = sí)</t>
        </is>
      </c>
      <c r="I78">
        <f>IF(COUNTA(I14:I71)&gt;0,1,0)</f>
        <v/>
      </c>
      <c r="L78">
        <f>IF(COUNTA(L14:L71)&gt;0,1,0)</f>
        <v/>
      </c>
      <c r="O78">
        <f>IF(COUNTA(O14:O71)&gt;0,1,0)</f>
        <v/>
      </c>
      <c r="R78">
        <f>IF(COUNTA(R14:R71)&gt;0,1,0)</f>
        <v/>
      </c>
      <c r="U78">
        <f>IF(COUNTA(U14:U71)&gt;0,1,0)</f>
        <v/>
      </c>
      <c r="X78">
        <f>IF(COUNTA(X14:X71)&gt;0,1,0)</f>
        <v/>
      </c>
    </row>
    <row r="79">
      <c r="C79" s="4" t="inlineStr">
        <is>
          <t>Casillas aplicables sin diligenciar</t>
        </is>
      </c>
      <c r="I79">
        <f>IF(I78=1,SUMPRODUCT(($E$14:$E$71=1)*(I14:I71="")),0)</f>
        <v/>
      </c>
      <c r="L79">
        <f>IF(L78=1,SUMPRODUCT(($E$14:$E$71=1)*(L14:L71="")),0)</f>
        <v/>
      </c>
      <c r="O79">
        <f>IF(O78=1,SUMPRODUCT(($E$14:$E$71=1)*(O14:O71="")),0)</f>
        <v/>
      </c>
      <c r="R79">
        <f>IF(R78=1,SUMPRODUCT(($E$14:$E$71=1)*(R14:R71="")),0)</f>
        <v/>
      </c>
      <c r="U79">
        <f>IF(U78=1,SUMPRODUCT(($E$14:$E$71=1)*(U14:U71="")),0)</f>
        <v/>
      </c>
      <c r="X79">
        <f>IF(X78=1,SUMPRODUCT(($E$14:$E$71=1)*(X14:X71="")),0)</f>
        <v/>
      </c>
    </row>
  </sheetData>
  <mergeCells count="18">
    <mergeCell ref="X10:Z10"/>
    <mergeCell ref="I11:K11"/>
    <mergeCell ref="X11:Z11"/>
    <mergeCell ref="I10:K10"/>
    <mergeCell ref="L11:N11"/>
    <mergeCell ref="L10:N10"/>
    <mergeCell ref="R11:T11"/>
    <mergeCell ref="R10:T10"/>
    <mergeCell ref="X9:Z9"/>
    <mergeCell ref="U10:W10"/>
    <mergeCell ref="I9:K9"/>
    <mergeCell ref="O9:Q9"/>
    <mergeCell ref="L9:N9"/>
    <mergeCell ref="R9:T9"/>
    <mergeCell ref="U9:W9"/>
    <mergeCell ref="U11:W11"/>
    <mergeCell ref="O10:Q10"/>
    <mergeCell ref="O11:Q11"/>
  </mergeCells>
  <dataValidations count="5">
    <dataValidation sqref="I14:I71 L14:L71 O14:O71 R14:R71 U14:U71 X14:X71" showDropDown="0" showInputMessage="0" showErrorMessage="0" allowBlank="1" type="list">
      <formula1>"SI,NO,N/A"</formula1>
    </dataValidation>
    <dataValidation sqref="B4" showDropDown="0" showInputMessage="0" showErrorMessage="0" allowBlank="1" type="list">
      <formula1>VARIABLES!$D$2:$D$5</formula1>
    </dataValidation>
    <dataValidation sqref="B5" showDropDown="0" showInputMessage="0" showErrorMessage="0" allowBlank="1" type="list">
      <formula1>VARIABLES!$E$2:$E$4</formula1>
    </dataValidation>
    <dataValidation sqref="I11 L11 O11 R11 U11 X11" showDropDown="0" showInputMessage="0" showErrorMessage="0" allowBlank="1" type="list">
      <formula1>VARIABLES!$B$2:$B$3</formula1>
    </dataValidation>
    <dataValidation sqref="B6" showDropDown="0" showInputMessage="0" showErrorMessage="0" allowBlank="1" type="list">
      <formula1>VARIABLES!$C$2:$C$13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79"/>
  <sheetViews>
    <sheetView workbookViewId="0">
      <pane xSplit="3" ySplit="13" topLeftCell="D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60" customWidth="1" min="3" max="3"/>
    <col width="11" customWidth="1" min="4" max="4"/>
    <col outlineLevel="1" width="7" customWidth="1" min="5" max="5"/>
    <col outlineLevel="1" width="7" customWidth="1" min="6" max="6"/>
    <col outlineLevel="1" width="9" customWidth="1" min="7" max="7"/>
    <col outlineLevel="1" width="8" customWidth="1" min="8" max="8"/>
    <col width="11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11" customWidth="1" min="15" max="15"/>
    <col width="8" customWidth="1" min="16" max="16"/>
    <col width="8" customWidth="1" min="17" max="17"/>
    <col width="11" customWidth="1" min="18" max="18"/>
    <col width="8" customWidth="1" min="19" max="19"/>
    <col width="8" customWidth="1" min="20" max="20"/>
    <col width="11" customWidth="1" min="21" max="21"/>
    <col width="8" customWidth="1" min="22" max="22"/>
    <col width="8" customWidth="1" min="23" max="23"/>
    <col width="11" customWidth="1" min="24" max="24"/>
    <col width="8" customWidth="1" min="25" max="25"/>
    <col width="8" customWidth="1" min="26" max="26"/>
    <col outlineLevel="1" width="10" customWidth="1" min="27" max="27"/>
    <col outlineLevel="1" width="10" customWidth="1" min="28" max="28"/>
    <col width="10" customWidth="1" min="29" max="29"/>
    <col outlineLevel="1" width="10" customWidth="1" min="30" max="30"/>
    <col width="10" customWidth="1" min="31" max="31"/>
  </cols>
  <sheetData>
    <row r="1">
      <c r="A1" s="3" t="inlineStr">
        <is>
          <t>FORMATO DE MONITOREO COMERCIAL · PREVENTA Y VENTA</t>
        </is>
      </c>
    </row>
    <row r="3">
      <c r="A3" s="4" t="inlineStr">
        <is>
          <t>Asesor</t>
        </is>
      </c>
      <c r="B3" s="5" t="n"/>
      <c r="I3" s="4" t="inlineStr">
        <is>
          <t>Fase I (Habeas Data)</t>
        </is>
      </c>
      <c r="P3" s="16">
        <f>IF($B$7=0,"",IF(SUM(I74,L74,O74,R74,U74,X74)&gt;0,"Reprobada","Aprobada"))</f>
        <v/>
      </c>
      <c r="S3" s="4" t="inlineStr">
        <is>
          <t>ECU · % sin error</t>
        </is>
      </c>
      <c r="Z3" s="17">
        <f>IF($B$7=0,"",1-SUM(I75,L75,O75,R75,U75,X75)/$B$7)</f>
        <v/>
      </c>
    </row>
    <row r="4">
      <c r="A4" s="4" t="inlineStr">
        <is>
          <t>Canal</t>
        </is>
      </c>
      <c r="B4" s="5" t="n"/>
      <c r="I4" s="4" t="inlineStr">
        <is>
          <t>Nota /100</t>
        </is>
      </c>
      <c r="P4" s="18">
        <f>IF($B$7=0,"",IF(P3="Reprobada",0,AVERAGE(K73,N73,Q73,T73,W73,Z73)*1))</f>
        <v/>
      </c>
      <c r="S4" s="4" t="inlineStr">
        <is>
          <t>ECN · % sin error</t>
        </is>
      </c>
      <c r="Z4" s="17">
        <f>IF($B$7=0,"",1-SUM(I76,L76,O76,R76,U76,X76)/$B$7)</f>
        <v/>
      </c>
    </row>
    <row r="5">
      <c r="A5" s="4" t="inlineStr">
        <is>
          <t>Gestión</t>
        </is>
      </c>
      <c r="B5" s="5" t="n"/>
      <c r="I5" s="4" t="inlineStr">
        <is>
          <t>Nota /300</t>
        </is>
      </c>
      <c r="P5" s="18">
        <f>IF(P4="","",P4*3)</f>
        <v/>
      </c>
      <c r="S5" s="4" t="inlineStr">
        <is>
          <t>ECC · % sin error</t>
        </is>
      </c>
      <c r="Z5" s="17">
        <f>IF($B$7=0,"",1-SUM(I77,L77,O77,R77,U77,X77)/$B$7)</f>
        <v/>
      </c>
    </row>
    <row r="6">
      <c r="A6" s="4" t="inlineStr">
        <is>
          <t>Mes</t>
        </is>
      </c>
      <c r="B6" s="5" t="n"/>
      <c r="I6" s="4" t="inlineStr">
        <is>
          <t>Nivel</t>
        </is>
      </c>
      <c r="P6" s="16">
        <f>IF(P4="","",IF(P3="Reprobada","Crítico",LOOKUP(P4/100,'TABLA GENERAL'!$I$7:$I$10,'TABLA GENERAL'!$F$7:$F$10)))</f>
        <v/>
      </c>
      <c r="S6" s="4" t="inlineStr">
        <is>
          <t>Alerta Dirección</t>
        </is>
      </c>
      <c r="Z6" s="16">
        <f>IF($B$7=0,"",IF(SUMPRODUCT($AD$14:$AD$71*((I14:I71="NO")+(L14:L71="NO")+(O14:O71="NO")+(R14:R71="NO")+(U14:U71="NO")+(X14:X71="NO")))&gt;0,"SÍ - reportar","No"))</f>
        <v/>
      </c>
    </row>
    <row r="7">
      <c r="A7" s="4" t="inlineStr">
        <is>
          <t>Conversaciones evaluadas</t>
        </is>
      </c>
      <c r="B7">
        <f>SUM(I78,L78,O78,R78,U78,X78)</f>
        <v/>
      </c>
      <c r="I7" s="4" t="inlineStr">
        <is>
          <t>Estado</t>
        </is>
      </c>
      <c r="P7" s="16">
        <f>IF(P4="","",IF(P3="Reprobada","Reprobado",IF(P4/100&gt;='TABLA GENERAL'!$C$21,"Aprobado","Plan de acción")))</f>
        <v/>
      </c>
      <c r="S7" s="4" t="inlineStr">
        <is>
          <t>Casillas por revisar</t>
        </is>
      </c>
      <c r="Z7" s="16">
        <f>SUM(I79,L79,O79,R79,U79,X79)+COUNTIF(AE14:AE71,"REVISAR")</f>
        <v/>
      </c>
    </row>
    <row r="9">
      <c r="I9" s="6" t="inlineStr">
        <is>
          <t>Conversación 1</t>
        </is>
      </c>
      <c r="L9" s="6" t="inlineStr">
        <is>
          <t>Conversación 2</t>
        </is>
      </c>
      <c r="O9" s="6" t="inlineStr">
        <is>
          <t>Conversación 3</t>
        </is>
      </c>
      <c r="R9" s="6" t="inlineStr">
        <is>
          <t>Conversación 4</t>
        </is>
      </c>
      <c r="U9" s="6" t="inlineStr">
        <is>
          <t>Conversación 5</t>
        </is>
      </c>
      <c r="X9" s="6" t="inlineStr">
        <is>
          <t>Conversación 6</t>
        </is>
      </c>
    </row>
    <row r="10">
      <c r="C10" s="4" t="inlineStr">
        <is>
          <t>Fecha / ID de la conversación</t>
        </is>
      </c>
      <c r="I10" s="5" t="n"/>
      <c r="L10" s="5" t="n"/>
      <c r="O10" s="5" t="n"/>
      <c r="R10" s="5" t="n"/>
      <c r="U10" s="5" t="n"/>
      <c r="X10" s="5" t="n"/>
    </row>
    <row r="11">
      <c r="C11" s="4" t="inlineStr">
        <is>
          <t>Modalidad</t>
        </is>
      </c>
      <c r="I11" s="5" t="n"/>
      <c r="L11" s="5" t="n"/>
      <c r="O11" s="5" t="n"/>
      <c r="R11" s="5" t="n"/>
      <c r="U11" s="5" t="n"/>
      <c r="X11" s="5" t="n"/>
    </row>
    <row r="13" ht="32" customHeight="1">
      <c r="A13" s="6" t="inlineStr">
        <is>
          <t>Código</t>
        </is>
      </c>
      <c r="B13" s="6" t="inlineStr">
        <is>
          <t>Dimensión</t>
        </is>
      </c>
      <c r="C13" s="6" t="inlineStr">
        <is>
          <t>Descripción</t>
        </is>
      </c>
      <c r="D13" s="6" t="inlineStr">
        <is>
          <t>Tipo</t>
        </is>
      </c>
      <c r="E13" s="6" t="inlineStr">
        <is>
          <t>Aplica</t>
        </is>
      </c>
      <c r="F13" s="6" t="inlineStr">
        <is>
          <t>Peso base</t>
        </is>
      </c>
      <c r="G13" s="6" t="inlineStr">
        <is>
          <t>Receptor N/A</t>
        </is>
      </c>
      <c r="H13" s="6" t="inlineStr">
        <is>
          <t>Admite N/A</t>
        </is>
      </c>
      <c r="I13" s="6" t="inlineStr">
        <is>
          <t>Resultado</t>
        </is>
      </c>
      <c r="J13" s="6" t="inlineStr">
        <is>
          <t>Peso estab.</t>
        </is>
      </c>
      <c r="K13" s="6" t="inlineStr">
        <is>
          <t>Peso logrado</t>
        </is>
      </c>
      <c r="L13" s="6" t="inlineStr">
        <is>
          <t>Resultado</t>
        </is>
      </c>
      <c r="M13" s="6" t="inlineStr">
        <is>
          <t>Peso estab.</t>
        </is>
      </c>
      <c r="N13" s="6" t="inlineStr">
        <is>
          <t>Peso logrado</t>
        </is>
      </c>
      <c r="O13" s="6" t="inlineStr">
        <is>
          <t>Resultado</t>
        </is>
      </c>
      <c r="P13" s="6" t="inlineStr">
        <is>
          <t>Peso estab.</t>
        </is>
      </c>
      <c r="Q13" s="6" t="inlineStr">
        <is>
          <t>Peso logrado</t>
        </is>
      </c>
      <c r="R13" s="6" t="inlineStr">
        <is>
          <t>Resultado</t>
        </is>
      </c>
      <c r="S13" s="6" t="inlineStr">
        <is>
          <t>Peso estab.</t>
        </is>
      </c>
      <c r="T13" s="6" t="inlineStr">
        <is>
          <t>Peso logrado</t>
        </is>
      </c>
      <c r="U13" s="6" t="inlineStr">
        <is>
          <t>Resultado</t>
        </is>
      </c>
      <c r="V13" s="6" t="inlineStr">
        <is>
          <t>Peso estab.</t>
        </is>
      </c>
      <c r="W13" s="6" t="inlineStr">
        <is>
          <t>Peso logrado</t>
        </is>
      </c>
      <c r="X13" s="6" t="inlineStr">
        <is>
          <t>Resultado</t>
        </is>
      </c>
      <c r="Y13" s="6" t="inlineStr">
        <is>
          <t>Peso estab.</t>
        </is>
      </c>
      <c r="Z13" s="6" t="inlineStr">
        <is>
          <t>Peso logrado</t>
        </is>
      </c>
      <c r="AA13" s="6" t="inlineStr">
        <is>
          <t>Σ peso estab.</t>
        </is>
      </c>
      <c r="AB13" s="6" t="inlineStr">
        <is>
          <t>Σ peso logrado</t>
        </is>
      </c>
      <c r="AC13" s="6" t="inlineStr">
        <is>
          <t>% cumplimiento</t>
        </is>
      </c>
      <c r="AD13" s="6" t="inlineStr">
        <is>
          <t>Alerta</t>
        </is>
      </c>
      <c r="AE13" s="6" t="inlineStr">
        <is>
          <t>Validación</t>
        </is>
      </c>
    </row>
    <row r="14">
      <c r="A14" s="19">
        <f>CRITERIOS!B2</f>
        <v/>
      </c>
      <c r="B14" s="19">
        <f>CRITERIOS!C2</f>
        <v/>
      </c>
      <c r="C14" s="20">
        <f>CRITERIOS!D2</f>
        <v/>
      </c>
      <c r="D14" s="19">
        <f>CRITERIOS!E2</f>
        <v/>
      </c>
      <c r="E14" s="19">
        <f>IFERROR(IF(AND(OR(CRITERIOS!F2="Todos",CRITERIOS!F2=$B$4),INDEX(CRITERIOS!H2:J2,MATCH($B$5,VARIABLES!$E$2:$E$4,0))=1),1,0),0)</f>
        <v/>
      </c>
      <c r="F14" s="19">
        <f>IFERROR(IF(E14=1,INDEX(CRITERIOS!K2:M2,MATCH($B$5,VARIABLES!$E$2:$E$4,0)),0),0)</f>
        <v/>
      </c>
      <c r="G14" s="19">
        <f>IF(CRITERIOS!N2="","",CRITERIOS!N2)</f>
        <v/>
      </c>
      <c r="H14" s="19">
        <f>IF(CRITERIOS!O2="","",CRITERIOS!O2)</f>
        <v/>
      </c>
      <c r="I14" s="21" t="n"/>
      <c r="J14" s="22">
        <f>IF(OR($E14=0,I$78=0),0,IF(AND(I14="N/A",$G14&lt;&gt;""),0,$F14+SUMPRODUCT(($G$14:$G$71=$A14)*($E$14:$E$71=1)*(I$14:I$71="N/A")*$F$14:$F$71)))</f>
        <v/>
      </c>
      <c r="K14" s="22">
        <f>IF(I14="SI",J14,0)</f>
        <v/>
      </c>
      <c r="L14" s="21" t="n"/>
      <c r="M14" s="22">
        <f>IF(OR($E14=0,L$78=0),0,IF(AND(L14="N/A",$G14&lt;&gt;""),0,$F14+SUMPRODUCT(($G$14:$G$71=$A14)*($E$14:$E$71=1)*(L$14:L$71="N/A")*$F$14:$F$71)))</f>
        <v/>
      </c>
      <c r="N14" s="22">
        <f>IF(L14="SI",M14,0)</f>
        <v/>
      </c>
      <c r="O14" s="21" t="n"/>
      <c r="P14" s="22">
        <f>IF(OR($E14=0,O$78=0),0,IF(AND(O14="N/A",$G14&lt;&gt;""),0,$F14+SUMPRODUCT(($G$14:$G$71=$A14)*($E$14:$E$71=1)*(O$14:O$71="N/A")*$F$14:$F$71)))</f>
        <v/>
      </c>
      <c r="Q14" s="22">
        <f>IF(O14="SI",P14,0)</f>
        <v/>
      </c>
      <c r="R14" s="21" t="n"/>
      <c r="S14" s="22">
        <f>IF(OR($E14=0,R$78=0),0,IF(AND(R14="N/A",$G14&lt;&gt;""),0,$F14+SUMPRODUCT(($G$14:$G$71=$A14)*($E$14:$E$71=1)*(R$14:R$71="N/A")*$F$14:$F$71)))</f>
        <v/>
      </c>
      <c r="T14" s="22">
        <f>IF(R14="SI",S14,0)</f>
        <v/>
      </c>
      <c r="U14" s="21" t="n"/>
      <c r="V14" s="22">
        <f>IF(OR($E14=0,U$78=0),0,IF(AND(U14="N/A",$G14&lt;&gt;""),0,$F14+SUMPRODUCT(($G$14:$G$71=$A14)*($E$14:$E$71=1)*(U$14:U$71="N/A")*$F$14:$F$71)))</f>
        <v/>
      </c>
      <c r="W14" s="22">
        <f>IF(U14="SI",V14,0)</f>
        <v/>
      </c>
      <c r="X14" s="21" t="n"/>
      <c r="Y14" s="22">
        <f>IF(OR($E14=0,X$78=0),0,IF(AND(X14="N/A",$G14&lt;&gt;""),0,$F14+SUMPRODUCT(($G$14:$G$71=$A14)*($E$14:$E$71=1)*(X$14:X$71="N/A")*$F$14:$F$71)))</f>
        <v/>
      </c>
      <c r="Z14" s="22">
        <f>IF(X14="SI",Y14,0)</f>
        <v/>
      </c>
      <c r="AA14" s="22">
        <f>SUM(J14,M14,P14,S14,V14,Y14)</f>
        <v/>
      </c>
      <c r="AB14" s="22">
        <f>SUM(K14,N14,Q14,T14,W14,Z14)</f>
        <v/>
      </c>
      <c r="AC14" s="23">
        <f>IF(AA14=0,"",AB14/AA14)</f>
        <v/>
      </c>
      <c r="AD14" s="22">
        <f>CRITERIOS!Q2</f>
        <v/>
      </c>
      <c r="AE14" s="22">
        <f>IF(AND(E14=1,H14&lt;&gt;"X",((I14="N/A")+(L14="N/A")+(O14="N/A")+(R14="N/A")+(U14="N/A")+(X14="N/A"))&gt;0),"REVISAR","")</f>
        <v/>
      </c>
    </row>
    <row r="15">
      <c r="A15" s="19">
        <f>CRITERIOS!B3</f>
        <v/>
      </c>
      <c r="B15" s="19">
        <f>CRITERIOS!C3</f>
        <v/>
      </c>
      <c r="C15" s="20">
        <f>CRITERIOS!D3</f>
        <v/>
      </c>
      <c r="D15" s="19">
        <f>CRITERIOS!E3</f>
        <v/>
      </c>
      <c r="E15" s="19">
        <f>IFERROR(IF(AND(OR(CRITERIOS!F3="Todos",CRITERIOS!F3=$B$4),INDEX(CRITERIOS!H3:J3,MATCH($B$5,VARIABLES!$E$2:$E$4,0))=1),1,0),0)</f>
        <v/>
      </c>
      <c r="F15" s="19">
        <f>IFERROR(IF(E15=1,INDEX(CRITERIOS!K3:M3,MATCH($B$5,VARIABLES!$E$2:$E$4,0)),0),0)</f>
        <v/>
      </c>
      <c r="G15" s="19">
        <f>IF(CRITERIOS!N3="","",CRITERIOS!N3)</f>
        <v/>
      </c>
      <c r="H15" s="19">
        <f>IF(CRITERIOS!O3="","",CRITERIOS!O3)</f>
        <v/>
      </c>
      <c r="I15" s="21" t="n"/>
      <c r="J15" s="22">
        <f>IF(OR($E15=0,I$78=0),0,IF(AND(I15="N/A",$G15&lt;&gt;""),0,$F15+SUMPRODUCT(($G$14:$G$71=$A15)*($E$14:$E$71=1)*(I$14:I$71="N/A")*$F$14:$F$71)))</f>
        <v/>
      </c>
      <c r="K15" s="22">
        <f>IF(I15="SI",J15,0)</f>
        <v/>
      </c>
      <c r="L15" s="21" t="n"/>
      <c r="M15" s="22">
        <f>IF(OR($E15=0,L$78=0),0,IF(AND(L15="N/A",$G15&lt;&gt;""),0,$F15+SUMPRODUCT(($G$14:$G$71=$A15)*($E$14:$E$71=1)*(L$14:L$71="N/A")*$F$14:$F$71)))</f>
        <v/>
      </c>
      <c r="N15" s="22">
        <f>IF(L15="SI",M15,0)</f>
        <v/>
      </c>
      <c r="O15" s="21" t="n"/>
      <c r="P15" s="22">
        <f>IF(OR($E15=0,O$78=0),0,IF(AND(O15="N/A",$G15&lt;&gt;""),0,$F15+SUMPRODUCT(($G$14:$G$71=$A15)*($E$14:$E$71=1)*(O$14:O$71="N/A")*$F$14:$F$71)))</f>
        <v/>
      </c>
      <c r="Q15" s="22">
        <f>IF(O15="SI",P15,0)</f>
        <v/>
      </c>
      <c r="R15" s="21" t="n"/>
      <c r="S15" s="22">
        <f>IF(OR($E15=0,R$78=0),0,IF(AND(R15="N/A",$G15&lt;&gt;""),0,$F15+SUMPRODUCT(($G$14:$G$71=$A15)*($E$14:$E$71=1)*(R$14:R$71="N/A")*$F$14:$F$71)))</f>
        <v/>
      </c>
      <c r="T15" s="22">
        <f>IF(R15="SI",S15,0)</f>
        <v/>
      </c>
      <c r="U15" s="21" t="n"/>
      <c r="V15" s="22">
        <f>IF(OR($E15=0,U$78=0),0,IF(AND(U15="N/A",$G15&lt;&gt;""),0,$F15+SUMPRODUCT(($G$14:$G$71=$A15)*($E$14:$E$71=1)*(U$14:U$71="N/A")*$F$14:$F$71)))</f>
        <v/>
      </c>
      <c r="W15" s="22">
        <f>IF(U15="SI",V15,0)</f>
        <v/>
      </c>
      <c r="X15" s="21" t="n"/>
      <c r="Y15" s="22">
        <f>IF(OR($E15=0,X$78=0),0,IF(AND(X15="N/A",$G15&lt;&gt;""),0,$F15+SUMPRODUCT(($G$14:$G$71=$A15)*($E$14:$E$71=1)*(X$14:X$71="N/A")*$F$14:$F$71)))</f>
        <v/>
      </c>
      <c r="Z15" s="22">
        <f>IF(X15="SI",Y15,0)</f>
        <v/>
      </c>
      <c r="AA15" s="22">
        <f>SUM(J15,M15,P15,S15,V15,Y15)</f>
        <v/>
      </c>
      <c r="AB15" s="22">
        <f>SUM(K15,N15,Q15,T15,W15,Z15)</f>
        <v/>
      </c>
      <c r="AC15" s="23">
        <f>IF(AA15=0,"",AB15/AA15)</f>
        <v/>
      </c>
      <c r="AD15" s="22">
        <f>CRITERIOS!Q3</f>
        <v/>
      </c>
      <c r="AE15" s="22">
        <f>IF(AND(E15=1,H15&lt;&gt;"X",((I15="N/A")+(L15="N/A")+(O15="N/A")+(R15="N/A")+(U15="N/A")+(X15="N/A"))&gt;0),"REVISAR","")</f>
        <v/>
      </c>
    </row>
    <row r="16">
      <c r="A16" s="19">
        <f>CRITERIOS!B4</f>
        <v/>
      </c>
      <c r="B16" s="19">
        <f>CRITERIOS!C4</f>
        <v/>
      </c>
      <c r="C16" s="20">
        <f>CRITERIOS!D4</f>
        <v/>
      </c>
      <c r="D16" s="19">
        <f>CRITERIOS!E4</f>
        <v/>
      </c>
      <c r="E16" s="19">
        <f>IFERROR(IF(AND(OR(CRITERIOS!F4="Todos",CRITERIOS!F4=$B$4),INDEX(CRITERIOS!H4:J4,MATCH($B$5,VARIABLES!$E$2:$E$4,0))=1),1,0),0)</f>
        <v/>
      </c>
      <c r="F16" s="19">
        <f>IFERROR(IF(E16=1,INDEX(CRITERIOS!K4:M4,MATCH($B$5,VARIABLES!$E$2:$E$4,0)),0),0)</f>
        <v/>
      </c>
      <c r="G16" s="19">
        <f>IF(CRITERIOS!N4="","",CRITERIOS!N4)</f>
        <v/>
      </c>
      <c r="H16" s="19">
        <f>IF(CRITERIOS!O4="","",CRITERIOS!O4)</f>
        <v/>
      </c>
      <c r="I16" s="21" t="n"/>
      <c r="J16" s="22">
        <f>IF(OR($E16=0,I$78=0),0,IF(AND(I16="N/A",$G16&lt;&gt;""),0,$F16+SUMPRODUCT(($G$14:$G$71=$A16)*($E$14:$E$71=1)*(I$14:I$71="N/A")*$F$14:$F$71)))</f>
        <v/>
      </c>
      <c r="K16" s="22">
        <f>IF(I16="SI",J16,0)</f>
        <v/>
      </c>
      <c r="L16" s="21" t="n"/>
      <c r="M16" s="22">
        <f>IF(OR($E16=0,L$78=0),0,IF(AND(L16="N/A",$G16&lt;&gt;""),0,$F16+SUMPRODUCT(($G$14:$G$71=$A16)*($E$14:$E$71=1)*(L$14:L$71="N/A")*$F$14:$F$71)))</f>
        <v/>
      </c>
      <c r="N16" s="22">
        <f>IF(L16="SI",M16,0)</f>
        <v/>
      </c>
      <c r="O16" s="21" t="n"/>
      <c r="P16" s="22">
        <f>IF(OR($E16=0,O$78=0),0,IF(AND(O16="N/A",$G16&lt;&gt;""),0,$F16+SUMPRODUCT(($G$14:$G$71=$A16)*($E$14:$E$71=1)*(O$14:O$71="N/A")*$F$14:$F$71)))</f>
        <v/>
      </c>
      <c r="Q16" s="22">
        <f>IF(O16="SI",P16,0)</f>
        <v/>
      </c>
      <c r="R16" s="21" t="n"/>
      <c r="S16" s="22">
        <f>IF(OR($E16=0,R$78=0),0,IF(AND(R16="N/A",$G16&lt;&gt;""),0,$F16+SUMPRODUCT(($G$14:$G$71=$A16)*($E$14:$E$71=1)*(R$14:R$71="N/A")*$F$14:$F$71)))</f>
        <v/>
      </c>
      <c r="T16" s="22">
        <f>IF(R16="SI",S16,0)</f>
        <v/>
      </c>
      <c r="U16" s="21" t="n"/>
      <c r="V16" s="22">
        <f>IF(OR($E16=0,U$78=0),0,IF(AND(U16="N/A",$G16&lt;&gt;""),0,$F16+SUMPRODUCT(($G$14:$G$71=$A16)*($E$14:$E$71=1)*(U$14:U$71="N/A")*$F$14:$F$71)))</f>
        <v/>
      </c>
      <c r="W16" s="22">
        <f>IF(U16="SI",V16,0)</f>
        <v/>
      </c>
      <c r="X16" s="21" t="n"/>
      <c r="Y16" s="22">
        <f>IF(OR($E16=0,X$78=0),0,IF(AND(X16="N/A",$G16&lt;&gt;""),0,$F16+SUMPRODUCT(($G$14:$G$71=$A16)*($E$14:$E$71=1)*(X$14:X$71="N/A")*$F$14:$F$71)))</f>
        <v/>
      </c>
      <c r="Z16" s="22">
        <f>IF(X16="SI",Y16,0)</f>
        <v/>
      </c>
      <c r="AA16" s="22">
        <f>SUM(J16,M16,P16,S16,V16,Y16)</f>
        <v/>
      </c>
      <c r="AB16" s="22">
        <f>SUM(K16,N16,Q16,T16,W16,Z16)</f>
        <v/>
      </c>
      <c r="AC16" s="23">
        <f>IF(AA16=0,"",AB16/AA16)</f>
        <v/>
      </c>
      <c r="AD16" s="22">
        <f>CRITERIOS!Q4</f>
        <v/>
      </c>
      <c r="AE16" s="22">
        <f>IF(AND(E16=1,H16&lt;&gt;"X",((I16="N/A")+(L16="N/A")+(O16="N/A")+(R16="N/A")+(U16="N/A")+(X16="N/A"))&gt;0),"REVISAR","")</f>
        <v/>
      </c>
    </row>
    <row r="17">
      <c r="A17" s="19">
        <f>CRITERIOS!B5</f>
        <v/>
      </c>
      <c r="B17" s="19">
        <f>CRITERIOS!C5</f>
        <v/>
      </c>
      <c r="C17" s="20">
        <f>CRITERIOS!D5</f>
        <v/>
      </c>
      <c r="D17" s="19">
        <f>CRITERIOS!E5</f>
        <v/>
      </c>
      <c r="E17" s="19">
        <f>IFERROR(IF(AND(OR(CRITERIOS!F5="Todos",CRITERIOS!F5=$B$4),INDEX(CRITERIOS!H5:J5,MATCH($B$5,VARIABLES!$E$2:$E$4,0))=1),1,0),0)</f>
        <v/>
      </c>
      <c r="F17" s="19">
        <f>IFERROR(IF(E17=1,INDEX(CRITERIOS!K5:M5,MATCH($B$5,VARIABLES!$E$2:$E$4,0)),0),0)</f>
        <v/>
      </c>
      <c r="G17" s="19">
        <f>IF(CRITERIOS!N5="","",CRITERIOS!N5)</f>
        <v/>
      </c>
      <c r="H17" s="19">
        <f>IF(CRITERIOS!O5="","",CRITERIOS!O5)</f>
        <v/>
      </c>
      <c r="I17" s="21" t="n"/>
      <c r="J17" s="22">
        <f>IF(OR($E17=0,I$78=0),0,IF(AND(I17="N/A",$G17&lt;&gt;""),0,$F17+SUMPRODUCT(($G$14:$G$71=$A17)*($E$14:$E$71=1)*(I$14:I$71="N/A")*$F$14:$F$71)))</f>
        <v/>
      </c>
      <c r="K17" s="22">
        <f>IF(I17="SI",J17,0)</f>
        <v/>
      </c>
      <c r="L17" s="21" t="n"/>
      <c r="M17" s="22">
        <f>IF(OR($E17=0,L$78=0),0,IF(AND(L17="N/A",$G17&lt;&gt;""),0,$F17+SUMPRODUCT(($G$14:$G$71=$A17)*($E$14:$E$71=1)*(L$14:L$71="N/A")*$F$14:$F$71)))</f>
        <v/>
      </c>
      <c r="N17" s="22">
        <f>IF(L17="SI",M17,0)</f>
        <v/>
      </c>
      <c r="O17" s="21" t="n"/>
      <c r="P17" s="22">
        <f>IF(OR($E17=0,O$78=0),0,IF(AND(O17="N/A",$G17&lt;&gt;""),0,$F17+SUMPRODUCT(($G$14:$G$71=$A17)*($E$14:$E$71=1)*(O$14:O$71="N/A")*$F$14:$F$71)))</f>
        <v/>
      </c>
      <c r="Q17" s="22">
        <f>IF(O17="SI",P17,0)</f>
        <v/>
      </c>
      <c r="R17" s="21" t="n"/>
      <c r="S17" s="22">
        <f>IF(OR($E17=0,R$78=0),0,IF(AND(R17="N/A",$G17&lt;&gt;""),0,$F17+SUMPRODUCT(($G$14:$G$71=$A17)*($E$14:$E$71=1)*(R$14:R$71="N/A")*$F$14:$F$71)))</f>
        <v/>
      </c>
      <c r="T17" s="22">
        <f>IF(R17="SI",S17,0)</f>
        <v/>
      </c>
      <c r="U17" s="21" t="n"/>
      <c r="V17" s="22">
        <f>IF(OR($E17=0,U$78=0),0,IF(AND(U17="N/A",$G17&lt;&gt;""),0,$F17+SUMPRODUCT(($G$14:$G$71=$A17)*($E$14:$E$71=1)*(U$14:U$71="N/A")*$F$14:$F$71)))</f>
        <v/>
      </c>
      <c r="W17" s="22">
        <f>IF(U17="SI",V17,0)</f>
        <v/>
      </c>
      <c r="X17" s="21" t="n"/>
      <c r="Y17" s="22">
        <f>IF(OR($E17=0,X$78=0),0,IF(AND(X17="N/A",$G17&lt;&gt;""),0,$F17+SUMPRODUCT(($G$14:$G$71=$A17)*($E$14:$E$71=1)*(X$14:X$71="N/A")*$F$14:$F$71)))</f>
        <v/>
      </c>
      <c r="Z17" s="22">
        <f>IF(X17="SI",Y17,0)</f>
        <v/>
      </c>
      <c r="AA17" s="22">
        <f>SUM(J17,M17,P17,S17,V17,Y17)</f>
        <v/>
      </c>
      <c r="AB17" s="22">
        <f>SUM(K17,N17,Q17,T17,W17,Z17)</f>
        <v/>
      </c>
      <c r="AC17" s="23">
        <f>IF(AA17=0,"",AB17/AA17)</f>
        <v/>
      </c>
      <c r="AD17" s="22">
        <f>CRITERIOS!Q5</f>
        <v/>
      </c>
      <c r="AE17" s="22">
        <f>IF(AND(E17=1,H17&lt;&gt;"X",((I17="N/A")+(L17="N/A")+(O17="N/A")+(R17="N/A")+(U17="N/A")+(X17="N/A"))&gt;0),"REVISAR","")</f>
        <v/>
      </c>
    </row>
    <row r="18">
      <c r="A18" s="19">
        <f>CRITERIOS!B6</f>
        <v/>
      </c>
      <c r="B18" s="19">
        <f>CRITERIOS!C6</f>
        <v/>
      </c>
      <c r="C18" s="20">
        <f>CRITERIOS!D6</f>
        <v/>
      </c>
      <c r="D18" s="19">
        <f>CRITERIOS!E6</f>
        <v/>
      </c>
      <c r="E18" s="19">
        <f>IFERROR(IF(AND(OR(CRITERIOS!F6="Todos",CRITERIOS!F6=$B$4),INDEX(CRITERIOS!H6:J6,MATCH($B$5,VARIABLES!$E$2:$E$4,0))=1),1,0),0)</f>
        <v/>
      </c>
      <c r="F18" s="19">
        <f>IFERROR(IF(E18=1,INDEX(CRITERIOS!K6:M6,MATCH($B$5,VARIABLES!$E$2:$E$4,0)),0),0)</f>
        <v/>
      </c>
      <c r="G18" s="19">
        <f>IF(CRITERIOS!N6="","",CRITERIOS!N6)</f>
        <v/>
      </c>
      <c r="H18" s="19">
        <f>IF(CRITERIOS!O6="","",CRITERIOS!O6)</f>
        <v/>
      </c>
      <c r="I18" s="21" t="n"/>
      <c r="J18" s="22">
        <f>IF(OR($E18=0,I$78=0),0,IF(AND(I18="N/A",$G18&lt;&gt;""),0,$F18+SUMPRODUCT(($G$14:$G$71=$A18)*($E$14:$E$71=1)*(I$14:I$71="N/A")*$F$14:$F$71)))</f>
        <v/>
      </c>
      <c r="K18" s="22">
        <f>IF(I18="SI",J18,0)</f>
        <v/>
      </c>
      <c r="L18" s="21" t="n"/>
      <c r="M18" s="22">
        <f>IF(OR($E18=0,L$78=0),0,IF(AND(L18="N/A",$G18&lt;&gt;""),0,$F18+SUMPRODUCT(($G$14:$G$71=$A18)*($E$14:$E$71=1)*(L$14:L$71="N/A")*$F$14:$F$71)))</f>
        <v/>
      </c>
      <c r="N18" s="22">
        <f>IF(L18="SI",M18,0)</f>
        <v/>
      </c>
      <c r="O18" s="21" t="n"/>
      <c r="P18" s="22">
        <f>IF(OR($E18=0,O$78=0),0,IF(AND(O18="N/A",$G18&lt;&gt;""),0,$F18+SUMPRODUCT(($G$14:$G$71=$A18)*($E$14:$E$71=1)*(O$14:O$71="N/A")*$F$14:$F$71)))</f>
        <v/>
      </c>
      <c r="Q18" s="22">
        <f>IF(O18="SI",P18,0)</f>
        <v/>
      </c>
      <c r="R18" s="21" t="n"/>
      <c r="S18" s="22">
        <f>IF(OR($E18=0,R$78=0),0,IF(AND(R18="N/A",$G18&lt;&gt;""),0,$F18+SUMPRODUCT(($G$14:$G$71=$A18)*($E$14:$E$71=1)*(R$14:R$71="N/A")*$F$14:$F$71)))</f>
        <v/>
      </c>
      <c r="T18" s="22">
        <f>IF(R18="SI",S18,0)</f>
        <v/>
      </c>
      <c r="U18" s="21" t="n"/>
      <c r="V18" s="22">
        <f>IF(OR($E18=0,U$78=0),0,IF(AND(U18="N/A",$G18&lt;&gt;""),0,$F18+SUMPRODUCT(($G$14:$G$71=$A18)*($E$14:$E$71=1)*(U$14:U$71="N/A")*$F$14:$F$71)))</f>
        <v/>
      </c>
      <c r="W18" s="22">
        <f>IF(U18="SI",V18,0)</f>
        <v/>
      </c>
      <c r="X18" s="21" t="n"/>
      <c r="Y18" s="22">
        <f>IF(OR($E18=0,X$78=0),0,IF(AND(X18="N/A",$G18&lt;&gt;""),0,$F18+SUMPRODUCT(($G$14:$G$71=$A18)*($E$14:$E$71=1)*(X$14:X$71="N/A")*$F$14:$F$71)))</f>
        <v/>
      </c>
      <c r="Z18" s="22">
        <f>IF(X18="SI",Y18,0)</f>
        <v/>
      </c>
      <c r="AA18" s="22">
        <f>SUM(J18,M18,P18,S18,V18,Y18)</f>
        <v/>
      </c>
      <c r="AB18" s="22">
        <f>SUM(K18,N18,Q18,T18,W18,Z18)</f>
        <v/>
      </c>
      <c r="AC18" s="23">
        <f>IF(AA18=0,"",AB18/AA18)</f>
        <v/>
      </c>
      <c r="AD18" s="22">
        <f>CRITERIOS!Q6</f>
        <v/>
      </c>
      <c r="AE18" s="22">
        <f>IF(AND(E18=1,H18&lt;&gt;"X",((I18="N/A")+(L18="N/A")+(O18="N/A")+(R18="N/A")+(U18="N/A")+(X18="N/A"))&gt;0),"REVISAR","")</f>
        <v/>
      </c>
    </row>
    <row r="19">
      <c r="A19" s="19">
        <f>CRITERIOS!B7</f>
        <v/>
      </c>
      <c r="B19" s="19">
        <f>CRITERIOS!C7</f>
        <v/>
      </c>
      <c r="C19" s="20">
        <f>CRITERIOS!D7</f>
        <v/>
      </c>
      <c r="D19" s="19">
        <f>CRITERIOS!E7</f>
        <v/>
      </c>
      <c r="E19" s="19">
        <f>IFERROR(IF(AND(OR(CRITERIOS!F7="Todos",CRITERIOS!F7=$B$4),INDEX(CRITERIOS!H7:J7,MATCH($B$5,VARIABLES!$E$2:$E$4,0))=1),1,0),0)</f>
        <v/>
      </c>
      <c r="F19" s="19">
        <f>IFERROR(IF(E19=1,INDEX(CRITERIOS!K7:M7,MATCH($B$5,VARIABLES!$E$2:$E$4,0)),0),0)</f>
        <v/>
      </c>
      <c r="G19" s="19">
        <f>IF(CRITERIOS!N7="","",CRITERIOS!N7)</f>
        <v/>
      </c>
      <c r="H19" s="19">
        <f>IF(CRITERIOS!O7="","",CRITERIOS!O7)</f>
        <v/>
      </c>
      <c r="I19" s="21" t="n"/>
      <c r="J19" s="22">
        <f>IF(OR($E19=0,I$78=0),0,IF(AND(I19="N/A",$G19&lt;&gt;""),0,$F19+SUMPRODUCT(($G$14:$G$71=$A19)*($E$14:$E$71=1)*(I$14:I$71="N/A")*$F$14:$F$71)))</f>
        <v/>
      </c>
      <c r="K19" s="22">
        <f>IF(I19="SI",J19,0)</f>
        <v/>
      </c>
      <c r="L19" s="21" t="n"/>
      <c r="M19" s="22">
        <f>IF(OR($E19=0,L$78=0),0,IF(AND(L19="N/A",$G19&lt;&gt;""),0,$F19+SUMPRODUCT(($G$14:$G$71=$A19)*($E$14:$E$71=1)*(L$14:L$71="N/A")*$F$14:$F$71)))</f>
        <v/>
      </c>
      <c r="N19" s="22">
        <f>IF(L19="SI",M19,0)</f>
        <v/>
      </c>
      <c r="O19" s="21" t="n"/>
      <c r="P19" s="22">
        <f>IF(OR($E19=0,O$78=0),0,IF(AND(O19="N/A",$G19&lt;&gt;""),0,$F19+SUMPRODUCT(($G$14:$G$71=$A19)*($E$14:$E$71=1)*(O$14:O$71="N/A")*$F$14:$F$71)))</f>
        <v/>
      </c>
      <c r="Q19" s="22">
        <f>IF(O19="SI",P19,0)</f>
        <v/>
      </c>
      <c r="R19" s="21" t="n"/>
      <c r="S19" s="22">
        <f>IF(OR($E19=0,R$78=0),0,IF(AND(R19="N/A",$G19&lt;&gt;""),0,$F19+SUMPRODUCT(($G$14:$G$71=$A19)*($E$14:$E$71=1)*(R$14:R$71="N/A")*$F$14:$F$71)))</f>
        <v/>
      </c>
      <c r="T19" s="22">
        <f>IF(R19="SI",S19,0)</f>
        <v/>
      </c>
      <c r="U19" s="21" t="n"/>
      <c r="V19" s="22">
        <f>IF(OR($E19=0,U$78=0),0,IF(AND(U19="N/A",$G19&lt;&gt;""),0,$F19+SUMPRODUCT(($G$14:$G$71=$A19)*($E$14:$E$71=1)*(U$14:U$71="N/A")*$F$14:$F$71)))</f>
        <v/>
      </c>
      <c r="W19" s="22">
        <f>IF(U19="SI",V19,0)</f>
        <v/>
      </c>
      <c r="X19" s="21" t="n"/>
      <c r="Y19" s="22">
        <f>IF(OR($E19=0,X$78=0),0,IF(AND(X19="N/A",$G19&lt;&gt;""),0,$F19+SUMPRODUCT(($G$14:$G$71=$A19)*($E$14:$E$71=1)*(X$14:X$71="N/A")*$F$14:$F$71)))</f>
        <v/>
      </c>
      <c r="Z19" s="22">
        <f>IF(X19="SI",Y19,0)</f>
        <v/>
      </c>
      <c r="AA19" s="22">
        <f>SUM(J19,M19,P19,S19,V19,Y19)</f>
        <v/>
      </c>
      <c r="AB19" s="22">
        <f>SUM(K19,N19,Q19,T19,W19,Z19)</f>
        <v/>
      </c>
      <c r="AC19" s="23">
        <f>IF(AA19=0,"",AB19/AA19)</f>
        <v/>
      </c>
      <c r="AD19" s="22">
        <f>CRITERIOS!Q7</f>
        <v/>
      </c>
      <c r="AE19" s="22">
        <f>IF(AND(E19=1,H19&lt;&gt;"X",((I19="N/A")+(L19="N/A")+(O19="N/A")+(R19="N/A")+(U19="N/A")+(X19="N/A"))&gt;0),"REVISAR","")</f>
        <v/>
      </c>
    </row>
    <row r="20">
      <c r="A20" s="19">
        <f>CRITERIOS!B8</f>
        <v/>
      </c>
      <c r="B20" s="19">
        <f>CRITERIOS!C8</f>
        <v/>
      </c>
      <c r="C20" s="20">
        <f>CRITERIOS!D8</f>
        <v/>
      </c>
      <c r="D20" s="19">
        <f>CRITERIOS!E8</f>
        <v/>
      </c>
      <c r="E20" s="19">
        <f>IFERROR(IF(AND(OR(CRITERIOS!F8="Todos",CRITERIOS!F8=$B$4),INDEX(CRITERIOS!H8:J8,MATCH($B$5,VARIABLES!$E$2:$E$4,0))=1),1,0),0)</f>
        <v/>
      </c>
      <c r="F20" s="19">
        <f>IFERROR(IF(E20=1,INDEX(CRITERIOS!K8:M8,MATCH($B$5,VARIABLES!$E$2:$E$4,0)),0),0)</f>
        <v/>
      </c>
      <c r="G20" s="19">
        <f>IF(CRITERIOS!N8="","",CRITERIOS!N8)</f>
        <v/>
      </c>
      <c r="H20" s="19">
        <f>IF(CRITERIOS!O8="","",CRITERIOS!O8)</f>
        <v/>
      </c>
      <c r="I20" s="21" t="n"/>
      <c r="J20" s="22">
        <f>IF(OR($E20=0,I$78=0),0,IF(AND(I20="N/A",$G20&lt;&gt;""),0,$F20+SUMPRODUCT(($G$14:$G$71=$A20)*($E$14:$E$71=1)*(I$14:I$71="N/A")*$F$14:$F$71)))</f>
        <v/>
      </c>
      <c r="K20" s="22">
        <f>IF(I20="SI",J20,0)</f>
        <v/>
      </c>
      <c r="L20" s="21" t="n"/>
      <c r="M20" s="22">
        <f>IF(OR($E20=0,L$78=0),0,IF(AND(L20="N/A",$G20&lt;&gt;""),0,$F20+SUMPRODUCT(($G$14:$G$71=$A20)*($E$14:$E$71=1)*(L$14:L$71="N/A")*$F$14:$F$71)))</f>
        <v/>
      </c>
      <c r="N20" s="22">
        <f>IF(L20="SI",M20,0)</f>
        <v/>
      </c>
      <c r="O20" s="21" t="n"/>
      <c r="P20" s="22">
        <f>IF(OR($E20=0,O$78=0),0,IF(AND(O20="N/A",$G20&lt;&gt;""),0,$F20+SUMPRODUCT(($G$14:$G$71=$A20)*($E$14:$E$71=1)*(O$14:O$71="N/A")*$F$14:$F$71)))</f>
        <v/>
      </c>
      <c r="Q20" s="22">
        <f>IF(O20="SI",P20,0)</f>
        <v/>
      </c>
      <c r="R20" s="21" t="n"/>
      <c r="S20" s="22">
        <f>IF(OR($E20=0,R$78=0),0,IF(AND(R20="N/A",$G20&lt;&gt;""),0,$F20+SUMPRODUCT(($G$14:$G$71=$A20)*($E$14:$E$71=1)*(R$14:R$71="N/A")*$F$14:$F$71)))</f>
        <v/>
      </c>
      <c r="T20" s="22">
        <f>IF(R20="SI",S20,0)</f>
        <v/>
      </c>
      <c r="U20" s="21" t="n"/>
      <c r="V20" s="22">
        <f>IF(OR($E20=0,U$78=0),0,IF(AND(U20="N/A",$G20&lt;&gt;""),0,$F20+SUMPRODUCT(($G$14:$G$71=$A20)*($E$14:$E$71=1)*(U$14:U$71="N/A")*$F$14:$F$71)))</f>
        <v/>
      </c>
      <c r="W20" s="22">
        <f>IF(U20="SI",V20,0)</f>
        <v/>
      </c>
      <c r="X20" s="21" t="n"/>
      <c r="Y20" s="22">
        <f>IF(OR($E20=0,X$78=0),0,IF(AND(X20="N/A",$G20&lt;&gt;""),0,$F20+SUMPRODUCT(($G$14:$G$71=$A20)*($E$14:$E$71=1)*(X$14:X$71="N/A")*$F$14:$F$71)))</f>
        <v/>
      </c>
      <c r="Z20" s="22">
        <f>IF(X20="SI",Y20,0)</f>
        <v/>
      </c>
      <c r="AA20" s="22">
        <f>SUM(J20,M20,P20,S20,V20,Y20)</f>
        <v/>
      </c>
      <c r="AB20" s="22">
        <f>SUM(K20,N20,Q20,T20,W20,Z20)</f>
        <v/>
      </c>
      <c r="AC20" s="23">
        <f>IF(AA20=0,"",AB20/AA20)</f>
        <v/>
      </c>
      <c r="AD20" s="22">
        <f>CRITERIOS!Q8</f>
        <v/>
      </c>
      <c r="AE20" s="22">
        <f>IF(AND(E20=1,H20&lt;&gt;"X",((I20="N/A")+(L20="N/A")+(O20="N/A")+(R20="N/A")+(U20="N/A")+(X20="N/A"))&gt;0),"REVISAR","")</f>
        <v/>
      </c>
    </row>
    <row r="21">
      <c r="A21" s="19">
        <f>CRITERIOS!B9</f>
        <v/>
      </c>
      <c r="B21" s="19">
        <f>CRITERIOS!C9</f>
        <v/>
      </c>
      <c r="C21" s="20">
        <f>CRITERIOS!D9</f>
        <v/>
      </c>
      <c r="D21" s="19">
        <f>CRITERIOS!E9</f>
        <v/>
      </c>
      <c r="E21" s="19">
        <f>IFERROR(IF(AND(OR(CRITERIOS!F9="Todos",CRITERIOS!F9=$B$4),INDEX(CRITERIOS!H9:J9,MATCH($B$5,VARIABLES!$E$2:$E$4,0))=1),1,0),0)</f>
        <v/>
      </c>
      <c r="F21" s="19">
        <f>IFERROR(IF(E21=1,INDEX(CRITERIOS!K9:M9,MATCH($B$5,VARIABLES!$E$2:$E$4,0)),0),0)</f>
        <v/>
      </c>
      <c r="G21" s="19">
        <f>IF(CRITERIOS!N9="","",CRITERIOS!N9)</f>
        <v/>
      </c>
      <c r="H21" s="19">
        <f>IF(CRITERIOS!O9="","",CRITERIOS!O9)</f>
        <v/>
      </c>
      <c r="I21" s="21" t="n"/>
      <c r="J21" s="22">
        <f>IF(OR($E21=0,I$78=0),0,IF(AND(I21="N/A",$G21&lt;&gt;""),0,$F21+SUMPRODUCT(($G$14:$G$71=$A21)*($E$14:$E$71=1)*(I$14:I$71="N/A")*$F$14:$F$71)))</f>
        <v/>
      </c>
      <c r="K21" s="22">
        <f>IF(I21="SI",J21,0)</f>
        <v/>
      </c>
      <c r="L21" s="21" t="n"/>
      <c r="M21" s="22">
        <f>IF(OR($E21=0,L$78=0),0,IF(AND(L21="N/A",$G21&lt;&gt;""),0,$F21+SUMPRODUCT(($G$14:$G$71=$A21)*($E$14:$E$71=1)*(L$14:L$71="N/A")*$F$14:$F$71)))</f>
        <v/>
      </c>
      <c r="N21" s="22">
        <f>IF(L21="SI",M21,0)</f>
        <v/>
      </c>
      <c r="O21" s="21" t="n"/>
      <c r="P21" s="22">
        <f>IF(OR($E21=0,O$78=0),0,IF(AND(O21="N/A",$G21&lt;&gt;""),0,$F21+SUMPRODUCT(($G$14:$G$71=$A21)*($E$14:$E$71=1)*(O$14:O$71="N/A")*$F$14:$F$71)))</f>
        <v/>
      </c>
      <c r="Q21" s="22">
        <f>IF(O21="SI",P21,0)</f>
        <v/>
      </c>
      <c r="R21" s="21" t="n"/>
      <c r="S21" s="22">
        <f>IF(OR($E21=0,R$78=0),0,IF(AND(R21="N/A",$G21&lt;&gt;""),0,$F21+SUMPRODUCT(($G$14:$G$71=$A21)*($E$14:$E$71=1)*(R$14:R$71="N/A")*$F$14:$F$71)))</f>
        <v/>
      </c>
      <c r="T21" s="22">
        <f>IF(R21="SI",S21,0)</f>
        <v/>
      </c>
      <c r="U21" s="21" t="n"/>
      <c r="V21" s="22">
        <f>IF(OR($E21=0,U$78=0),0,IF(AND(U21="N/A",$G21&lt;&gt;""),0,$F21+SUMPRODUCT(($G$14:$G$71=$A21)*($E$14:$E$71=1)*(U$14:U$71="N/A")*$F$14:$F$71)))</f>
        <v/>
      </c>
      <c r="W21" s="22">
        <f>IF(U21="SI",V21,0)</f>
        <v/>
      </c>
      <c r="X21" s="21" t="n"/>
      <c r="Y21" s="22">
        <f>IF(OR($E21=0,X$78=0),0,IF(AND(X21="N/A",$G21&lt;&gt;""),0,$F21+SUMPRODUCT(($G$14:$G$71=$A21)*($E$14:$E$71=1)*(X$14:X$71="N/A")*$F$14:$F$71)))</f>
        <v/>
      </c>
      <c r="Z21" s="22">
        <f>IF(X21="SI",Y21,0)</f>
        <v/>
      </c>
      <c r="AA21" s="22">
        <f>SUM(J21,M21,P21,S21,V21,Y21)</f>
        <v/>
      </c>
      <c r="AB21" s="22">
        <f>SUM(K21,N21,Q21,T21,W21,Z21)</f>
        <v/>
      </c>
      <c r="AC21" s="23">
        <f>IF(AA21=0,"",AB21/AA21)</f>
        <v/>
      </c>
      <c r="AD21" s="22">
        <f>CRITERIOS!Q9</f>
        <v/>
      </c>
      <c r="AE21" s="22">
        <f>IF(AND(E21=1,H21&lt;&gt;"X",((I21="N/A")+(L21="N/A")+(O21="N/A")+(R21="N/A")+(U21="N/A")+(X21="N/A"))&gt;0),"REVISAR","")</f>
        <v/>
      </c>
    </row>
    <row r="22">
      <c r="A22" s="19">
        <f>CRITERIOS!B10</f>
        <v/>
      </c>
      <c r="B22" s="19">
        <f>CRITERIOS!C10</f>
        <v/>
      </c>
      <c r="C22" s="20">
        <f>CRITERIOS!D10</f>
        <v/>
      </c>
      <c r="D22" s="19">
        <f>CRITERIOS!E10</f>
        <v/>
      </c>
      <c r="E22" s="19">
        <f>IFERROR(IF(AND(OR(CRITERIOS!F10="Todos",CRITERIOS!F10=$B$4),INDEX(CRITERIOS!H10:J10,MATCH($B$5,VARIABLES!$E$2:$E$4,0))=1),1,0),0)</f>
        <v/>
      </c>
      <c r="F22" s="19">
        <f>IFERROR(IF(E22=1,INDEX(CRITERIOS!K10:M10,MATCH($B$5,VARIABLES!$E$2:$E$4,0)),0),0)</f>
        <v/>
      </c>
      <c r="G22" s="19">
        <f>IF(CRITERIOS!N10="","",CRITERIOS!N10)</f>
        <v/>
      </c>
      <c r="H22" s="19">
        <f>IF(CRITERIOS!O10="","",CRITERIOS!O10)</f>
        <v/>
      </c>
      <c r="I22" s="21" t="n"/>
      <c r="J22" s="22">
        <f>IF(OR($E22=0,I$78=0),0,IF(AND(I22="N/A",$G22&lt;&gt;""),0,$F22+SUMPRODUCT(($G$14:$G$71=$A22)*($E$14:$E$71=1)*(I$14:I$71="N/A")*$F$14:$F$71)))</f>
        <v/>
      </c>
      <c r="K22" s="22">
        <f>IF(I22="SI",J22,0)</f>
        <v/>
      </c>
      <c r="L22" s="21" t="n"/>
      <c r="M22" s="22">
        <f>IF(OR($E22=0,L$78=0),0,IF(AND(L22="N/A",$G22&lt;&gt;""),0,$F22+SUMPRODUCT(($G$14:$G$71=$A22)*($E$14:$E$71=1)*(L$14:L$71="N/A")*$F$14:$F$71)))</f>
        <v/>
      </c>
      <c r="N22" s="22">
        <f>IF(L22="SI",M22,0)</f>
        <v/>
      </c>
      <c r="O22" s="21" t="n"/>
      <c r="P22" s="22">
        <f>IF(OR($E22=0,O$78=0),0,IF(AND(O22="N/A",$G22&lt;&gt;""),0,$F22+SUMPRODUCT(($G$14:$G$71=$A22)*($E$14:$E$71=1)*(O$14:O$71="N/A")*$F$14:$F$71)))</f>
        <v/>
      </c>
      <c r="Q22" s="22">
        <f>IF(O22="SI",P22,0)</f>
        <v/>
      </c>
      <c r="R22" s="21" t="n"/>
      <c r="S22" s="22">
        <f>IF(OR($E22=0,R$78=0),0,IF(AND(R22="N/A",$G22&lt;&gt;""),0,$F22+SUMPRODUCT(($G$14:$G$71=$A22)*($E$14:$E$71=1)*(R$14:R$71="N/A")*$F$14:$F$71)))</f>
        <v/>
      </c>
      <c r="T22" s="22">
        <f>IF(R22="SI",S22,0)</f>
        <v/>
      </c>
      <c r="U22" s="21" t="n"/>
      <c r="V22" s="22">
        <f>IF(OR($E22=0,U$78=0),0,IF(AND(U22="N/A",$G22&lt;&gt;""),0,$F22+SUMPRODUCT(($G$14:$G$71=$A22)*($E$14:$E$71=1)*(U$14:U$71="N/A")*$F$14:$F$71)))</f>
        <v/>
      </c>
      <c r="W22" s="22">
        <f>IF(U22="SI",V22,0)</f>
        <v/>
      </c>
      <c r="X22" s="21" t="n"/>
      <c r="Y22" s="22">
        <f>IF(OR($E22=0,X$78=0),0,IF(AND(X22="N/A",$G22&lt;&gt;""),0,$F22+SUMPRODUCT(($G$14:$G$71=$A22)*($E$14:$E$71=1)*(X$14:X$71="N/A")*$F$14:$F$71)))</f>
        <v/>
      </c>
      <c r="Z22" s="22">
        <f>IF(X22="SI",Y22,0)</f>
        <v/>
      </c>
      <c r="AA22" s="22">
        <f>SUM(J22,M22,P22,S22,V22,Y22)</f>
        <v/>
      </c>
      <c r="AB22" s="22">
        <f>SUM(K22,N22,Q22,T22,W22,Z22)</f>
        <v/>
      </c>
      <c r="AC22" s="23">
        <f>IF(AA22=0,"",AB22/AA22)</f>
        <v/>
      </c>
      <c r="AD22" s="22">
        <f>CRITERIOS!Q10</f>
        <v/>
      </c>
      <c r="AE22" s="22">
        <f>IF(AND(E22=1,H22&lt;&gt;"X",((I22="N/A")+(L22="N/A")+(O22="N/A")+(R22="N/A")+(U22="N/A")+(X22="N/A"))&gt;0),"REVISAR","")</f>
        <v/>
      </c>
    </row>
    <row r="23">
      <c r="A23" s="19">
        <f>CRITERIOS!B11</f>
        <v/>
      </c>
      <c r="B23" s="19">
        <f>CRITERIOS!C11</f>
        <v/>
      </c>
      <c r="C23" s="20">
        <f>CRITERIOS!D11</f>
        <v/>
      </c>
      <c r="D23" s="19">
        <f>CRITERIOS!E11</f>
        <v/>
      </c>
      <c r="E23" s="19">
        <f>IFERROR(IF(AND(OR(CRITERIOS!F11="Todos",CRITERIOS!F11=$B$4),INDEX(CRITERIOS!H11:J11,MATCH($B$5,VARIABLES!$E$2:$E$4,0))=1),1,0),0)</f>
        <v/>
      </c>
      <c r="F23" s="19">
        <f>IFERROR(IF(E23=1,INDEX(CRITERIOS!K11:M11,MATCH($B$5,VARIABLES!$E$2:$E$4,0)),0),0)</f>
        <v/>
      </c>
      <c r="G23" s="19">
        <f>IF(CRITERIOS!N11="","",CRITERIOS!N11)</f>
        <v/>
      </c>
      <c r="H23" s="19">
        <f>IF(CRITERIOS!O11="","",CRITERIOS!O11)</f>
        <v/>
      </c>
      <c r="I23" s="21" t="n"/>
      <c r="J23" s="22">
        <f>IF(OR($E23=0,I$78=0),0,IF(AND(I23="N/A",$G23&lt;&gt;""),0,$F23+SUMPRODUCT(($G$14:$G$71=$A23)*($E$14:$E$71=1)*(I$14:I$71="N/A")*$F$14:$F$71)))</f>
        <v/>
      </c>
      <c r="K23" s="22">
        <f>IF(I23="SI",J23,0)</f>
        <v/>
      </c>
      <c r="L23" s="21" t="n"/>
      <c r="M23" s="22">
        <f>IF(OR($E23=0,L$78=0),0,IF(AND(L23="N/A",$G23&lt;&gt;""),0,$F23+SUMPRODUCT(($G$14:$G$71=$A23)*($E$14:$E$71=1)*(L$14:L$71="N/A")*$F$14:$F$71)))</f>
        <v/>
      </c>
      <c r="N23" s="22">
        <f>IF(L23="SI",M23,0)</f>
        <v/>
      </c>
      <c r="O23" s="21" t="n"/>
      <c r="P23" s="22">
        <f>IF(OR($E23=0,O$78=0),0,IF(AND(O23="N/A",$G23&lt;&gt;""),0,$F23+SUMPRODUCT(($G$14:$G$71=$A23)*($E$14:$E$71=1)*(O$14:O$71="N/A")*$F$14:$F$71)))</f>
        <v/>
      </c>
      <c r="Q23" s="22">
        <f>IF(O23="SI",P23,0)</f>
        <v/>
      </c>
      <c r="R23" s="21" t="n"/>
      <c r="S23" s="22">
        <f>IF(OR($E23=0,R$78=0),0,IF(AND(R23="N/A",$G23&lt;&gt;""),0,$F23+SUMPRODUCT(($G$14:$G$71=$A23)*($E$14:$E$71=1)*(R$14:R$71="N/A")*$F$14:$F$71)))</f>
        <v/>
      </c>
      <c r="T23" s="22">
        <f>IF(R23="SI",S23,0)</f>
        <v/>
      </c>
      <c r="U23" s="21" t="n"/>
      <c r="V23" s="22">
        <f>IF(OR($E23=0,U$78=0),0,IF(AND(U23="N/A",$G23&lt;&gt;""),0,$F23+SUMPRODUCT(($G$14:$G$71=$A23)*($E$14:$E$71=1)*(U$14:U$71="N/A")*$F$14:$F$71)))</f>
        <v/>
      </c>
      <c r="W23" s="22">
        <f>IF(U23="SI",V23,0)</f>
        <v/>
      </c>
      <c r="X23" s="21" t="n"/>
      <c r="Y23" s="22">
        <f>IF(OR($E23=0,X$78=0),0,IF(AND(X23="N/A",$G23&lt;&gt;""),0,$F23+SUMPRODUCT(($G$14:$G$71=$A23)*($E$14:$E$71=1)*(X$14:X$71="N/A")*$F$14:$F$71)))</f>
        <v/>
      </c>
      <c r="Z23" s="22">
        <f>IF(X23="SI",Y23,0)</f>
        <v/>
      </c>
      <c r="AA23" s="22">
        <f>SUM(J23,M23,P23,S23,V23,Y23)</f>
        <v/>
      </c>
      <c r="AB23" s="22">
        <f>SUM(K23,N23,Q23,T23,W23,Z23)</f>
        <v/>
      </c>
      <c r="AC23" s="23">
        <f>IF(AA23=0,"",AB23/AA23)</f>
        <v/>
      </c>
      <c r="AD23" s="22">
        <f>CRITERIOS!Q11</f>
        <v/>
      </c>
      <c r="AE23" s="22">
        <f>IF(AND(E23=1,H23&lt;&gt;"X",((I23="N/A")+(L23="N/A")+(O23="N/A")+(R23="N/A")+(U23="N/A")+(X23="N/A"))&gt;0),"REVISAR","")</f>
        <v/>
      </c>
    </row>
    <row r="24">
      <c r="A24" s="19">
        <f>CRITERIOS!B12</f>
        <v/>
      </c>
      <c r="B24" s="19">
        <f>CRITERIOS!C12</f>
        <v/>
      </c>
      <c r="C24" s="20">
        <f>CRITERIOS!D12</f>
        <v/>
      </c>
      <c r="D24" s="19">
        <f>CRITERIOS!E12</f>
        <v/>
      </c>
      <c r="E24" s="19">
        <f>IFERROR(IF(AND(OR(CRITERIOS!F12="Todos",CRITERIOS!F12=$B$4),INDEX(CRITERIOS!H12:J12,MATCH($B$5,VARIABLES!$E$2:$E$4,0))=1),1,0),0)</f>
        <v/>
      </c>
      <c r="F24" s="19">
        <f>IFERROR(IF(E24=1,INDEX(CRITERIOS!K12:M12,MATCH($B$5,VARIABLES!$E$2:$E$4,0)),0),0)</f>
        <v/>
      </c>
      <c r="G24" s="19">
        <f>IF(CRITERIOS!N12="","",CRITERIOS!N12)</f>
        <v/>
      </c>
      <c r="H24" s="19">
        <f>IF(CRITERIOS!O12="","",CRITERIOS!O12)</f>
        <v/>
      </c>
      <c r="I24" s="21" t="n"/>
      <c r="J24" s="22">
        <f>IF(OR($E24=0,I$78=0),0,IF(AND(I24="N/A",$G24&lt;&gt;""),0,$F24+SUMPRODUCT(($G$14:$G$71=$A24)*($E$14:$E$71=1)*(I$14:I$71="N/A")*$F$14:$F$71)))</f>
        <v/>
      </c>
      <c r="K24" s="22">
        <f>IF(I24="SI",J24,0)</f>
        <v/>
      </c>
      <c r="L24" s="21" t="n"/>
      <c r="M24" s="22">
        <f>IF(OR($E24=0,L$78=0),0,IF(AND(L24="N/A",$G24&lt;&gt;""),0,$F24+SUMPRODUCT(($G$14:$G$71=$A24)*($E$14:$E$71=1)*(L$14:L$71="N/A")*$F$14:$F$71)))</f>
        <v/>
      </c>
      <c r="N24" s="22">
        <f>IF(L24="SI",M24,0)</f>
        <v/>
      </c>
      <c r="O24" s="21" t="n"/>
      <c r="P24" s="22">
        <f>IF(OR($E24=0,O$78=0),0,IF(AND(O24="N/A",$G24&lt;&gt;""),0,$F24+SUMPRODUCT(($G$14:$G$71=$A24)*($E$14:$E$71=1)*(O$14:O$71="N/A")*$F$14:$F$71)))</f>
        <v/>
      </c>
      <c r="Q24" s="22">
        <f>IF(O24="SI",P24,0)</f>
        <v/>
      </c>
      <c r="R24" s="21" t="n"/>
      <c r="S24" s="22">
        <f>IF(OR($E24=0,R$78=0),0,IF(AND(R24="N/A",$G24&lt;&gt;""),0,$F24+SUMPRODUCT(($G$14:$G$71=$A24)*($E$14:$E$71=1)*(R$14:R$71="N/A")*$F$14:$F$71)))</f>
        <v/>
      </c>
      <c r="T24" s="22">
        <f>IF(R24="SI",S24,0)</f>
        <v/>
      </c>
      <c r="U24" s="21" t="n"/>
      <c r="V24" s="22">
        <f>IF(OR($E24=0,U$78=0),0,IF(AND(U24="N/A",$G24&lt;&gt;""),0,$F24+SUMPRODUCT(($G$14:$G$71=$A24)*($E$14:$E$71=1)*(U$14:U$71="N/A")*$F$14:$F$71)))</f>
        <v/>
      </c>
      <c r="W24" s="22">
        <f>IF(U24="SI",V24,0)</f>
        <v/>
      </c>
      <c r="X24" s="21" t="n"/>
      <c r="Y24" s="22">
        <f>IF(OR($E24=0,X$78=0),0,IF(AND(X24="N/A",$G24&lt;&gt;""),0,$F24+SUMPRODUCT(($G$14:$G$71=$A24)*($E$14:$E$71=1)*(X$14:X$71="N/A")*$F$14:$F$71)))</f>
        <v/>
      </c>
      <c r="Z24" s="22">
        <f>IF(X24="SI",Y24,0)</f>
        <v/>
      </c>
      <c r="AA24" s="22">
        <f>SUM(J24,M24,P24,S24,V24,Y24)</f>
        <v/>
      </c>
      <c r="AB24" s="22">
        <f>SUM(K24,N24,Q24,T24,W24,Z24)</f>
        <v/>
      </c>
      <c r="AC24" s="23">
        <f>IF(AA24=0,"",AB24/AA24)</f>
        <v/>
      </c>
      <c r="AD24" s="22">
        <f>CRITERIOS!Q12</f>
        <v/>
      </c>
      <c r="AE24" s="22">
        <f>IF(AND(E24=1,H24&lt;&gt;"X",((I24="N/A")+(L24="N/A")+(O24="N/A")+(R24="N/A")+(U24="N/A")+(X24="N/A"))&gt;0),"REVISAR","")</f>
        <v/>
      </c>
    </row>
    <row r="25">
      <c r="A25" s="19">
        <f>CRITERIOS!B13</f>
        <v/>
      </c>
      <c r="B25" s="19">
        <f>CRITERIOS!C13</f>
        <v/>
      </c>
      <c r="C25" s="20">
        <f>CRITERIOS!D13</f>
        <v/>
      </c>
      <c r="D25" s="19">
        <f>CRITERIOS!E13</f>
        <v/>
      </c>
      <c r="E25" s="19">
        <f>IFERROR(IF(AND(OR(CRITERIOS!F13="Todos",CRITERIOS!F13=$B$4),INDEX(CRITERIOS!H13:J13,MATCH($B$5,VARIABLES!$E$2:$E$4,0))=1),1,0),0)</f>
        <v/>
      </c>
      <c r="F25" s="19">
        <f>IFERROR(IF(E25=1,INDEX(CRITERIOS!K13:M13,MATCH($B$5,VARIABLES!$E$2:$E$4,0)),0),0)</f>
        <v/>
      </c>
      <c r="G25" s="19">
        <f>IF(CRITERIOS!N13="","",CRITERIOS!N13)</f>
        <v/>
      </c>
      <c r="H25" s="19">
        <f>IF(CRITERIOS!O13="","",CRITERIOS!O13)</f>
        <v/>
      </c>
      <c r="I25" s="21" t="n"/>
      <c r="J25" s="22">
        <f>IF(OR($E25=0,I$78=0),0,IF(AND(I25="N/A",$G25&lt;&gt;""),0,$F25+SUMPRODUCT(($G$14:$G$71=$A25)*($E$14:$E$71=1)*(I$14:I$71="N/A")*$F$14:$F$71)))</f>
        <v/>
      </c>
      <c r="K25" s="22">
        <f>IF(I25="SI",J25,0)</f>
        <v/>
      </c>
      <c r="L25" s="21" t="n"/>
      <c r="M25" s="22">
        <f>IF(OR($E25=0,L$78=0),0,IF(AND(L25="N/A",$G25&lt;&gt;""),0,$F25+SUMPRODUCT(($G$14:$G$71=$A25)*($E$14:$E$71=1)*(L$14:L$71="N/A")*$F$14:$F$71)))</f>
        <v/>
      </c>
      <c r="N25" s="22">
        <f>IF(L25="SI",M25,0)</f>
        <v/>
      </c>
      <c r="O25" s="21" t="n"/>
      <c r="P25" s="22">
        <f>IF(OR($E25=0,O$78=0),0,IF(AND(O25="N/A",$G25&lt;&gt;""),0,$F25+SUMPRODUCT(($G$14:$G$71=$A25)*($E$14:$E$71=1)*(O$14:O$71="N/A")*$F$14:$F$71)))</f>
        <v/>
      </c>
      <c r="Q25" s="22">
        <f>IF(O25="SI",P25,0)</f>
        <v/>
      </c>
      <c r="R25" s="21" t="n"/>
      <c r="S25" s="22">
        <f>IF(OR($E25=0,R$78=0),0,IF(AND(R25="N/A",$G25&lt;&gt;""),0,$F25+SUMPRODUCT(($G$14:$G$71=$A25)*($E$14:$E$71=1)*(R$14:R$71="N/A")*$F$14:$F$71)))</f>
        <v/>
      </c>
      <c r="T25" s="22">
        <f>IF(R25="SI",S25,0)</f>
        <v/>
      </c>
      <c r="U25" s="21" t="n"/>
      <c r="V25" s="22">
        <f>IF(OR($E25=0,U$78=0),0,IF(AND(U25="N/A",$G25&lt;&gt;""),0,$F25+SUMPRODUCT(($G$14:$G$71=$A25)*($E$14:$E$71=1)*(U$14:U$71="N/A")*$F$14:$F$71)))</f>
        <v/>
      </c>
      <c r="W25" s="22">
        <f>IF(U25="SI",V25,0)</f>
        <v/>
      </c>
      <c r="X25" s="21" t="n"/>
      <c r="Y25" s="22">
        <f>IF(OR($E25=0,X$78=0),0,IF(AND(X25="N/A",$G25&lt;&gt;""),0,$F25+SUMPRODUCT(($G$14:$G$71=$A25)*($E$14:$E$71=1)*(X$14:X$71="N/A")*$F$14:$F$71)))</f>
        <v/>
      </c>
      <c r="Z25" s="22">
        <f>IF(X25="SI",Y25,0)</f>
        <v/>
      </c>
      <c r="AA25" s="22">
        <f>SUM(J25,M25,P25,S25,V25,Y25)</f>
        <v/>
      </c>
      <c r="AB25" s="22">
        <f>SUM(K25,N25,Q25,T25,W25,Z25)</f>
        <v/>
      </c>
      <c r="AC25" s="23">
        <f>IF(AA25=0,"",AB25/AA25)</f>
        <v/>
      </c>
      <c r="AD25" s="22">
        <f>CRITERIOS!Q13</f>
        <v/>
      </c>
      <c r="AE25" s="22">
        <f>IF(AND(E25=1,H25&lt;&gt;"X",((I25="N/A")+(L25="N/A")+(O25="N/A")+(R25="N/A")+(U25="N/A")+(X25="N/A"))&gt;0),"REVISAR","")</f>
        <v/>
      </c>
    </row>
    <row r="26">
      <c r="A26" s="19">
        <f>CRITERIOS!B14</f>
        <v/>
      </c>
      <c r="B26" s="19">
        <f>CRITERIOS!C14</f>
        <v/>
      </c>
      <c r="C26" s="20">
        <f>CRITERIOS!D14</f>
        <v/>
      </c>
      <c r="D26" s="19">
        <f>CRITERIOS!E14</f>
        <v/>
      </c>
      <c r="E26" s="19">
        <f>IFERROR(IF(AND(OR(CRITERIOS!F14="Todos",CRITERIOS!F14=$B$4),INDEX(CRITERIOS!H14:J14,MATCH($B$5,VARIABLES!$E$2:$E$4,0))=1),1,0),0)</f>
        <v/>
      </c>
      <c r="F26" s="19">
        <f>IFERROR(IF(E26=1,INDEX(CRITERIOS!K14:M14,MATCH($B$5,VARIABLES!$E$2:$E$4,0)),0),0)</f>
        <v/>
      </c>
      <c r="G26" s="19">
        <f>IF(CRITERIOS!N14="","",CRITERIOS!N14)</f>
        <v/>
      </c>
      <c r="H26" s="19">
        <f>IF(CRITERIOS!O14="","",CRITERIOS!O14)</f>
        <v/>
      </c>
      <c r="I26" s="21" t="n"/>
      <c r="J26" s="22">
        <f>IF(OR($E26=0,I$78=0),0,IF(AND(I26="N/A",$G26&lt;&gt;""),0,$F26+SUMPRODUCT(($G$14:$G$71=$A26)*($E$14:$E$71=1)*(I$14:I$71="N/A")*$F$14:$F$71)))</f>
        <v/>
      </c>
      <c r="K26" s="22">
        <f>IF(I26="SI",J26,0)</f>
        <v/>
      </c>
      <c r="L26" s="21" t="n"/>
      <c r="M26" s="22">
        <f>IF(OR($E26=0,L$78=0),0,IF(AND(L26="N/A",$G26&lt;&gt;""),0,$F26+SUMPRODUCT(($G$14:$G$71=$A26)*($E$14:$E$71=1)*(L$14:L$71="N/A")*$F$14:$F$71)))</f>
        <v/>
      </c>
      <c r="N26" s="22">
        <f>IF(L26="SI",M26,0)</f>
        <v/>
      </c>
      <c r="O26" s="21" t="n"/>
      <c r="P26" s="22">
        <f>IF(OR($E26=0,O$78=0),0,IF(AND(O26="N/A",$G26&lt;&gt;""),0,$F26+SUMPRODUCT(($G$14:$G$71=$A26)*($E$14:$E$71=1)*(O$14:O$71="N/A")*$F$14:$F$71)))</f>
        <v/>
      </c>
      <c r="Q26" s="22">
        <f>IF(O26="SI",P26,0)</f>
        <v/>
      </c>
      <c r="R26" s="21" t="n"/>
      <c r="S26" s="22">
        <f>IF(OR($E26=0,R$78=0),0,IF(AND(R26="N/A",$G26&lt;&gt;""),0,$F26+SUMPRODUCT(($G$14:$G$71=$A26)*($E$14:$E$71=1)*(R$14:R$71="N/A")*$F$14:$F$71)))</f>
        <v/>
      </c>
      <c r="T26" s="22">
        <f>IF(R26="SI",S26,0)</f>
        <v/>
      </c>
      <c r="U26" s="21" t="n"/>
      <c r="V26" s="22">
        <f>IF(OR($E26=0,U$78=0),0,IF(AND(U26="N/A",$G26&lt;&gt;""),0,$F26+SUMPRODUCT(($G$14:$G$71=$A26)*($E$14:$E$71=1)*(U$14:U$71="N/A")*$F$14:$F$71)))</f>
        <v/>
      </c>
      <c r="W26" s="22">
        <f>IF(U26="SI",V26,0)</f>
        <v/>
      </c>
      <c r="X26" s="21" t="n"/>
      <c r="Y26" s="22">
        <f>IF(OR($E26=0,X$78=0),0,IF(AND(X26="N/A",$G26&lt;&gt;""),0,$F26+SUMPRODUCT(($G$14:$G$71=$A26)*($E$14:$E$71=1)*(X$14:X$71="N/A")*$F$14:$F$71)))</f>
        <v/>
      </c>
      <c r="Z26" s="22">
        <f>IF(X26="SI",Y26,0)</f>
        <v/>
      </c>
      <c r="AA26" s="22">
        <f>SUM(J26,M26,P26,S26,V26,Y26)</f>
        <v/>
      </c>
      <c r="AB26" s="22">
        <f>SUM(K26,N26,Q26,T26,W26,Z26)</f>
        <v/>
      </c>
      <c r="AC26" s="23">
        <f>IF(AA26=0,"",AB26/AA26)</f>
        <v/>
      </c>
      <c r="AD26" s="22">
        <f>CRITERIOS!Q14</f>
        <v/>
      </c>
      <c r="AE26" s="22">
        <f>IF(AND(E26=1,H26&lt;&gt;"X",((I26="N/A")+(L26="N/A")+(O26="N/A")+(R26="N/A")+(U26="N/A")+(X26="N/A"))&gt;0),"REVISAR","")</f>
        <v/>
      </c>
    </row>
    <row r="27">
      <c r="A27" s="19">
        <f>CRITERIOS!B15</f>
        <v/>
      </c>
      <c r="B27" s="19">
        <f>CRITERIOS!C15</f>
        <v/>
      </c>
      <c r="C27" s="20">
        <f>CRITERIOS!D15</f>
        <v/>
      </c>
      <c r="D27" s="19">
        <f>CRITERIOS!E15</f>
        <v/>
      </c>
      <c r="E27" s="19">
        <f>IFERROR(IF(AND(OR(CRITERIOS!F15="Todos",CRITERIOS!F15=$B$4),INDEX(CRITERIOS!H15:J15,MATCH($B$5,VARIABLES!$E$2:$E$4,0))=1),1,0),0)</f>
        <v/>
      </c>
      <c r="F27" s="19">
        <f>IFERROR(IF(E27=1,INDEX(CRITERIOS!K15:M15,MATCH($B$5,VARIABLES!$E$2:$E$4,0)),0),0)</f>
        <v/>
      </c>
      <c r="G27" s="19">
        <f>IF(CRITERIOS!N15="","",CRITERIOS!N15)</f>
        <v/>
      </c>
      <c r="H27" s="19">
        <f>IF(CRITERIOS!O15="","",CRITERIOS!O15)</f>
        <v/>
      </c>
      <c r="I27" s="21" t="n"/>
      <c r="J27" s="22">
        <f>IF(OR($E27=0,I$78=0),0,IF(AND(I27="N/A",$G27&lt;&gt;""),0,$F27+SUMPRODUCT(($G$14:$G$71=$A27)*($E$14:$E$71=1)*(I$14:I$71="N/A")*$F$14:$F$71)))</f>
        <v/>
      </c>
      <c r="K27" s="22">
        <f>IF(I27="SI",J27,0)</f>
        <v/>
      </c>
      <c r="L27" s="21" t="n"/>
      <c r="M27" s="22">
        <f>IF(OR($E27=0,L$78=0),0,IF(AND(L27="N/A",$G27&lt;&gt;""),0,$F27+SUMPRODUCT(($G$14:$G$71=$A27)*($E$14:$E$71=1)*(L$14:L$71="N/A")*$F$14:$F$71)))</f>
        <v/>
      </c>
      <c r="N27" s="22">
        <f>IF(L27="SI",M27,0)</f>
        <v/>
      </c>
      <c r="O27" s="21" t="n"/>
      <c r="P27" s="22">
        <f>IF(OR($E27=0,O$78=0),0,IF(AND(O27="N/A",$G27&lt;&gt;""),0,$F27+SUMPRODUCT(($G$14:$G$71=$A27)*($E$14:$E$71=1)*(O$14:O$71="N/A")*$F$14:$F$71)))</f>
        <v/>
      </c>
      <c r="Q27" s="22">
        <f>IF(O27="SI",P27,0)</f>
        <v/>
      </c>
      <c r="R27" s="21" t="n"/>
      <c r="S27" s="22">
        <f>IF(OR($E27=0,R$78=0),0,IF(AND(R27="N/A",$G27&lt;&gt;""),0,$F27+SUMPRODUCT(($G$14:$G$71=$A27)*($E$14:$E$71=1)*(R$14:R$71="N/A")*$F$14:$F$71)))</f>
        <v/>
      </c>
      <c r="T27" s="22">
        <f>IF(R27="SI",S27,0)</f>
        <v/>
      </c>
      <c r="U27" s="21" t="n"/>
      <c r="V27" s="22">
        <f>IF(OR($E27=0,U$78=0),0,IF(AND(U27="N/A",$G27&lt;&gt;""),0,$F27+SUMPRODUCT(($G$14:$G$71=$A27)*($E$14:$E$71=1)*(U$14:U$71="N/A")*$F$14:$F$71)))</f>
        <v/>
      </c>
      <c r="W27" s="22">
        <f>IF(U27="SI",V27,0)</f>
        <v/>
      </c>
      <c r="X27" s="21" t="n"/>
      <c r="Y27" s="22">
        <f>IF(OR($E27=0,X$78=0),0,IF(AND(X27="N/A",$G27&lt;&gt;""),0,$F27+SUMPRODUCT(($G$14:$G$71=$A27)*($E$14:$E$71=1)*(X$14:X$71="N/A")*$F$14:$F$71)))</f>
        <v/>
      </c>
      <c r="Z27" s="22">
        <f>IF(X27="SI",Y27,0)</f>
        <v/>
      </c>
      <c r="AA27" s="22">
        <f>SUM(J27,M27,P27,S27,V27,Y27)</f>
        <v/>
      </c>
      <c r="AB27" s="22">
        <f>SUM(K27,N27,Q27,T27,W27,Z27)</f>
        <v/>
      </c>
      <c r="AC27" s="23">
        <f>IF(AA27=0,"",AB27/AA27)</f>
        <v/>
      </c>
      <c r="AD27" s="22">
        <f>CRITERIOS!Q15</f>
        <v/>
      </c>
      <c r="AE27" s="22">
        <f>IF(AND(E27=1,H27&lt;&gt;"X",((I27="N/A")+(L27="N/A")+(O27="N/A")+(R27="N/A")+(U27="N/A")+(X27="N/A"))&gt;0),"REVISAR","")</f>
        <v/>
      </c>
    </row>
    <row r="28">
      <c r="A28" s="19">
        <f>CRITERIOS!B16</f>
        <v/>
      </c>
      <c r="B28" s="19">
        <f>CRITERIOS!C16</f>
        <v/>
      </c>
      <c r="C28" s="20">
        <f>CRITERIOS!D16</f>
        <v/>
      </c>
      <c r="D28" s="19">
        <f>CRITERIOS!E16</f>
        <v/>
      </c>
      <c r="E28" s="19">
        <f>IFERROR(IF(AND(OR(CRITERIOS!F16="Todos",CRITERIOS!F16=$B$4),INDEX(CRITERIOS!H16:J16,MATCH($B$5,VARIABLES!$E$2:$E$4,0))=1),1,0),0)</f>
        <v/>
      </c>
      <c r="F28" s="19">
        <f>IFERROR(IF(E28=1,INDEX(CRITERIOS!K16:M16,MATCH($B$5,VARIABLES!$E$2:$E$4,0)),0),0)</f>
        <v/>
      </c>
      <c r="G28" s="19">
        <f>IF(CRITERIOS!N16="","",CRITERIOS!N16)</f>
        <v/>
      </c>
      <c r="H28" s="19">
        <f>IF(CRITERIOS!O16="","",CRITERIOS!O16)</f>
        <v/>
      </c>
      <c r="I28" s="21" t="n"/>
      <c r="J28" s="22">
        <f>IF(OR($E28=0,I$78=0),0,IF(AND(I28="N/A",$G28&lt;&gt;""),0,$F28+SUMPRODUCT(($G$14:$G$71=$A28)*($E$14:$E$71=1)*(I$14:I$71="N/A")*$F$14:$F$71)))</f>
        <v/>
      </c>
      <c r="K28" s="22">
        <f>IF(I28="SI",J28,0)</f>
        <v/>
      </c>
      <c r="L28" s="21" t="n"/>
      <c r="M28" s="22">
        <f>IF(OR($E28=0,L$78=0),0,IF(AND(L28="N/A",$G28&lt;&gt;""),0,$F28+SUMPRODUCT(($G$14:$G$71=$A28)*($E$14:$E$71=1)*(L$14:L$71="N/A")*$F$14:$F$71)))</f>
        <v/>
      </c>
      <c r="N28" s="22">
        <f>IF(L28="SI",M28,0)</f>
        <v/>
      </c>
      <c r="O28" s="21" t="n"/>
      <c r="P28" s="22">
        <f>IF(OR($E28=0,O$78=0),0,IF(AND(O28="N/A",$G28&lt;&gt;""),0,$F28+SUMPRODUCT(($G$14:$G$71=$A28)*($E$14:$E$71=1)*(O$14:O$71="N/A")*$F$14:$F$71)))</f>
        <v/>
      </c>
      <c r="Q28" s="22">
        <f>IF(O28="SI",P28,0)</f>
        <v/>
      </c>
      <c r="R28" s="21" t="n"/>
      <c r="S28" s="22">
        <f>IF(OR($E28=0,R$78=0),0,IF(AND(R28="N/A",$G28&lt;&gt;""),0,$F28+SUMPRODUCT(($G$14:$G$71=$A28)*($E$14:$E$71=1)*(R$14:R$71="N/A")*$F$14:$F$71)))</f>
        <v/>
      </c>
      <c r="T28" s="22">
        <f>IF(R28="SI",S28,0)</f>
        <v/>
      </c>
      <c r="U28" s="21" t="n"/>
      <c r="V28" s="22">
        <f>IF(OR($E28=0,U$78=0),0,IF(AND(U28="N/A",$G28&lt;&gt;""),0,$F28+SUMPRODUCT(($G$14:$G$71=$A28)*($E$14:$E$71=1)*(U$14:U$71="N/A")*$F$14:$F$71)))</f>
        <v/>
      </c>
      <c r="W28" s="22">
        <f>IF(U28="SI",V28,0)</f>
        <v/>
      </c>
      <c r="X28" s="21" t="n"/>
      <c r="Y28" s="22">
        <f>IF(OR($E28=0,X$78=0),0,IF(AND(X28="N/A",$G28&lt;&gt;""),0,$F28+SUMPRODUCT(($G$14:$G$71=$A28)*($E$14:$E$71=1)*(X$14:X$71="N/A")*$F$14:$F$71)))</f>
        <v/>
      </c>
      <c r="Z28" s="22">
        <f>IF(X28="SI",Y28,0)</f>
        <v/>
      </c>
      <c r="AA28" s="22">
        <f>SUM(J28,M28,P28,S28,V28,Y28)</f>
        <v/>
      </c>
      <c r="AB28" s="22">
        <f>SUM(K28,N28,Q28,T28,W28,Z28)</f>
        <v/>
      </c>
      <c r="AC28" s="23">
        <f>IF(AA28=0,"",AB28/AA28)</f>
        <v/>
      </c>
      <c r="AD28" s="22">
        <f>CRITERIOS!Q16</f>
        <v/>
      </c>
      <c r="AE28" s="22">
        <f>IF(AND(E28=1,H28&lt;&gt;"X",((I28="N/A")+(L28="N/A")+(O28="N/A")+(R28="N/A")+(U28="N/A")+(X28="N/A"))&gt;0),"REVISAR","")</f>
        <v/>
      </c>
    </row>
    <row r="29">
      <c r="A29" s="19">
        <f>CRITERIOS!B17</f>
        <v/>
      </c>
      <c r="B29" s="19">
        <f>CRITERIOS!C17</f>
        <v/>
      </c>
      <c r="C29" s="20">
        <f>CRITERIOS!D17</f>
        <v/>
      </c>
      <c r="D29" s="19">
        <f>CRITERIOS!E17</f>
        <v/>
      </c>
      <c r="E29" s="19">
        <f>IFERROR(IF(AND(OR(CRITERIOS!F17="Todos",CRITERIOS!F17=$B$4),INDEX(CRITERIOS!H17:J17,MATCH($B$5,VARIABLES!$E$2:$E$4,0))=1),1,0),0)</f>
        <v/>
      </c>
      <c r="F29" s="19">
        <f>IFERROR(IF(E29=1,INDEX(CRITERIOS!K17:M17,MATCH($B$5,VARIABLES!$E$2:$E$4,0)),0),0)</f>
        <v/>
      </c>
      <c r="G29" s="19">
        <f>IF(CRITERIOS!N17="","",CRITERIOS!N17)</f>
        <v/>
      </c>
      <c r="H29" s="19">
        <f>IF(CRITERIOS!O17="","",CRITERIOS!O17)</f>
        <v/>
      </c>
      <c r="I29" s="21" t="n"/>
      <c r="J29" s="22">
        <f>IF(OR($E29=0,I$78=0),0,IF(AND(I29="N/A",$G29&lt;&gt;""),0,$F29+SUMPRODUCT(($G$14:$G$71=$A29)*($E$14:$E$71=1)*(I$14:I$71="N/A")*$F$14:$F$71)))</f>
        <v/>
      </c>
      <c r="K29" s="22">
        <f>IF(I29="SI",J29,0)</f>
        <v/>
      </c>
      <c r="L29" s="21" t="n"/>
      <c r="M29" s="22">
        <f>IF(OR($E29=0,L$78=0),0,IF(AND(L29="N/A",$G29&lt;&gt;""),0,$F29+SUMPRODUCT(($G$14:$G$71=$A29)*($E$14:$E$71=1)*(L$14:L$71="N/A")*$F$14:$F$71)))</f>
        <v/>
      </c>
      <c r="N29" s="22">
        <f>IF(L29="SI",M29,0)</f>
        <v/>
      </c>
      <c r="O29" s="21" t="n"/>
      <c r="P29" s="22">
        <f>IF(OR($E29=0,O$78=0),0,IF(AND(O29="N/A",$G29&lt;&gt;""),0,$F29+SUMPRODUCT(($G$14:$G$71=$A29)*($E$14:$E$71=1)*(O$14:O$71="N/A")*$F$14:$F$71)))</f>
        <v/>
      </c>
      <c r="Q29" s="22">
        <f>IF(O29="SI",P29,0)</f>
        <v/>
      </c>
      <c r="R29" s="21" t="n"/>
      <c r="S29" s="22">
        <f>IF(OR($E29=0,R$78=0),0,IF(AND(R29="N/A",$G29&lt;&gt;""),0,$F29+SUMPRODUCT(($G$14:$G$71=$A29)*($E$14:$E$71=1)*(R$14:R$71="N/A")*$F$14:$F$71)))</f>
        <v/>
      </c>
      <c r="T29" s="22">
        <f>IF(R29="SI",S29,0)</f>
        <v/>
      </c>
      <c r="U29" s="21" t="n"/>
      <c r="V29" s="22">
        <f>IF(OR($E29=0,U$78=0),0,IF(AND(U29="N/A",$G29&lt;&gt;""),0,$F29+SUMPRODUCT(($G$14:$G$71=$A29)*($E$14:$E$71=1)*(U$14:U$71="N/A")*$F$14:$F$71)))</f>
        <v/>
      </c>
      <c r="W29" s="22">
        <f>IF(U29="SI",V29,0)</f>
        <v/>
      </c>
      <c r="X29" s="21" t="n"/>
      <c r="Y29" s="22">
        <f>IF(OR($E29=0,X$78=0),0,IF(AND(X29="N/A",$G29&lt;&gt;""),0,$F29+SUMPRODUCT(($G$14:$G$71=$A29)*($E$14:$E$71=1)*(X$14:X$71="N/A")*$F$14:$F$71)))</f>
        <v/>
      </c>
      <c r="Z29" s="22">
        <f>IF(X29="SI",Y29,0)</f>
        <v/>
      </c>
      <c r="AA29" s="22">
        <f>SUM(J29,M29,P29,S29,V29,Y29)</f>
        <v/>
      </c>
      <c r="AB29" s="22">
        <f>SUM(K29,N29,Q29,T29,W29,Z29)</f>
        <v/>
      </c>
      <c r="AC29" s="23">
        <f>IF(AA29=0,"",AB29/AA29)</f>
        <v/>
      </c>
      <c r="AD29" s="22">
        <f>CRITERIOS!Q17</f>
        <v/>
      </c>
      <c r="AE29" s="22">
        <f>IF(AND(E29=1,H29&lt;&gt;"X",((I29="N/A")+(L29="N/A")+(O29="N/A")+(R29="N/A")+(U29="N/A")+(X29="N/A"))&gt;0),"REVISAR","")</f>
        <v/>
      </c>
    </row>
    <row r="30">
      <c r="A30" s="22">
        <f>CRITERIOS!B18</f>
        <v/>
      </c>
      <c r="B30" s="22">
        <f>CRITERIOS!C18</f>
        <v/>
      </c>
      <c r="C30" s="8">
        <f>CRITERIOS!D18</f>
        <v/>
      </c>
      <c r="D30" s="22">
        <f>CRITERIOS!E18</f>
        <v/>
      </c>
      <c r="E30" s="22">
        <f>IFERROR(IF(AND(OR(CRITERIOS!F18="Todos",CRITERIOS!F18=$B$4),INDEX(CRITERIOS!H18:J18,MATCH($B$5,VARIABLES!$E$2:$E$4,0))=1),1,0),0)</f>
        <v/>
      </c>
      <c r="F30" s="22">
        <f>IFERROR(IF(E30=1,INDEX(CRITERIOS!K18:M18,MATCH($B$5,VARIABLES!$E$2:$E$4,0)),0),0)</f>
        <v/>
      </c>
      <c r="G30" s="22">
        <f>IF(CRITERIOS!N18="","",CRITERIOS!N18)</f>
        <v/>
      </c>
      <c r="H30" s="22">
        <f>IF(CRITERIOS!O18="","",CRITERIOS!O18)</f>
        <v/>
      </c>
      <c r="I30" s="21" t="n"/>
      <c r="J30" s="22">
        <f>IF(OR($E30=0,I$78=0),0,IF(AND(I30="N/A",$G30&lt;&gt;""),0,$F30+SUMPRODUCT(($G$14:$G$71=$A30)*($E$14:$E$71=1)*(I$14:I$71="N/A")*$F$14:$F$71)))</f>
        <v/>
      </c>
      <c r="K30" s="22">
        <f>IF(I30="SI",J30,0)</f>
        <v/>
      </c>
      <c r="L30" s="21" t="n"/>
      <c r="M30" s="22">
        <f>IF(OR($E30=0,L$78=0),0,IF(AND(L30="N/A",$G30&lt;&gt;""),0,$F30+SUMPRODUCT(($G$14:$G$71=$A30)*($E$14:$E$71=1)*(L$14:L$71="N/A")*$F$14:$F$71)))</f>
        <v/>
      </c>
      <c r="N30" s="22">
        <f>IF(L30="SI",M30,0)</f>
        <v/>
      </c>
      <c r="O30" s="21" t="n"/>
      <c r="P30" s="22">
        <f>IF(OR($E30=0,O$78=0),0,IF(AND(O30="N/A",$G30&lt;&gt;""),0,$F30+SUMPRODUCT(($G$14:$G$71=$A30)*($E$14:$E$71=1)*(O$14:O$71="N/A")*$F$14:$F$71)))</f>
        <v/>
      </c>
      <c r="Q30" s="22">
        <f>IF(O30="SI",P30,0)</f>
        <v/>
      </c>
      <c r="R30" s="21" t="n"/>
      <c r="S30" s="22">
        <f>IF(OR($E30=0,R$78=0),0,IF(AND(R30="N/A",$G30&lt;&gt;""),0,$F30+SUMPRODUCT(($G$14:$G$71=$A30)*($E$14:$E$71=1)*(R$14:R$71="N/A")*$F$14:$F$71)))</f>
        <v/>
      </c>
      <c r="T30" s="22">
        <f>IF(R30="SI",S30,0)</f>
        <v/>
      </c>
      <c r="U30" s="21" t="n"/>
      <c r="V30" s="22">
        <f>IF(OR($E30=0,U$78=0),0,IF(AND(U30="N/A",$G30&lt;&gt;""),0,$F30+SUMPRODUCT(($G$14:$G$71=$A30)*($E$14:$E$71=1)*(U$14:U$71="N/A")*$F$14:$F$71)))</f>
        <v/>
      </c>
      <c r="W30" s="22">
        <f>IF(U30="SI",V30,0)</f>
        <v/>
      </c>
      <c r="X30" s="21" t="n"/>
      <c r="Y30" s="22">
        <f>IF(OR($E30=0,X$78=0),0,IF(AND(X30="N/A",$G30&lt;&gt;""),0,$F30+SUMPRODUCT(($G$14:$G$71=$A30)*($E$14:$E$71=1)*(X$14:X$71="N/A")*$F$14:$F$71)))</f>
        <v/>
      </c>
      <c r="Z30" s="22">
        <f>IF(X30="SI",Y30,0)</f>
        <v/>
      </c>
      <c r="AA30" s="22">
        <f>SUM(J30,M30,P30,S30,V30,Y30)</f>
        <v/>
      </c>
      <c r="AB30" s="22">
        <f>SUM(K30,N30,Q30,T30,W30,Z30)</f>
        <v/>
      </c>
      <c r="AC30" s="23">
        <f>IF(AA30=0,"",AB30/AA30)</f>
        <v/>
      </c>
      <c r="AD30" s="22">
        <f>CRITERIOS!Q18</f>
        <v/>
      </c>
      <c r="AE30" s="22">
        <f>IF(AND(E30=1,H30&lt;&gt;"X",((I30="N/A")+(L30="N/A")+(O30="N/A")+(R30="N/A")+(U30="N/A")+(X30="N/A"))&gt;0),"REVISAR","")</f>
        <v/>
      </c>
    </row>
    <row r="31">
      <c r="A31" s="24">
        <f>CRITERIOS!B19</f>
        <v/>
      </c>
      <c r="B31" s="24">
        <f>CRITERIOS!C19</f>
        <v/>
      </c>
      <c r="C31" s="25">
        <f>CRITERIOS!D19</f>
        <v/>
      </c>
      <c r="D31" s="24">
        <f>CRITERIOS!E19</f>
        <v/>
      </c>
      <c r="E31" s="24">
        <f>IFERROR(IF(AND(OR(CRITERIOS!F19="Todos",CRITERIOS!F19=$B$4),INDEX(CRITERIOS!H19:J19,MATCH($B$5,VARIABLES!$E$2:$E$4,0))=1),1,0),0)</f>
        <v/>
      </c>
      <c r="F31" s="24">
        <f>IFERROR(IF(E31=1,INDEX(CRITERIOS!K19:M19,MATCH($B$5,VARIABLES!$E$2:$E$4,0)),0),0)</f>
        <v/>
      </c>
      <c r="G31" s="24">
        <f>IF(CRITERIOS!N19="","",CRITERIOS!N19)</f>
        <v/>
      </c>
      <c r="H31" s="24">
        <f>IF(CRITERIOS!O19="","",CRITERIOS!O19)</f>
        <v/>
      </c>
      <c r="I31" s="21" t="n"/>
      <c r="J31" s="22">
        <f>IF(OR($E31=0,I$78=0),0,IF(AND(I31="N/A",$G31&lt;&gt;""),0,$F31+SUMPRODUCT(($G$14:$G$71=$A31)*($E$14:$E$71=1)*(I$14:I$71="N/A")*$F$14:$F$71)))</f>
        <v/>
      </c>
      <c r="K31" s="22">
        <f>IF(I31="SI",J31,0)</f>
        <v/>
      </c>
      <c r="L31" s="21" t="n"/>
      <c r="M31" s="22">
        <f>IF(OR($E31=0,L$78=0),0,IF(AND(L31="N/A",$G31&lt;&gt;""),0,$F31+SUMPRODUCT(($G$14:$G$71=$A31)*($E$14:$E$71=1)*(L$14:L$71="N/A")*$F$14:$F$71)))</f>
        <v/>
      </c>
      <c r="N31" s="22">
        <f>IF(L31="SI",M31,0)</f>
        <v/>
      </c>
      <c r="O31" s="21" t="n"/>
      <c r="P31" s="22">
        <f>IF(OR($E31=0,O$78=0),0,IF(AND(O31="N/A",$G31&lt;&gt;""),0,$F31+SUMPRODUCT(($G$14:$G$71=$A31)*($E$14:$E$71=1)*(O$14:O$71="N/A")*$F$14:$F$71)))</f>
        <v/>
      </c>
      <c r="Q31" s="22">
        <f>IF(O31="SI",P31,0)</f>
        <v/>
      </c>
      <c r="R31" s="21" t="n"/>
      <c r="S31" s="22">
        <f>IF(OR($E31=0,R$78=0),0,IF(AND(R31="N/A",$G31&lt;&gt;""),0,$F31+SUMPRODUCT(($G$14:$G$71=$A31)*($E$14:$E$71=1)*(R$14:R$71="N/A")*$F$14:$F$71)))</f>
        <v/>
      </c>
      <c r="T31" s="22">
        <f>IF(R31="SI",S31,0)</f>
        <v/>
      </c>
      <c r="U31" s="21" t="n"/>
      <c r="V31" s="22">
        <f>IF(OR($E31=0,U$78=0),0,IF(AND(U31="N/A",$G31&lt;&gt;""),0,$F31+SUMPRODUCT(($G$14:$G$71=$A31)*($E$14:$E$71=1)*(U$14:U$71="N/A")*$F$14:$F$71)))</f>
        <v/>
      </c>
      <c r="W31" s="22">
        <f>IF(U31="SI",V31,0)</f>
        <v/>
      </c>
      <c r="X31" s="21" t="n"/>
      <c r="Y31" s="22">
        <f>IF(OR($E31=0,X$78=0),0,IF(AND(X31="N/A",$G31&lt;&gt;""),0,$F31+SUMPRODUCT(($G$14:$G$71=$A31)*($E$14:$E$71=1)*(X$14:X$71="N/A")*$F$14:$F$71)))</f>
        <v/>
      </c>
      <c r="Z31" s="22">
        <f>IF(X31="SI",Y31,0)</f>
        <v/>
      </c>
      <c r="AA31" s="22">
        <f>SUM(J31,M31,P31,S31,V31,Y31)</f>
        <v/>
      </c>
      <c r="AB31" s="22">
        <f>SUM(K31,N31,Q31,T31,W31,Z31)</f>
        <v/>
      </c>
      <c r="AC31" s="23">
        <f>IF(AA31=0,"",AB31/AA31)</f>
        <v/>
      </c>
      <c r="AD31" s="22">
        <f>CRITERIOS!Q19</f>
        <v/>
      </c>
      <c r="AE31" s="22">
        <f>IF(AND(E31=1,H31&lt;&gt;"X",((I31="N/A")+(L31="N/A")+(O31="N/A")+(R31="N/A")+(U31="N/A")+(X31="N/A"))&gt;0),"REVISAR","")</f>
        <v/>
      </c>
    </row>
    <row r="32">
      <c r="A32" s="24">
        <f>CRITERIOS!B20</f>
        <v/>
      </c>
      <c r="B32" s="24">
        <f>CRITERIOS!C20</f>
        <v/>
      </c>
      <c r="C32" s="25">
        <f>CRITERIOS!D20</f>
        <v/>
      </c>
      <c r="D32" s="24">
        <f>CRITERIOS!E20</f>
        <v/>
      </c>
      <c r="E32" s="24">
        <f>IFERROR(IF(AND(OR(CRITERIOS!F20="Todos",CRITERIOS!F20=$B$4),INDEX(CRITERIOS!H20:J20,MATCH($B$5,VARIABLES!$E$2:$E$4,0))=1),1,0),0)</f>
        <v/>
      </c>
      <c r="F32" s="24">
        <f>IFERROR(IF(E32=1,INDEX(CRITERIOS!K20:M20,MATCH($B$5,VARIABLES!$E$2:$E$4,0)),0),0)</f>
        <v/>
      </c>
      <c r="G32" s="24">
        <f>IF(CRITERIOS!N20="","",CRITERIOS!N20)</f>
        <v/>
      </c>
      <c r="H32" s="24">
        <f>IF(CRITERIOS!O20="","",CRITERIOS!O20)</f>
        <v/>
      </c>
      <c r="I32" s="21" t="n"/>
      <c r="J32" s="22">
        <f>IF(OR($E32=0,I$78=0),0,IF(AND(I32="N/A",$G32&lt;&gt;""),0,$F32+SUMPRODUCT(($G$14:$G$71=$A32)*($E$14:$E$71=1)*(I$14:I$71="N/A")*$F$14:$F$71)))</f>
        <v/>
      </c>
      <c r="K32" s="22">
        <f>IF(I32="SI",J32,0)</f>
        <v/>
      </c>
      <c r="L32" s="21" t="n"/>
      <c r="M32" s="22">
        <f>IF(OR($E32=0,L$78=0),0,IF(AND(L32="N/A",$G32&lt;&gt;""),0,$F32+SUMPRODUCT(($G$14:$G$71=$A32)*($E$14:$E$71=1)*(L$14:L$71="N/A")*$F$14:$F$71)))</f>
        <v/>
      </c>
      <c r="N32" s="22">
        <f>IF(L32="SI",M32,0)</f>
        <v/>
      </c>
      <c r="O32" s="21" t="n"/>
      <c r="P32" s="22">
        <f>IF(OR($E32=0,O$78=0),0,IF(AND(O32="N/A",$G32&lt;&gt;""),0,$F32+SUMPRODUCT(($G$14:$G$71=$A32)*($E$14:$E$71=1)*(O$14:O$71="N/A")*$F$14:$F$71)))</f>
        <v/>
      </c>
      <c r="Q32" s="22">
        <f>IF(O32="SI",P32,0)</f>
        <v/>
      </c>
      <c r="R32" s="21" t="n"/>
      <c r="S32" s="22">
        <f>IF(OR($E32=0,R$78=0),0,IF(AND(R32="N/A",$G32&lt;&gt;""),0,$F32+SUMPRODUCT(($G$14:$G$71=$A32)*($E$14:$E$71=1)*(R$14:R$71="N/A")*$F$14:$F$71)))</f>
        <v/>
      </c>
      <c r="T32" s="22">
        <f>IF(R32="SI",S32,0)</f>
        <v/>
      </c>
      <c r="U32" s="21" t="n"/>
      <c r="V32" s="22">
        <f>IF(OR($E32=0,U$78=0),0,IF(AND(U32="N/A",$G32&lt;&gt;""),0,$F32+SUMPRODUCT(($G$14:$G$71=$A32)*($E$14:$E$71=1)*(U$14:U$71="N/A")*$F$14:$F$71)))</f>
        <v/>
      </c>
      <c r="W32" s="22">
        <f>IF(U32="SI",V32,0)</f>
        <v/>
      </c>
      <c r="X32" s="21" t="n"/>
      <c r="Y32" s="22">
        <f>IF(OR($E32=0,X$78=0),0,IF(AND(X32="N/A",$G32&lt;&gt;""),0,$F32+SUMPRODUCT(($G$14:$G$71=$A32)*($E$14:$E$71=1)*(X$14:X$71="N/A")*$F$14:$F$71)))</f>
        <v/>
      </c>
      <c r="Z32" s="22">
        <f>IF(X32="SI",Y32,0)</f>
        <v/>
      </c>
      <c r="AA32" s="22">
        <f>SUM(J32,M32,P32,S32,V32,Y32)</f>
        <v/>
      </c>
      <c r="AB32" s="22">
        <f>SUM(K32,N32,Q32,T32,W32,Z32)</f>
        <v/>
      </c>
      <c r="AC32" s="23">
        <f>IF(AA32=0,"",AB32/AA32)</f>
        <v/>
      </c>
      <c r="AD32" s="22">
        <f>CRITERIOS!Q20</f>
        <v/>
      </c>
      <c r="AE32" s="22">
        <f>IF(AND(E32=1,H32&lt;&gt;"X",((I32="N/A")+(L32="N/A")+(O32="N/A")+(R32="N/A")+(U32="N/A")+(X32="N/A"))&gt;0),"REVISAR","")</f>
        <v/>
      </c>
    </row>
    <row r="33">
      <c r="A33" s="24">
        <f>CRITERIOS!B21</f>
        <v/>
      </c>
      <c r="B33" s="24">
        <f>CRITERIOS!C21</f>
        <v/>
      </c>
      <c r="C33" s="25">
        <f>CRITERIOS!D21</f>
        <v/>
      </c>
      <c r="D33" s="24">
        <f>CRITERIOS!E21</f>
        <v/>
      </c>
      <c r="E33" s="24">
        <f>IFERROR(IF(AND(OR(CRITERIOS!F21="Todos",CRITERIOS!F21=$B$4),INDEX(CRITERIOS!H21:J21,MATCH($B$5,VARIABLES!$E$2:$E$4,0))=1),1,0),0)</f>
        <v/>
      </c>
      <c r="F33" s="24">
        <f>IFERROR(IF(E33=1,INDEX(CRITERIOS!K21:M21,MATCH($B$5,VARIABLES!$E$2:$E$4,0)),0),0)</f>
        <v/>
      </c>
      <c r="G33" s="24">
        <f>IF(CRITERIOS!N21="","",CRITERIOS!N21)</f>
        <v/>
      </c>
      <c r="H33" s="24">
        <f>IF(CRITERIOS!O21="","",CRITERIOS!O21)</f>
        <v/>
      </c>
      <c r="I33" s="21" t="n"/>
      <c r="J33" s="22">
        <f>IF(OR($E33=0,I$78=0),0,IF(AND(I33="N/A",$G33&lt;&gt;""),0,$F33+SUMPRODUCT(($G$14:$G$71=$A33)*($E$14:$E$71=1)*(I$14:I$71="N/A")*$F$14:$F$71)))</f>
        <v/>
      </c>
      <c r="K33" s="22">
        <f>IF(I33="SI",J33,0)</f>
        <v/>
      </c>
      <c r="L33" s="21" t="n"/>
      <c r="M33" s="22">
        <f>IF(OR($E33=0,L$78=0),0,IF(AND(L33="N/A",$G33&lt;&gt;""),0,$F33+SUMPRODUCT(($G$14:$G$71=$A33)*($E$14:$E$71=1)*(L$14:L$71="N/A")*$F$14:$F$71)))</f>
        <v/>
      </c>
      <c r="N33" s="22">
        <f>IF(L33="SI",M33,0)</f>
        <v/>
      </c>
      <c r="O33" s="21" t="n"/>
      <c r="P33" s="22">
        <f>IF(OR($E33=0,O$78=0),0,IF(AND(O33="N/A",$G33&lt;&gt;""),0,$F33+SUMPRODUCT(($G$14:$G$71=$A33)*($E$14:$E$71=1)*(O$14:O$71="N/A")*$F$14:$F$71)))</f>
        <v/>
      </c>
      <c r="Q33" s="22">
        <f>IF(O33="SI",P33,0)</f>
        <v/>
      </c>
      <c r="R33" s="21" t="n"/>
      <c r="S33" s="22">
        <f>IF(OR($E33=0,R$78=0),0,IF(AND(R33="N/A",$G33&lt;&gt;""),0,$F33+SUMPRODUCT(($G$14:$G$71=$A33)*($E$14:$E$71=1)*(R$14:R$71="N/A")*$F$14:$F$71)))</f>
        <v/>
      </c>
      <c r="T33" s="22">
        <f>IF(R33="SI",S33,0)</f>
        <v/>
      </c>
      <c r="U33" s="21" t="n"/>
      <c r="V33" s="22">
        <f>IF(OR($E33=0,U$78=0),0,IF(AND(U33="N/A",$G33&lt;&gt;""),0,$F33+SUMPRODUCT(($G$14:$G$71=$A33)*($E$14:$E$71=1)*(U$14:U$71="N/A")*$F$14:$F$71)))</f>
        <v/>
      </c>
      <c r="W33" s="22">
        <f>IF(U33="SI",V33,0)</f>
        <v/>
      </c>
      <c r="X33" s="21" t="n"/>
      <c r="Y33" s="22">
        <f>IF(OR($E33=0,X$78=0),0,IF(AND(X33="N/A",$G33&lt;&gt;""),0,$F33+SUMPRODUCT(($G$14:$G$71=$A33)*($E$14:$E$71=1)*(X$14:X$71="N/A")*$F$14:$F$71)))</f>
        <v/>
      </c>
      <c r="Z33" s="22">
        <f>IF(X33="SI",Y33,0)</f>
        <v/>
      </c>
      <c r="AA33" s="22">
        <f>SUM(J33,M33,P33,S33,V33,Y33)</f>
        <v/>
      </c>
      <c r="AB33" s="22">
        <f>SUM(K33,N33,Q33,T33,W33,Z33)</f>
        <v/>
      </c>
      <c r="AC33" s="23">
        <f>IF(AA33=0,"",AB33/AA33)</f>
        <v/>
      </c>
      <c r="AD33" s="22">
        <f>CRITERIOS!Q21</f>
        <v/>
      </c>
      <c r="AE33" s="22">
        <f>IF(AND(E33=1,H33&lt;&gt;"X",((I33="N/A")+(L33="N/A")+(O33="N/A")+(R33="N/A")+(U33="N/A")+(X33="N/A"))&gt;0),"REVISAR","")</f>
        <v/>
      </c>
    </row>
    <row r="34">
      <c r="A34" s="22">
        <f>CRITERIOS!B22</f>
        <v/>
      </c>
      <c r="B34" s="22">
        <f>CRITERIOS!C22</f>
        <v/>
      </c>
      <c r="C34" s="8">
        <f>CRITERIOS!D22</f>
        <v/>
      </c>
      <c r="D34" s="22">
        <f>CRITERIOS!E22</f>
        <v/>
      </c>
      <c r="E34" s="22">
        <f>IFERROR(IF(AND(OR(CRITERIOS!F22="Todos",CRITERIOS!F22=$B$4),INDEX(CRITERIOS!H22:J22,MATCH($B$5,VARIABLES!$E$2:$E$4,0))=1),1,0),0)</f>
        <v/>
      </c>
      <c r="F34" s="22">
        <f>IFERROR(IF(E34=1,INDEX(CRITERIOS!K22:M22,MATCH($B$5,VARIABLES!$E$2:$E$4,0)),0),0)</f>
        <v/>
      </c>
      <c r="G34" s="22">
        <f>IF(CRITERIOS!N22="","",CRITERIOS!N22)</f>
        <v/>
      </c>
      <c r="H34" s="22">
        <f>IF(CRITERIOS!O22="","",CRITERIOS!O22)</f>
        <v/>
      </c>
      <c r="I34" s="21" t="n"/>
      <c r="J34" s="22">
        <f>IF(OR($E34=0,I$78=0),0,IF(AND(I34="N/A",$G34&lt;&gt;""),0,$F34+SUMPRODUCT(($G$14:$G$71=$A34)*($E$14:$E$71=1)*(I$14:I$71="N/A")*$F$14:$F$71)))</f>
        <v/>
      </c>
      <c r="K34" s="22">
        <f>IF(I34="SI",J34,0)</f>
        <v/>
      </c>
      <c r="L34" s="21" t="n"/>
      <c r="M34" s="22">
        <f>IF(OR($E34=0,L$78=0),0,IF(AND(L34="N/A",$G34&lt;&gt;""),0,$F34+SUMPRODUCT(($G$14:$G$71=$A34)*($E$14:$E$71=1)*(L$14:L$71="N/A")*$F$14:$F$71)))</f>
        <v/>
      </c>
      <c r="N34" s="22">
        <f>IF(L34="SI",M34,0)</f>
        <v/>
      </c>
      <c r="O34" s="21" t="n"/>
      <c r="P34" s="22">
        <f>IF(OR($E34=0,O$78=0),0,IF(AND(O34="N/A",$G34&lt;&gt;""),0,$F34+SUMPRODUCT(($G$14:$G$71=$A34)*($E$14:$E$71=1)*(O$14:O$71="N/A")*$F$14:$F$71)))</f>
        <v/>
      </c>
      <c r="Q34" s="22">
        <f>IF(O34="SI",P34,0)</f>
        <v/>
      </c>
      <c r="R34" s="21" t="n"/>
      <c r="S34" s="22">
        <f>IF(OR($E34=0,R$78=0),0,IF(AND(R34="N/A",$G34&lt;&gt;""),0,$F34+SUMPRODUCT(($G$14:$G$71=$A34)*($E$14:$E$71=1)*(R$14:R$71="N/A")*$F$14:$F$71)))</f>
        <v/>
      </c>
      <c r="T34" s="22">
        <f>IF(R34="SI",S34,0)</f>
        <v/>
      </c>
      <c r="U34" s="21" t="n"/>
      <c r="V34" s="22">
        <f>IF(OR($E34=0,U$78=0),0,IF(AND(U34="N/A",$G34&lt;&gt;""),0,$F34+SUMPRODUCT(($G$14:$G$71=$A34)*($E$14:$E$71=1)*(U$14:U$71="N/A")*$F$14:$F$71)))</f>
        <v/>
      </c>
      <c r="W34" s="22">
        <f>IF(U34="SI",V34,0)</f>
        <v/>
      </c>
      <c r="X34" s="21" t="n"/>
      <c r="Y34" s="22">
        <f>IF(OR($E34=0,X$78=0),0,IF(AND(X34="N/A",$G34&lt;&gt;""),0,$F34+SUMPRODUCT(($G$14:$G$71=$A34)*($E$14:$E$71=1)*(X$14:X$71="N/A")*$F$14:$F$71)))</f>
        <v/>
      </c>
      <c r="Z34" s="22">
        <f>IF(X34="SI",Y34,0)</f>
        <v/>
      </c>
      <c r="AA34" s="22">
        <f>SUM(J34,M34,P34,S34,V34,Y34)</f>
        <v/>
      </c>
      <c r="AB34" s="22">
        <f>SUM(K34,N34,Q34,T34,W34,Z34)</f>
        <v/>
      </c>
      <c r="AC34" s="23">
        <f>IF(AA34=0,"",AB34/AA34)</f>
        <v/>
      </c>
      <c r="AD34" s="22">
        <f>CRITERIOS!Q22</f>
        <v/>
      </c>
      <c r="AE34" s="22">
        <f>IF(AND(E34=1,H34&lt;&gt;"X",((I34="N/A")+(L34="N/A")+(O34="N/A")+(R34="N/A")+(U34="N/A")+(X34="N/A"))&gt;0),"REVISAR","")</f>
        <v/>
      </c>
    </row>
    <row r="35">
      <c r="A35" s="22">
        <f>CRITERIOS!B23</f>
        <v/>
      </c>
      <c r="B35" s="22">
        <f>CRITERIOS!C23</f>
        <v/>
      </c>
      <c r="C35" s="8">
        <f>CRITERIOS!D23</f>
        <v/>
      </c>
      <c r="D35" s="22">
        <f>CRITERIOS!E23</f>
        <v/>
      </c>
      <c r="E35" s="22">
        <f>IFERROR(IF(AND(OR(CRITERIOS!F23="Todos",CRITERIOS!F23=$B$4),INDEX(CRITERIOS!H23:J23,MATCH($B$5,VARIABLES!$E$2:$E$4,0))=1),1,0),0)</f>
        <v/>
      </c>
      <c r="F35" s="22">
        <f>IFERROR(IF(E35=1,INDEX(CRITERIOS!K23:M23,MATCH($B$5,VARIABLES!$E$2:$E$4,0)),0),0)</f>
        <v/>
      </c>
      <c r="G35" s="22">
        <f>IF(CRITERIOS!N23="","",CRITERIOS!N23)</f>
        <v/>
      </c>
      <c r="H35" s="22">
        <f>IF(CRITERIOS!O23="","",CRITERIOS!O23)</f>
        <v/>
      </c>
      <c r="I35" s="21" t="n"/>
      <c r="J35" s="22">
        <f>IF(OR($E35=0,I$78=0),0,IF(AND(I35="N/A",$G35&lt;&gt;""),0,$F35+SUMPRODUCT(($G$14:$G$71=$A35)*($E$14:$E$71=1)*(I$14:I$71="N/A")*$F$14:$F$71)))</f>
        <v/>
      </c>
      <c r="K35" s="22">
        <f>IF(I35="SI",J35,0)</f>
        <v/>
      </c>
      <c r="L35" s="21" t="n"/>
      <c r="M35" s="22">
        <f>IF(OR($E35=0,L$78=0),0,IF(AND(L35="N/A",$G35&lt;&gt;""),0,$F35+SUMPRODUCT(($G$14:$G$71=$A35)*($E$14:$E$71=1)*(L$14:L$71="N/A")*$F$14:$F$71)))</f>
        <v/>
      </c>
      <c r="N35" s="22">
        <f>IF(L35="SI",M35,0)</f>
        <v/>
      </c>
      <c r="O35" s="21" t="n"/>
      <c r="P35" s="22">
        <f>IF(OR($E35=0,O$78=0),0,IF(AND(O35="N/A",$G35&lt;&gt;""),0,$F35+SUMPRODUCT(($G$14:$G$71=$A35)*($E$14:$E$71=1)*(O$14:O$71="N/A")*$F$14:$F$71)))</f>
        <v/>
      </c>
      <c r="Q35" s="22">
        <f>IF(O35="SI",P35,0)</f>
        <v/>
      </c>
      <c r="R35" s="21" t="n"/>
      <c r="S35" s="22">
        <f>IF(OR($E35=0,R$78=0),0,IF(AND(R35="N/A",$G35&lt;&gt;""),0,$F35+SUMPRODUCT(($G$14:$G$71=$A35)*($E$14:$E$71=1)*(R$14:R$71="N/A")*$F$14:$F$71)))</f>
        <v/>
      </c>
      <c r="T35" s="22">
        <f>IF(R35="SI",S35,0)</f>
        <v/>
      </c>
      <c r="U35" s="21" t="n"/>
      <c r="V35" s="22">
        <f>IF(OR($E35=0,U$78=0),0,IF(AND(U35="N/A",$G35&lt;&gt;""),0,$F35+SUMPRODUCT(($G$14:$G$71=$A35)*($E$14:$E$71=1)*(U$14:U$71="N/A")*$F$14:$F$71)))</f>
        <v/>
      </c>
      <c r="W35" s="22">
        <f>IF(U35="SI",V35,0)</f>
        <v/>
      </c>
      <c r="X35" s="21" t="n"/>
      <c r="Y35" s="22">
        <f>IF(OR($E35=0,X$78=0),0,IF(AND(X35="N/A",$G35&lt;&gt;""),0,$F35+SUMPRODUCT(($G$14:$G$71=$A35)*($E$14:$E$71=1)*(X$14:X$71="N/A")*$F$14:$F$71)))</f>
        <v/>
      </c>
      <c r="Z35" s="22">
        <f>IF(X35="SI",Y35,0)</f>
        <v/>
      </c>
      <c r="AA35" s="22">
        <f>SUM(J35,M35,P35,S35,V35,Y35)</f>
        <v/>
      </c>
      <c r="AB35" s="22">
        <f>SUM(K35,N35,Q35,T35,W35,Z35)</f>
        <v/>
      </c>
      <c r="AC35" s="23">
        <f>IF(AA35=0,"",AB35/AA35)</f>
        <v/>
      </c>
      <c r="AD35" s="22">
        <f>CRITERIOS!Q23</f>
        <v/>
      </c>
      <c r="AE35" s="22">
        <f>IF(AND(E35=1,H35&lt;&gt;"X",((I35="N/A")+(L35="N/A")+(O35="N/A")+(R35="N/A")+(U35="N/A")+(X35="N/A"))&gt;0),"REVISAR","")</f>
        <v/>
      </c>
    </row>
    <row r="36">
      <c r="A36" s="22">
        <f>CRITERIOS!B24</f>
        <v/>
      </c>
      <c r="B36" s="22">
        <f>CRITERIOS!C24</f>
        <v/>
      </c>
      <c r="C36" s="8">
        <f>CRITERIOS!D24</f>
        <v/>
      </c>
      <c r="D36" s="22">
        <f>CRITERIOS!E24</f>
        <v/>
      </c>
      <c r="E36" s="22">
        <f>IFERROR(IF(AND(OR(CRITERIOS!F24="Todos",CRITERIOS!F24=$B$4),INDEX(CRITERIOS!H24:J24,MATCH($B$5,VARIABLES!$E$2:$E$4,0))=1),1,0),0)</f>
        <v/>
      </c>
      <c r="F36" s="22">
        <f>IFERROR(IF(E36=1,INDEX(CRITERIOS!K24:M24,MATCH($B$5,VARIABLES!$E$2:$E$4,0)),0),0)</f>
        <v/>
      </c>
      <c r="G36" s="22">
        <f>IF(CRITERIOS!N24="","",CRITERIOS!N24)</f>
        <v/>
      </c>
      <c r="H36" s="22">
        <f>IF(CRITERIOS!O24="","",CRITERIOS!O24)</f>
        <v/>
      </c>
      <c r="I36" s="21" t="n"/>
      <c r="J36" s="22">
        <f>IF(OR($E36=0,I$78=0),0,IF(AND(I36="N/A",$G36&lt;&gt;""),0,$F36+SUMPRODUCT(($G$14:$G$71=$A36)*($E$14:$E$71=1)*(I$14:I$71="N/A")*$F$14:$F$71)))</f>
        <v/>
      </c>
      <c r="K36" s="22">
        <f>IF(I36="SI",J36,0)</f>
        <v/>
      </c>
      <c r="L36" s="21" t="n"/>
      <c r="M36" s="22">
        <f>IF(OR($E36=0,L$78=0),0,IF(AND(L36="N/A",$G36&lt;&gt;""),0,$F36+SUMPRODUCT(($G$14:$G$71=$A36)*($E$14:$E$71=1)*(L$14:L$71="N/A")*$F$14:$F$71)))</f>
        <v/>
      </c>
      <c r="N36" s="22">
        <f>IF(L36="SI",M36,0)</f>
        <v/>
      </c>
      <c r="O36" s="21" t="n"/>
      <c r="P36" s="22">
        <f>IF(OR($E36=0,O$78=0),0,IF(AND(O36="N/A",$G36&lt;&gt;""),0,$F36+SUMPRODUCT(($G$14:$G$71=$A36)*($E$14:$E$71=1)*(O$14:O$71="N/A")*$F$14:$F$71)))</f>
        <v/>
      </c>
      <c r="Q36" s="22">
        <f>IF(O36="SI",P36,0)</f>
        <v/>
      </c>
      <c r="R36" s="21" t="n"/>
      <c r="S36" s="22">
        <f>IF(OR($E36=0,R$78=0),0,IF(AND(R36="N/A",$G36&lt;&gt;""),0,$F36+SUMPRODUCT(($G$14:$G$71=$A36)*($E$14:$E$71=1)*(R$14:R$71="N/A")*$F$14:$F$71)))</f>
        <v/>
      </c>
      <c r="T36" s="22">
        <f>IF(R36="SI",S36,0)</f>
        <v/>
      </c>
      <c r="U36" s="21" t="n"/>
      <c r="V36" s="22">
        <f>IF(OR($E36=0,U$78=0),0,IF(AND(U36="N/A",$G36&lt;&gt;""),0,$F36+SUMPRODUCT(($G$14:$G$71=$A36)*($E$14:$E$71=1)*(U$14:U$71="N/A")*$F$14:$F$71)))</f>
        <v/>
      </c>
      <c r="W36" s="22">
        <f>IF(U36="SI",V36,0)</f>
        <v/>
      </c>
      <c r="X36" s="21" t="n"/>
      <c r="Y36" s="22">
        <f>IF(OR($E36=0,X$78=0),0,IF(AND(X36="N/A",$G36&lt;&gt;""),0,$F36+SUMPRODUCT(($G$14:$G$71=$A36)*($E$14:$E$71=1)*(X$14:X$71="N/A")*$F$14:$F$71)))</f>
        <v/>
      </c>
      <c r="Z36" s="22">
        <f>IF(X36="SI",Y36,0)</f>
        <v/>
      </c>
      <c r="AA36" s="22">
        <f>SUM(J36,M36,P36,S36,V36,Y36)</f>
        <v/>
      </c>
      <c r="AB36" s="22">
        <f>SUM(K36,N36,Q36,T36,W36,Z36)</f>
        <v/>
      </c>
      <c r="AC36" s="23">
        <f>IF(AA36=0,"",AB36/AA36)</f>
        <v/>
      </c>
      <c r="AD36" s="22">
        <f>CRITERIOS!Q24</f>
        <v/>
      </c>
      <c r="AE36" s="22">
        <f>IF(AND(E36=1,H36&lt;&gt;"X",((I36="N/A")+(L36="N/A")+(O36="N/A")+(R36="N/A")+(U36="N/A")+(X36="N/A"))&gt;0),"REVISAR","")</f>
        <v/>
      </c>
    </row>
    <row r="37">
      <c r="A37" s="22">
        <f>CRITERIOS!B25</f>
        <v/>
      </c>
      <c r="B37" s="22">
        <f>CRITERIOS!C25</f>
        <v/>
      </c>
      <c r="C37" s="8">
        <f>CRITERIOS!D25</f>
        <v/>
      </c>
      <c r="D37" s="22">
        <f>CRITERIOS!E25</f>
        <v/>
      </c>
      <c r="E37" s="22">
        <f>IFERROR(IF(AND(OR(CRITERIOS!F25="Todos",CRITERIOS!F25=$B$4),INDEX(CRITERIOS!H25:J25,MATCH($B$5,VARIABLES!$E$2:$E$4,0))=1),1,0),0)</f>
        <v/>
      </c>
      <c r="F37" s="22">
        <f>IFERROR(IF(E37=1,INDEX(CRITERIOS!K25:M25,MATCH($B$5,VARIABLES!$E$2:$E$4,0)),0),0)</f>
        <v/>
      </c>
      <c r="G37" s="22">
        <f>IF(CRITERIOS!N25="","",CRITERIOS!N25)</f>
        <v/>
      </c>
      <c r="H37" s="22">
        <f>IF(CRITERIOS!O25="","",CRITERIOS!O25)</f>
        <v/>
      </c>
      <c r="I37" s="21" t="n"/>
      <c r="J37" s="22">
        <f>IF(OR($E37=0,I$78=0),0,IF(AND(I37="N/A",$G37&lt;&gt;""),0,$F37+SUMPRODUCT(($G$14:$G$71=$A37)*($E$14:$E$71=1)*(I$14:I$71="N/A")*$F$14:$F$71)))</f>
        <v/>
      </c>
      <c r="K37" s="22">
        <f>IF(I37="SI",J37,0)</f>
        <v/>
      </c>
      <c r="L37" s="21" t="n"/>
      <c r="M37" s="22">
        <f>IF(OR($E37=0,L$78=0),0,IF(AND(L37="N/A",$G37&lt;&gt;""),0,$F37+SUMPRODUCT(($G$14:$G$71=$A37)*($E$14:$E$71=1)*(L$14:L$71="N/A")*$F$14:$F$71)))</f>
        <v/>
      </c>
      <c r="N37" s="22">
        <f>IF(L37="SI",M37,0)</f>
        <v/>
      </c>
      <c r="O37" s="21" t="n"/>
      <c r="P37" s="22">
        <f>IF(OR($E37=0,O$78=0),0,IF(AND(O37="N/A",$G37&lt;&gt;""),0,$F37+SUMPRODUCT(($G$14:$G$71=$A37)*($E$14:$E$71=1)*(O$14:O$71="N/A")*$F$14:$F$71)))</f>
        <v/>
      </c>
      <c r="Q37" s="22">
        <f>IF(O37="SI",P37,0)</f>
        <v/>
      </c>
      <c r="R37" s="21" t="n"/>
      <c r="S37" s="22">
        <f>IF(OR($E37=0,R$78=0),0,IF(AND(R37="N/A",$G37&lt;&gt;""),0,$F37+SUMPRODUCT(($G$14:$G$71=$A37)*($E$14:$E$71=1)*(R$14:R$71="N/A")*$F$14:$F$71)))</f>
        <v/>
      </c>
      <c r="T37" s="22">
        <f>IF(R37="SI",S37,0)</f>
        <v/>
      </c>
      <c r="U37" s="21" t="n"/>
      <c r="V37" s="22">
        <f>IF(OR($E37=0,U$78=0),0,IF(AND(U37="N/A",$G37&lt;&gt;""),0,$F37+SUMPRODUCT(($G$14:$G$71=$A37)*($E$14:$E$71=1)*(U$14:U$71="N/A")*$F$14:$F$71)))</f>
        <v/>
      </c>
      <c r="W37" s="22">
        <f>IF(U37="SI",V37,0)</f>
        <v/>
      </c>
      <c r="X37" s="21" t="n"/>
      <c r="Y37" s="22">
        <f>IF(OR($E37=0,X$78=0),0,IF(AND(X37="N/A",$G37&lt;&gt;""),0,$F37+SUMPRODUCT(($G$14:$G$71=$A37)*($E$14:$E$71=1)*(X$14:X$71="N/A")*$F$14:$F$71)))</f>
        <v/>
      </c>
      <c r="Z37" s="22">
        <f>IF(X37="SI",Y37,0)</f>
        <v/>
      </c>
      <c r="AA37" s="22">
        <f>SUM(J37,M37,P37,S37,V37,Y37)</f>
        <v/>
      </c>
      <c r="AB37" s="22">
        <f>SUM(K37,N37,Q37,T37,W37,Z37)</f>
        <v/>
      </c>
      <c r="AC37" s="23">
        <f>IF(AA37=0,"",AB37/AA37)</f>
        <v/>
      </c>
      <c r="AD37" s="22">
        <f>CRITERIOS!Q25</f>
        <v/>
      </c>
      <c r="AE37" s="22">
        <f>IF(AND(E37=1,H37&lt;&gt;"X",((I37="N/A")+(L37="N/A")+(O37="N/A")+(R37="N/A")+(U37="N/A")+(X37="N/A"))&gt;0),"REVISAR","")</f>
        <v/>
      </c>
    </row>
    <row r="38">
      <c r="A38" s="22">
        <f>CRITERIOS!B26</f>
        <v/>
      </c>
      <c r="B38" s="22">
        <f>CRITERIOS!C26</f>
        <v/>
      </c>
      <c r="C38" s="8">
        <f>CRITERIOS!D26</f>
        <v/>
      </c>
      <c r="D38" s="22">
        <f>CRITERIOS!E26</f>
        <v/>
      </c>
      <c r="E38" s="22">
        <f>IFERROR(IF(AND(OR(CRITERIOS!F26="Todos",CRITERIOS!F26=$B$4),INDEX(CRITERIOS!H26:J26,MATCH($B$5,VARIABLES!$E$2:$E$4,0))=1),1,0),0)</f>
        <v/>
      </c>
      <c r="F38" s="22">
        <f>IFERROR(IF(E38=1,INDEX(CRITERIOS!K26:M26,MATCH($B$5,VARIABLES!$E$2:$E$4,0)),0),0)</f>
        <v/>
      </c>
      <c r="G38" s="22">
        <f>IF(CRITERIOS!N26="","",CRITERIOS!N26)</f>
        <v/>
      </c>
      <c r="H38" s="22">
        <f>IF(CRITERIOS!O26="","",CRITERIOS!O26)</f>
        <v/>
      </c>
      <c r="I38" s="21" t="n"/>
      <c r="J38" s="22">
        <f>IF(OR($E38=0,I$78=0),0,IF(AND(I38="N/A",$G38&lt;&gt;""),0,$F38+SUMPRODUCT(($G$14:$G$71=$A38)*($E$14:$E$71=1)*(I$14:I$71="N/A")*$F$14:$F$71)))</f>
        <v/>
      </c>
      <c r="K38" s="22">
        <f>IF(I38="SI",J38,0)</f>
        <v/>
      </c>
      <c r="L38" s="21" t="n"/>
      <c r="M38" s="22">
        <f>IF(OR($E38=0,L$78=0),0,IF(AND(L38="N/A",$G38&lt;&gt;""),0,$F38+SUMPRODUCT(($G$14:$G$71=$A38)*($E$14:$E$71=1)*(L$14:L$71="N/A")*$F$14:$F$71)))</f>
        <v/>
      </c>
      <c r="N38" s="22">
        <f>IF(L38="SI",M38,0)</f>
        <v/>
      </c>
      <c r="O38" s="21" t="n"/>
      <c r="P38" s="22">
        <f>IF(OR($E38=0,O$78=0),0,IF(AND(O38="N/A",$G38&lt;&gt;""),0,$F38+SUMPRODUCT(($G$14:$G$71=$A38)*($E$14:$E$71=1)*(O$14:O$71="N/A")*$F$14:$F$71)))</f>
        <v/>
      </c>
      <c r="Q38" s="22">
        <f>IF(O38="SI",P38,0)</f>
        <v/>
      </c>
      <c r="R38" s="21" t="n"/>
      <c r="S38" s="22">
        <f>IF(OR($E38=0,R$78=0),0,IF(AND(R38="N/A",$G38&lt;&gt;""),0,$F38+SUMPRODUCT(($G$14:$G$71=$A38)*($E$14:$E$71=1)*(R$14:R$71="N/A")*$F$14:$F$71)))</f>
        <v/>
      </c>
      <c r="T38" s="22">
        <f>IF(R38="SI",S38,0)</f>
        <v/>
      </c>
      <c r="U38" s="21" t="n"/>
      <c r="V38" s="22">
        <f>IF(OR($E38=0,U$78=0),0,IF(AND(U38="N/A",$G38&lt;&gt;""),0,$F38+SUMPRODUCT(($G$14:$G$71=$A38)*($E$14:$E$71=1)*(U$14:U$71="N/A")*$F$14:$F$71)))</f>
        <v/>
      </c>
      <c r="W38" s="22">
        <f>IF(U38="SI",V38,0)</f>
        <v/>
      </c>
      <c r="X38" s="21" t="n"/>
      <c r="Y38" s="22">
        <f>IF(OR($E38=0,X$78=0),0,IF(AND(X38="N/A",$G38&lt;&gt;""),0,$F38+SUMPRODUCT(($G$14:$G$71=$A38)*($E$14:$E$71=1)*(X$14:X$71="N/A")*$F$14:$F$71)))</f>
        <v/>
      </c>
      <c r="Z38" s="22">
        <f>IF(X38="SI",Y38,0)</f>
        <v/>
      </c>
      <c r="AA38" s="22">
        <f>SUM(J38,M38,P38,S38,V38,Y38)</f>
        <v/>
      </c>
      <c r="AB38" s="22">
        <f>SUM(K38,N38,Q38,T38,W38,Z38)</f>
        <v/>
      </c>
      <c r="AC38" s="23">
        <f>IF(AA38=0,"",AB38/AA38)</f>
        <v/>
      </c>
      <c r="AD38" s="22">
        <f>CRITERIOS!Q26</f>
        <v/>
      </c>
      <c r="AE38" s="22">
        <f>IF(AND(E38=1,H38&lt;&gt;"X",((I38="N/A")+(L38="N/A")+(O38="N/A")+(R38="N/A")+(U38="N/A")+(X38="N/A"))&gt;0),"REVISAR","")</f>
        <v/>
      </c>
    </row>
    <row r="39">
      <c r="A39" s="22">
        <f>CRITERIOS!B27</f>
        <v/>
      </c>
      <c r="B39" s="22">
        <f>CRITERIOS!C27</f>
        <v/>
      </c>
      <c r="C39" s="8">
        <f>CRITERIOS!D27</f>
        <v/>
      </c>
      <c r="D39" s="22">
        <f>CRITERIOS!E27</f>
        <v/>
      </c>
      <c r="E39" s="22">
        <f>IFERROR(IF(AND(OR(CRITERIOS!F27="Todos",CRITERIOS!F27=$B$4),INDEX(CRITERIOS!H27:J27,MATCH($B$5,VARIABLES!$E$2:$E$4,0))=1),1,0),0)</f>
        <v/>
      </c>
      <c r="F39" s="22">
        <f>IFERROR(IF(E39=1,INDEX(CRITERIOS!K27:M27,MATCH($B$5,VARIABLES!$E$2:$E$4,0)),0),0)</f>
        <v/>
      </c>
      <c r="G39" s="22">
        <f>IF(CRITERIOS!N27="","",CRITERIOS!N27)</f>
        <v/>
      </c>
      <c r="H39" s="22">
        <f>IF(CRITERIOS!O27="","",CRITERIOS!O27)</f>
        <v/>
      </c>
      <c r="I39" s="21" t="n"/>
      <c r="J39" s="22">
        <f>IF(OR($E39=0,I$78=0),0,IF(AND(I39="N/A",$G39&lt;&gt;""),0,$F39+SUMPRODUCT(($G$14:$G$71=$A39)*($E$14:$E$71=1)*(I$14:I$71="N/A")*$F$14:$F$71)))</f>
        <v/>
      </c>
      <c r="K39" s="22">
        <f>IF(I39="SI",J39,0)</f>
        <v/>
      </c>
      <c r="L39" s="21" t="n"/>
      <c r="M39" s="22">
        <f>IF(OR($E39=0,L$78=0),0,IF(AND(L39="N/A",$G39&lt;&gt;""),0,$F39+SUMPRODUCT(($G$14:$G$71=$A39)*($E$14:$E$71=1)*(L$14:L$71="N/A")*$F$14:$F$71)))</f>
        <v/>
      </c>
      <c r="N39" s="22">
        <f>IF(L39="SI",M39,0)</f>
        <v/>
      </c>
      <c r="O39" s="21" t="n"/>
      <c r="P39" s="22">
        <f>IF(OR($E39=0,O$78=0),0,IF(AND(O39="N/A",$G39&lt;&gt;""),0,$F39+SUMPRODUCT(($G$14:$G$71=$A39)*($E$14:$E$71=1)*(O$14:O$71="N/A")*$F$14:$F$71)))</f>
        <v/>
      </c>
      <c r="Q39" s="22">
        <f>IF(O39="SI",P39,0)</f>
        <v/>
      </c>
      <c r="R39" s="21" t="n"/>
      <c r="S39" s="22">
        <f>IF(OR($E39=0,R$78=0),0,IF(AND(R39="N/A",$G39&lt;&gt;""),0,$F39+SUMPRODUCT(($G$14:$G$71=$A39)*($E$14:$E$71=1)*(R$14:R$71="N/A")*$F$14:$F$71)))</f>
        <v/>
      </c>
      <c r="T39" s="22">
        <f>IF(R39="SI",S39,0)</f>
        <v/>
      </c>
      <c r="U39" s="21" t="n"/>
      <c r="V39" s="22">
        <f>IF(OR($E39=0,U$78=0),0,IF(AND(U39="N/A",$G39&lt;&gt;""),0,$F39+SUMPRODUCT(($G$14:$G$71=$A39)*($E$14:$E$71=1)*(U$14:U$71="N/A")*$F$14:$F$71)))</f>
        <v/>
      </c>
      <c r="W39" s="22">
        <f>IF(U39="SI",V39,0)</f>
        <v/>
      </c>
      <c r="X39" s="21" t="n"/>
      <c r="Y39" s="22">
        <f>IF(OR($E39=0,X$78=0),0,IF(AND(X39="N/A",$G39&lt;&gt;""),0,$F39+SUMPRODUCT(($G$14:$G$71=$A39)*($E$14:$E$71=1)*(X$14:X$71="N/A")*$F$14:$F$71)))</f>
        <v/>
      </c>
      <c r="Z39" s="22">
        <f>IF(X39="SI",Y39,0)</f>
        <v/>
      </c>
      <c r="AA39" s="22">
        <f>SUM(J39,M39,P39,S39,V39,Y39)</f>
        <v/>
      </c>
      <c r="AB39" s="22">
        <f>SUM(K39,N39,Q39,T39,W39,Z39)</f>
        <v/>
      </c>
      <c r="AC39" s="23">
        <f>IF(AA39=0,"",AB39/AA39)</f>
        <v/>
      </c>
      <c r="AD39" s="22">
        <f>CRITERIOS!Q27</f>
        <v/>
      </c>
      <c r="AE39" s="22">
        <f>IF(AND(E39=1,H39&lt;&gt;"X",((I39="N/A")+(L39="N/A")+(O39="N/A")+(R39="N/A")+(U39="N/A")+(X39="N/A"))&gt;0),"REVISAR","")</f>
        <v/>
      </c>
    </row>
    <row r="40">
      <c r="A40" s="22">
        <f>CRITERIOS!B28</f>
        <v/>
      </c>
      <c r="B40" s="22">
        <f>CRITERIOS!C28</f>
        <v/>
      </c>
      <c r="C40" s="8">
        <f>CRITERIOS!D28</f>
        <v/>
      </c>
      <c r="D40" s="22">
        <f>CRITERIOS!E28</f>
        <v/>
      </c>
      <c r="E40" s="22">
        <f>IFERROR(IF(AND(OR(CRITERIOS!F28="Todos",CRITERIOS!F28=$B$4),INDEX(CRITERIOS!H28:J28,MATCH($B$5,VARIABLES!$E$2:$E$4,0))=1),1,0),0)</f>
        <v/>
      </c>
      <c r="F40" s="22">
        <f>IFERROR(IF(E40=1,INDEX(CRITERIOS!K28:M28,MATCH($B$5,VARIABLES!$E$2:$E$4,0)),0),0)</f>
        <v/>
      </c>
      <c r="G40" s="22">
        <f>IF(CRITERIOS!N28="","",CRITERIOS!N28)</f>
        <v/>
      </c>
      <c r="H40" s="22">
        <f>IF(CRITERIOS!O28="","",CRITERIOS!O28)</f>
        <v/>
      </c>
      <c r="I40" s="21" t="n"/>
      <c r="J40" s="22">
        <f>IF(OR($E40=0,I$78=0),0,IF(AND(I40="N/A",$G40&lt;&gt;""),0,$F40+SUMPRODUCT(($G$14:$G$71=$A40)*($E$14:$E$71=1)*(I$14:I$71="N/A")*$F$14:$F$71)))</f>
        <v/>
      </c>
      <c r="K40" s="22">
        <f>IF(I40="SI",J40,0)</f>
        <v/>
      </c>
      <c r="L40" s="21" t="n"/>
      <c r="M40" s="22">
        <f>IF(OR($E40=0,L$78=0),0,IF(AND(L40="N/A",$G40&lt;&gt;""),0,$F40+SUMPRODUCT(($G$14:$G$71=$A40)*($E$14:$E$71=1)*(L$14:L$71="N/A")*$F$14:$F$71)))</f>
        <v/>
      </c>
      <c r="N40" s="22">
        <f>IF(L40="SI",M40,0)</f>
        <v/>
      </c>
      <c r="O40" s="21" t="n"/>
      <c r="P40" s="22">
        <f>IF(OR($E40=0,O$78=0),0,IF(AND(O40="N/A",$G40&lt;&gt;""),0,$F40+SUMPRODUCT(($G$14:$G$71=$A40)*($E$14:$E$71=1)*(O$14:O$71="N/A")*$F$14:$F$71)))</f>
        <v/>
      </c>
      <c r="Q40" s="22">
        <f>IF(O40="SI",P40,0)</f>
        <v/>
      </c>
      <c r="R40" s="21" t="n"/>
      <c r="S40" s="22">
        <f>IF(OR($E40=0,R$78=0),0,IF(AND(R40="N/A",$G40&lt;&gt;""),0,$F40+SUMPRODUCT(($G$14:$G$71=$A40)*($E$14:$E$71=1)*(R$14:R$71="N/A")*$F$14:$F$71)))</f>
        <v/>
      </c>
      <c r="T40" s="22">
        <f>IF(R40="SI",S40,0)</f>
        <v/>
      </c>
      <c r="U40" s="21" t="n"/>
      <c r="V40" s="22">
        <f>IF(OR($E40=0,U$78=0),0,IF(AND(U40="N/A",$G40&lt;&gt;""),0,$F40+SUMPRODUCT(($G$14:$G$71=$A40)*($E$14:$E$71=1)*(U$14:U$71="N/A")*$F$14:$F$71)))</f>
        <v/>
      </c>
      <c r="W40" s="22">
        <f>IF(U40="SI",V40,0)</f>
        <v/>
      </c>
      <c r="X40" s="21" t="n"/>
      <c r="Y40" s="22">
        <f>IF(OR($E40=0,X$78=0),0,IF(AND(X40="N/A",$G40&lt;&gt;""),0,$F40+SUMPRODUCT(($G$14:$G$71=$A40)*($E$14:$E$71=1)*(X$14:X$71="N/A")*$F$14:$F$71)))</f>
        <v/>
      </c>
      <c r="Z40" s="22">
        <f>IF(X40="SI",Y40,0)</f>
        <v/>
      </c>
      <c r="AA40" s="22">
        <f>SUM(J40,M40,P40,S40,V40,Y40)</f>
        <v/>
      </c>
      <c r="AB40" s="22">
        <f>SUM(K40,N40,Q40,T40,W40,Z40)</f>
        <v/>
      </c>
      <c r="AC40" s="23">
        <f>IF(AA40=0,"",AB40/AA40)</f>
        <v/>
      </c>
      <c r="AD40" s="22">
        <f>CRITERIOS!Q28</f>
        <v/>
      </c>
      <c r="AE40" s="22">
        <f>IF(AND(E40=1,H40&lt;&gt;"X",((I40="N/A")+(L40="N/A")+(O40="N/A")+(R40="N/A")+(U40="N/A")+(X40="N/A"))&gt;0),"REVISAR","")</f>
        <v/>
      </c>
    </row>
    <row r="41">
      <c r="A41" s="22">
        <f>CRITERIOS!B29</f>
        <v/>
      </c>
      <c r="B41" s="22">
        <f>CRITERIOS!C29</f>
        <v/>
      </c>
      <c r="C41" s="8">
        <f>CRITERIOS!D29</f>
        <v/>
      </c>
      <c r="D41" s="22">
        <f>CRITERIOS!E29</f>
        <v/>
      </c>
      <c r="E41" s="22">
        <f>IFERROR(IF(AND(OR(CRITERIOS!F29="Todos",CRITERIOS!F29=$B$4),INDEX(CRITERIOS!H29:J29,MATCH($B$5,VARIABLES!$E$2:$E$4,0))=1),1,0),0)</f>
        <v/>
      </c>
      <c r="F41" s="22">
        <f>IFERROR(IF(E41=1,INDEX(CRITERIOS!K29:M29,MATCH($B$5,VARIABLES!$E$2:$E$4,0)),0),0)</f>
        <v/>
      </c>
      <c r="G41" s="22">
        <f>IF(CRITERIOS!N29="","",CRITERIOS!N29)</f>
        <v/>
      </c>
      <c r="H41" s="22">
        <f>IF(CRITERIOS!O29="","",CRITERIOS!O29)</f>
        <v/>
      </c>
      <c r="I41" s="21" t="n"/>
      <c r="J41" s="22">
        <f>IF(OR($E41=0,I$78=0),0,IF(AND(I41="N/A",$G41&lt;&gt;""),0,$F41+SUMPRODUCT(($G$14:$G$71=$A41)*($E$14:$E$71=1)*(I$14:I$71="N/A")*$F$14:$F$71)))</f>
        <v/>
      </c>
      <c r="K41" s="22">
        <f>IF(I41="SI",J41,0)</f>
        <v/>
      </c>
      <c r="L41" s="21" t="n"/>
      <c r="M41" s="22">
        <f>IF(OR($E41=0,L$78=0),0,IF(AND(L41="N/A",$G41&lt;&gt;""),0,$F41+SUMPRODUCT(($G$14:$G$71=$A41)*($E$14:$E$71=1)*(L$14:L$71="N/A")*$F$14:$F$71)))</f>
        <v/>
      </c>
      <c r="N41" s="22">
        <f>IF(L41="SI",M41,0)</f>
        <v/>
      </c>
      <c r="O41" s="21" t="n"/>
      <c r="P41" s="22">
        <f>IF(OR($E41=0,O$78=0),0,IF(AND(O41="N/A",$G41&lt;&gt;""),0,$F41+SUMPRODUCT(($G$14:$G$71=$A41)*($E$14:$E$71=1)*(O$14:O$71="N/A")*$F$14:$F$71)))</f>
        <v/>
      </c>
      <c r="Q41" s="22">
        <f>IF(O41="SI",P41,0)</f>
        <v/>
      </c>
      <c r="R41" s="21" t="n"/>
      <c r="S41" s="22">
        <f>IF(OR($E41=0,R$78=0),0,IF(AND(R41="N/A",$G41&lt;&gt;""),0,$F41+SUMPRODUCT(($G$14:$G$71=$A41)*($E$14:$E$71=1)*(R$14:R$71="N/A")*$F$14:$F$71)))</f>
        <v/>
      </c>
      <c r="T41" s="22">
        <f>IF(R41="SI",S41,0)</f>
        <v/>
      </c>
      <c r="U41" s="21" t="n"/>
      <c r="V41" s="22">
        <f>IF(OR($E41=0,U$78=0),0,IF(AND(U41="N/A",$G41&lt;&gt;""),0,$F41+SUMPRODUCT(($G$14:$G$71=$A41)*($E$14:$E$71=1)*(U$14:U$71="N/A")*$F$14:$F$71)))</f>
        <v/>
      </c>
      <c r="W41" s="22">
        <f>IF(U41="SI",V41,0)</f>
        <v/>
      </c>
      <c r="X41" s="21" t="n"/>
      <c r="Y41" s="22">
        <f>IF(OR($E41=0,X$78=0),0,IF(AND(X41="N/A",$G41&lt;&gt;""),0,$F41+SUMPRODUCT(($G$14:$G$71=$A41)*($E$14:$E$71=1)*(X$14:X$71="N/A")*$F$14:$F$71)))</f>
        <v/>
      </c>
      <c r="Z41" s="22">
        <f>IF(X41="SI",Y41,0)</f>
        <v/>
      </c>
      <c r="AA41" s="22">
        <f>SUM(J41,M41,P41,S41,V41,Y41)</f>
        <v/>
      </c>
      <c r="AB41" s="22">
        <f>SUM(K41,N41,Q41,T41,W41,Z41)</f>
        <v/>
      </c>
      <c r="AC41" s="23">
        <f>IF(AA41=0,"",AB41/AA41)</f>
        <v/>
      </c>
      <c r="AD41" s="22">
        <f>CRITERIOS!Q29</f>
        <v/>
      </c>
      <c r="AE41" s="22">
        <f>IF(AND(E41=1,H41&lt;&gt;"X",((I41="N/A")+(L41="N/A")+(O41="N/A")+(R41="N/A")+(U41="N/A")+(X41="N/A"))&gt;0),"REVISAR","")</f>
        <v/>
      </c>
    </row>
    <row r="42">
      <c r="A42" s="24">
        <f>CRITERIOS!B30</f>
        <v/>
      </c>
      <c r="B42" s="24">
        <f>CRITERIOS!C30</f>
        <v/>
      </c>
      <c r="C42" s="25">
        <f>CRITERIOS!D30</f>
        <v/>
      </c>
      <c r="D42" s="24">
        <f>CRITERIOS!E30</f>
        <v/>
      </c>
      <c r="E42" s="24">
        <f>IFERROR(IF(AND(OR(CRITERIOS!F30="Todos",CRITERIOS!F30=$B$4),INDEX(CRITERIOS!H30:J30,MATCH($B$5,VARIABLES!$E$2:$E$4,0))=1),1,0),0)</f>
        <v/>
      </c>
      <c r="F42" s="24">
        <f>IFERROR(IF(E42=1,INDEX(CRITERIOS!K30:M30,MATCH($B$5,VARIABLES!$E$2:$E$4,0)),0),0)</f>
        <v/>
      </c>
      <c r="G42" s="24">
        <f>IF(CRITERIOS!N30="","",CRITERIOS!N30)</f>
        <v/>
      </c>
      <c r="H42" s="24">
        <f>IF(CRITERIOS!O30="","",CRITERIOS!O30)</f>
        <v/>
      </c>
      <c r="I42" s="21" t="n"/>
      <c r="J42" s="22">
        <f>IF(OR($E42=0,I$78=0),0,IF(AND(I42="N/A",$G42&lt;&gt;""),0,$F42+SUMPRODUCT(($G$14:$G$71=$A42)*($E$14:$E$71=1)*(I$14:I$71="N/A")*$F$14:$F$71)))</f>
        <v/>
      </c>
      <c r="K42" s="22">
        <f>IF(I42="SI",J42,0)</f>
        <v/>
      </c>
      <c r="L42" s="21" t="n"/>
      <c r="M42" s="22">
        <f>IF(OR($E42=0,L$78=0),0,IF(AND(L42="N/A",$G42&lt;&gt;""),0,$F42+SUMPRODUCT(($G$14:$G$71=$A42)*($E$14:$E$71=1)*(L$14:L$71="N/A")*$F$14:$F$71)))</f>
        <v/>
      </c>
      <c r="N42" s="22">
        <f>IF(L42="SI",M42,0)</f>
        <v/>
      </c>
      <c r="O42" s="21" t="n"/>
      <c r="P42" s="22">
        <f>IF(OR($E42=0,O$78=0),0,IF(AND(O42="N/A",$G42&lt;&gt;""),0,$F42+SUMPRODUCT(($G$14:$G$71=$A42)*($E$14:$E$71=1)*(O$14:O$71="N/A")*$F$14:$F$71)))</f>
        <v/>
      </c>
      <c r="Q42" s="22">
        <f>IF(O42="SI",P42,0)</f>
        <v/>
      </c>
      <c r="R42" s="21" t="n"/>
      <c r="S42" s="22">
        <f>IF(OR($E42=0,R$78=0),0,IF(AND(R42="N/A",$G42&lt;&gt;""),0,$F42+SUMPRODUCT(($G$14:$G$71=$A42)*($E$14:$E$71=1)*(R$14:R$71="N/A")*$F$14:$F$71)))</f>
        <v/>
      </c>
      <c r="T42" s="22">
        <f>IF(R42="SI",S42,0)</f>
        <v/>
      </c>
      <c r="U42" s="21" t="n"/>
      <c r="V42" s="22">
        <f>IF(OR($E42=0,U$78=0),0,IF(AND(U42="N/A",$G42&lt;&gt;""),0,$F42+SUMPRODUCT(($G$14:$G$71=$A42)*($E$14:$E$71=1)*(U$14:U$71="N/A")*$F$14:$F$71)))</f>
        <v/>
      </c>
      <c r="W42" s="22">
        <f>IF(U42="SI",V42,0)</f>
        <v/>
      </c>
      <c r="X42" s="21" t="n"/>
      <c r="Y42" s="22">
        <f>IF(OR($E42=0,X$78=0),0,IF(AND(X42="N/A",$G42&lt;&gt;""),0,$F42+SUMPRODUCT(($G$14:$G$71=$A42)*($E$14:$E$71=1)*(X$14:X$71="N/A")*$F$14:$F$71)))</f>
        <v/>
      </c>
      <c r="Z42" s="22">
        <f>IF(X42="SI",Y42,0)</f>
        <v/>
      </c>
      <c r="AA42" s="22">
        <f>SUM(J42,M42,P42,S42,V42,Y42)</f>
        <v/>
      </c>
      <c r="AB42" s="22">
        <f>SUM(K42,N42,Q42,T42,W42,Z42)</f>
        <v/>
      </c>
      <c r="AC42" s="23">
        <f>IF(AA42=0,"",AB42/AA42)</f>
        <v/>
      </c>
      <c r="AD42" s="22">
        <f>CRITERIOS!Q30</f>
        <v/>
      </c>
      <c r="AE42" s="22">
        <f>IF(AND(E42=1,H42&lt;&gt;"X",((I42="N/A")+(L42="N/A")+(O42="N/A")+(R42="N/A")+(U42="N/A")+(X42="N/A"))&gt;0),"REVISAR","")</f>
        <v/>
      </c>
    </row>
    <row r="43">
      <c r="A43" s="22">
        <f>CRITERIOS!B31</f>
        <v/>
      </c>
      <c r="B43" s="22">
        <f>CRITERIOS!C31</f>
        <v/>
      </c>
      <c r="C43" s="8">
        <f>CRITERIOS!D31</f>
        <v/>
      </c>
      <c r="D43" s="22">
        <f>CRITERIOS!E31</f>
        <v/>
      </c>
      <c r="E43" s="22">
        <f>IFERROR(IF(AND(OR(CRITERIOS!F31="Todos",CRITERIOS!F31=$B$4),INDEX(CRITERIOS!H31:J31,MATCH($B$5,VARIABLES!$E$2:$E$4,0))=1),1,0),0)</f>
        <v/>
      </c>
      <c r="F43" s="22">
        <f>IFERROR(IF(E43=1,INDEX(CRITERIOS!K31:M31,MATCH($B$5,VARIABLES!$E$2:$E$4,0)),0),0)</f>
        <v/>
      </c>
      <c r="G43" s="22">
        <f>IF(CRITERIOS!N31="","",CRITERIOS!N31)</f>
        <v/>
      </c>
      <c r="H43" s="22">
        <f>IF(CRITERIOS!O31="","",CRITERIOS!O31)</f>
        <v/>
      </c>
      <c r="I43" s="21" t="n"/>
      <c r="J43" s="22">
        <f>IF(OR($E43=0,I$78=0),0,IF(AND(I43="N/A",$G43&lt;&gt;""),0,$F43+SUMPRODUCT(($G$14:$G$71=$A43)*($E$14:$E$71=1)*(I$14:I$71="N/A")*$F$14:$F$71)))</f>
        <v/>
      </c>
      <c r="K43" s="22">
        <f>IF(I43="SI",J43,0)</f>
        <v/>
      </c>
      <c r="L43" s="21" t="n"/>
      <c r="M43" s="22">
        <f>IF(OR($E43=0,L$78=0),0,IF(AND(L43="N/A",$G43&lt;&gt;""),0,$F43+SUMPRODUCT(($G$14:$G$71=$A43)*($E$14:$E$71=1)*(L$14:L$71="N/A")*$F$14:$F$71)))</f>
        <v/>
      </c>
      <c r="N43" s="22">
        <f>IF(L43="SI",M43,0)</f>
        <v/>
      </c>
      <c r="O43" s="21" t="n"/>
      <c r="P43" s="22">
        <f>IF(OR($E43=0,O$78=0),0,IF(AND(O43="N/A",$G43&lt;&gt;""),0,$F43+SUMPRODUCT(($G$14:$G$71=$A43)*($E$14:$E$71=1)*(O$14:O$71="N/A")*$F$14:$F$71)))</f>
        <v/>
      </c>
      <c r="Q43" s="22">
        <f>IF(O43="SI",P43,0)</f>
        <v/>
      </c>
      <c r="R43" s="21" t="n"/>
      <c r="S43" s="22">
        <f>IF(OR($E43=0,R$78=0),0,IF(AND(R43="N/A",$G43&lt;&gt;""),0,$F43+SUMPRODUCT(($G$14:$G$71=$A43)*($E$14:$E$71=1)*(R$14:R$71="N/A")*$F$14:$F$71)))</f>
        <v/>
      </c>
      <c r="T43" s="22">
        <f>IF(R43="SI",S43,0)</f>
        <v/>
      </c>
      <c r="U43" s="21" t="n"/>
      <c r="V43" s="22">
        <f>IF(OR($E43=0,U$78=0),0,IF(AND(U43="N/A",$G43&lt;&gt;""),0,$F43+SUMPRODUCT(($G$14:$G$71=$A43)*($E$14:$E$71=1)*(U$14:U$71="N/A")*$F$14:$F$71)))</f>
        <v/>
      </c>
      <c r="W43" s="22">
        <f>IF(U43="SI",V43,0)</f>
        <v/>
      </c>
      <c r="X43" s="21" t="n"/>
      <c r="Y43" s="22">
        <f>IF(OR($E43=0,X$78=0),0,IF(AND(X43="N/A",$G43&lt;&gt;""),0,$F43+SUMPRODUCT(($G$14:$G$71=$A43)*($E$14:$E$71=1)*(X$14:X$71="N/A")*$F$14:$F$71)))</f>
        <v/>
      </c>
      <c r="Z43" s="22">
        <f>IF(X43="SI",Y43,0)</f>
        <v/>
      </c>
      <c r="AA43" s="22">
        <f>SUM(J43,M43,P43,S43,V43,Y43)</f>
        <v/>
      </c>
      <c r="AB43" s="22">
        <f>SUM(K43,N43,Q43,T43,W43,Z43)</f>
        <v/>
      </c>
      <c r="AC43" s="23">
        <f>IF(AA43=0,"",AB43/AA43)</f>
        <v/>
      </c>
      <c r="AD43" s="22">
        <f>CRITERIOS!Q31</f>
        <v/>
      </c>
      <c r="AE43" s="22">
        <f>IF(AND(E43=1,H43&lt;&gt;"X",((I43="N/A")+(L43="N/A")+(O43="N/A")+(R43="N/A")+(U43="N/A")+(X43="N/A"))&gt;0),"REVISAR","")</f>
        <v/>
      </c>
    </row>
    <row r="44">
      <c r="A44" s="24">
        <f>CRITERIOS!B32</f>
        <v/>
      </c>
      <c r="B44" s="24">
        <f>CRITERIOS!C32</f>
        <v/>
      </c>
      <c r="C44" s="25">
        <f>CRITERIOS!D32</f>
        <v/>
      </c>
      <c r="D44" s="24">
        <f>CRITERIOS!E32</f>
        <v/>
      </c>
      <c r="E44" s="24">
        <f>IFERROR(IF(AND(OR(CRITERIOS!F32="Todos",CRITERIOS!F32=$B$4),INDEX(CRITERIOS!H32:J32,MATCH($B$5,VARIABLES!$E$2:$E$4,0))=1),1,0),0)</f>
        <v/>
      </c>
      <c r="F44" s="24">
        <f>IFERROR(IF(E44=1,INDEX(CRITERIOS!K32:M32,MATCH($B$5,VARIABLES!$E$2:$E$4,0)),0),0)</f>
        <v/>
      </c>
      <c r="G44" s="24">
        <f>IF(CRITERIOS!N32="","",CRITERIOS!N32)</f>
        <v/>
      </c>
      <c r="H44" s="24">
        <f>IF(CRITERIOS!O32="","",CRITERIOS!O32)</f>
        <v/>
      </c>
      <c r="I44" s="21" t="n"/>
      <c r="J44" s="22">
        <f>IF(OR($E44=0,I$78=0),0,IF(AND(I44="N/A",$G44&lt;&gt;""),0,$F44+SUMPRODUCT(($G$14:$G$71=$A44)*($E$14:$E$71=1)*(I$14:I$71="N/A")*$F$14:$F$71)))</f>
        <v/>
      </c>
      <c r="K44" s="22">
        <f>IF(I44="SI",J44,0)</f>
        <v/>
      </c>
      <c r="L44" s="21" t="n"/>
      <c r="M44" s="22">
        <f>IF(OR($E44=0,L$78=0),0,IF(AND(L44="N/A",$G44&lt;&gt;""),0,$F44+SUMPRODUCT(($G$14:$G$71=$A44)*($E$14:$E$71=1)*(L$14:L$71="N/A")*$F$14:$F$71)))</f>
        <v/>
      </c>
      <c r="N44" s="22">
        <f>IF(L44="SI",M44,0)</f>
        <v/>
      </c>
      <c r="O44" s="21" t="n"/>
      <c r="P44" s="22">
        <f>IF(OR($E44=0,O$78=0),0,IF(AND(O44="N/A",$G44&lt;&gt;""),0,$F44+SUMPRODUCT(($G$14:$G$71=$A44)*($E$14:$E$71=1)*(O$14:O$71="N/A")*$F$14:$F$71)))</f>
        <v/>
      </c>
      <c r="Q44" s="22">
        <f>IF(O44="SI",P44,0)</f>
        <v/>
      </c>
      <c r="R44" s="21" t="n"/>
      <c r="S44" s="22">
        <f>IF(OR($E44=0,R$78=0),0,IF(AND(R44="N/A",$G44&lt;&gt;""),0,$F44+SUMPRODUCT(($G$14:$G$71=$A44)*($E$14:$E$71=1)*(R$14:R$71="N/A")*$F$14:$F$71)))</f>
        <v/>
      </c>
      <c r="T44" s="22">
        <f>IF(R44="SI",S44,0)</f>
        <v/>
      </c>
      <c r="U44" s="21" t="n"/>
      <c r="V44" s="22">
        <f>IF(OR($E44=0,U$78=0),0,IF(AND(U44="N/A",$G44&lt;&gt;""),0,$F44+SUMPRODUCT(($G$14:$G$71=$A44)*($E$14:$E$71=1)*(U$14:U$71="N/A")*$F$14:$F$71)))</f>
        <v/>
      </c>
      <c r="W44" s="22">
        <f>IF(U44="SI",V44,0)</f>
        <v/>
      </c>
      <c r="X44" s="21" t="n"/>
      <c r="Y44" s="22">
        <f>IF(OR($E44=0,X$78=0),0,IF(AND(X44="N/A",$G44&lt;&gt;""),0,$F44+SUMPRODUCT(($G$14:$G$71=$A44)*($E$14:$E$71=1)*(X$14:X$71="N/A")*$F$14:$F$71)))</f>
        <v/>
      </c>
      <c r="Z44" s="22">
        <f>IF(X44="SI",Y44,0)</f>
        <v/>
      </c>
      <c r="AA44" s="22">
        <f>SUM(J44,M44,P44,S44,V44,Y44)</f>
        <v/>
      </c>
      <c r="AB44" s="22">
        <f>SUM(K44,N44,Q44,T44,W44,Z44)</f>
        <v/>
      </c>
      <c r="AC44" s="23">
        <f>IF(AA44=0,"",AB44/AA44)</f>
        <v/>
      </c>
      <c r="AD44" s="22">
        <f>CRITERIOS!Q32</f>
        <v/>
      </c>
      <c r="AE44" s="22">
        <f>IF(AND(E44=1,H44&lt;&gt;"X",((I44="N/A")+(L44="N/A")+(O44="N/A")+(R44="N/A")+(U44="N/A")+(X44="N/A"))&gt;0),"REVISAR","")</f>
        <v/>
      </c>
    </row>
    <row r="45">
      <c r="A45" s="22">
        <f>CRITERIOS!B33</f>
        <v/>
      </c>
      <c r="B45" s="22">
        <f>CRITERIOS!C33</f>
        <v/>
      </c>
      <c r="C45" s="8">
        <f>CRITERIOS!D33</f>
        <v/>
      </c>
      <c r="D45" s="22">
        <f>CRITERIOS!E33</f>
        <v/>
      </c>
      <c r="E45" s="22">
        <f>IFERROR(IF(AND(OR(CRITERIOS!F33="Todos",CRITERIOS!F33=$B$4),INDEX(CRITERIOS!H33:J33,MATCH($B$5,VARIABLES!$E$2:$E$4,0))=1),1,0),0)</f>
        <v/>
      </c>
      <c r="F45" s="22">
        <f>IFERROR(IF(E45=1,INDEX(CRITERIOS!K33:M33,MATCH($B$5,VARIABLES!$E$2:$E$4,0)),0),0)</f>
        <v/>
      </c>
      <c r="G45" s="22">
        <f>IF(CRITERIOS!N33="","",CRITERIOS!N33)</f>
        <v/>
      </c>
      <c r="H45" s="22">
        <f>IF(CRITERIOS!O33="","",CRITERIOS!O33)</f>
        <v/>
      </c>
      <c r="I45" s="21" t="n"/>
      <c r="J45" s="22">
        <f>IF(OR($E45=0,I$78=0),0,IF(AND(I45="N/A",$G45&lt;&gt;""),0,$F45+SUMPRODUCT(($G$14:$G$71=$A45)*($E$14:$E$71=1)*(I$14:I$71="N/A")*$F$14:$F$71)))</f>
        <v/>
      </c>
      <c r="K45" s="22">
        <f>IF(I45="SI",J45,0)</f>
        <v/>
      </c>
      <c r="L45" s="21" t="n"/>
      <c r="M45" s="22">
        <f>IF(OR($E45=0,L$78=0),0,IF(AND(L45="N/A",$G45&lt;&gt;""),0,$F45+SUMPRODUCT(($G$14:$G$71=$A45)*($E$14:$E$71=1)*(L$14:L$71="N/A")*$F$14:$F$71)))</f>
        <v/>
      </c>
      <c r="N45" s="22">
        <f>IF(L45="SI",M45,0)</f>
        <v/>
      </c>
      <c r="O45" s="21" t="n"/>
      <c r="P45" s="22">
        <f>IF(OR($E45=0,O$78=0),0,IF(AND(O45="N/A",$G45&lt;&gt;""),0,$F45+SUMPRODUCT(($G$14:$G$71=$A45)*($E$14:$E$71=1)*(O$14:O$71="N/A")*$F$14:$F$71)))</f>
        <v/>
      </c>
      <c r="Q45" s="22">
        <f>IF(O45="SI",P45,0)</f>
        <v/>
      </c>
      <c r="R45" s="21" t="n"/>
      <c r="S45" s="22">
        <f>IF(OR($E45=0,R$78=0),0,IF(AND(R45="N/A",$G45&lt;&gt;""),0,$F45+SUMPRODUCT(($G$14:$G$71=$A45)*($E$14:$E$71=1)*(R$14:R$71="N/A")*$F$14:$F$71)))</f>
        <v/>
      </c>
      <c r="T45" s="22">
        <f>IF(R45="SI",S45,0)</f>
        <v/>
      </c>
      <c r="U45" s="21" t="n"/>
      <c r="V45" s="22">
        <f>IF(OR($E45=0,U$78=0),0,IF(AND(U45="N/A",$G45&lt;&gt;""),0,$F45+SUMPRODUCT(($G$14:$G$71=$A45)*($E$14:$E$71=1)*(U$14:U$71="N/A")*$F$14:$F$71)))</f>
        <v/>
      </c>
      <c r="W45" s="22">
        <f>IF(U45="SI",V45,0)</f>
        <v/>
      </c>
      <c r="X45" s="21" t="n"/>
      <c r="Y45" s="22">
        <f>IF(OR($E45=0,X$78=0),0,IF(AND(X45="N/A",$G45&lt;&gt;""),0,$F45+SUMPRODUCT(($G$14:$G$71=$A45)*($E$14:$E$71=1)*(X$14:X$71="N/A")*$F$14:$F$71)))</f>
        <v/>
      </c>
      <c r="Z45" s="22">
        <f>IF(X45="SI",Y45,0)</f>
        <v/>
      </c>
      <c r="AA45" s="22">
        <f>SUM(J45,M45,P45,S45,V45,Y45)</f>
        <v/>
      </c>
      <c r="AB45" s="22">
        <f>SUM(K45,N45,Q45,T45,W45,Z45)</f>
        <v/>
      </c>
      <c r="AC45" s="23">
        <f>IF(AA45=0,"",AB45/AA45)</f>
        <v/>
      </c>
      <c r="AD45" s="22">
        <f>CRITERIOS!Q33</f>
        <v/>
      </c>
      <c r="AE45" s="22">
        <f>IF(AND(E45=1,H45&lt;&gt;"X",((I45="N/A")+(L45="N/A")+(O45="N/A")+(R45="N/A")+(U45="N/A")+(X45="N/A"))&gt;0),"REVISAR","")</f>
        <v/>
      </c>
    </row>
    <row r="46">
      <c r="A46" s="24">
        <f>CRITERIOS!B34</f>
        <v/>
      </c>
      <c r="B46" s="24">
        <f>CRITERIOS!C34</f>
        <v/>
      </c>
      <c r="C46" s="25">
        <f>CRITERIOS!D34</f>
        <v/>
      </c>
      <c r="D46" s="24">
        <f>CRITERIOS!E34</f>
        <v/>
      </c>
      <c r="E46" s="24">
        <f>IFERROR(IF(AND(OR(CRITERIOS!F34="Todos",CRITERIOS!F34=$B$4),INDEX(CRITERIOS!H34:J34,MATCH($B$5,VARIABLES!$E$2:$E$4,0))=1),1,0),0)</f>
        <v/>
      </c>
      <c r="F46" s="24">
        <f>IFERROR(IF(E46=1,INDEX(CRITERIOS!K34:M34,MATCH($B$5,VARIABLES!$E$2:$E$4,0)),0),0)</f>
        <v/>
      </c>
      <c r="G46" s="24">
        <f>IF(CRITERIOS!N34="","",CRITERIOS!N34)</f>
        <v/>
      </c>
      <c r="H46" s="24">
        <f>IF(CRITERIOS!O34="","",CRITERIOS!O34)</f>
        <v/>
      </c>
      <c r="I46" s="21" t="n"/>
      <c r="J46" s="22">
        <f>IF(OR($E46=0,I$78=0),0,IF(AND(I46="N/A",$G46&lt;&gt;""),0,$F46+SUMPRODUCT(($G$14:$G$71=$A46)*($E$14:$E$71=1)*(I$14:I$71="N/A")*$F$14:$F$71)))</f>
        <v/>
      </c>
      <c r="K46" s="22">
        <f>IF(I46="SI",J46,0)</f>
        <v/>
      </c>
      <c r="L46" s="21" t="n"/>
      <c r="M46" s="22">
        <f>IF(OR($E46=0,L$78=0),0,IF(AND(L46="N/A",$G46&lt;&gt;""),0,$F46+SUMPRODUCT(($G$14:$G$71=$A46)*($E$14:$E$71=1)*(L$14:L$71="N/A")*$F$14:$F$71)))</f>
        <v/>
      </c>
      <c r="N46" s="22">
        <f>IF(L46="SI",M46,0)</f>
        <v/>
      </c>
      <c r="O46" s="21" t="n"/>
      <c r="P46" s="22">
        <f>IF(OR($E46=0,O$78=0),0,IF(AND(O46="N/A",$G46&lt;&gt;""),0,$F46+SUMPRODUCT(($G$14:$G$71=$A46)*($E$14:$E$71=1)*(O$14:O$71="N/A")*$F$14:$F$71)))</f>
        <v/>
      </c>
      <c r="Q46" s="22">
        <f>IF(O46="SI",P46,0)</f>
        <v/>
      </c>
      <c r="R46" s="21" t="n"/>
      <c r="S46" s="22">
        <f>IF(OR($E46=0,R$78=0),0,IF(AND(R46="N/A",$G46&lt;&gt;""),0,$F46+SUMPRODUCT(($G$14:$G$71=$A46)*($E$14:$E$71=1)*(R$14:R$71="N/A")*$F$14:$F$71)))</f>
        <v/>
      </c>
      <c r="T46" s="22">
        <f>IF(R46="SI",S46,0)</f>
        <v/>
      </c>
      <c r="U46" s="21" t="n"/>
      <c r="V46" s="22">
        <f>IF(OR($E46=0,U$78=0),0,IF(AND(U46="N/A",$G46&lt;&gt;""),0,$F46+SUMPRODUCT(($G$14:$G$71=$A46)*($E$14:$E$71=1)*(U$14:U$71="N/A")*$F$14:$F$71)))</f>
        <v/>
      </c>
      <c r="W46" s="22">
        <f>IF(U46="SI",V46,0)</f>
        <v/>
      </c>
      <c r="X46" s="21" t="n"/>
      <c r="Y46" s="22">
        <f>IF(OR($E46=0,X$78=0),0,IF(AND(X46="N/A",$G46&lt;&gt;""),0,$F46+SUMPRODUCT(($G$14:$G$71=$A46)*($E$14:$E$71=1)*(X$14:X$71="N/A")*$F$14:$F$71)))</f>
        <v/>
      </c>
      <c r="Z46" s="22">
        <f>IF(X46="SI",Y46,0)</f>
        <v/>
      </c>
      <c r="AA46" s="22">
        <f>SUM(J46,M46,P46,S46,V46,Y46)</f>
        <v/>
      </c>
      <c r="AB46" s="22">
        <f>SUM(K46,N46,Q46,T46,W46,Z46)</f>
        <v/>
      </c>
      <c r="AC46" s="23">
        <f>IF(AA46=0,"",AB46/AA46)</f>
        <v/>
      </c>
      <c r="AD46" s="22">
        <f>CRITERIOS!Q34</f>
        <v/>
      </c>
      <c r="AE46" s="22">
        <f>IF(AND(E46=1,H46&lt;&gt;"X",((I46="N/A")+(L46="N/A")+(O46="N/A")+(R46="N/A")+(U46="N/A")+(X46="N/A"))&gt;0),"REVISAR","")</f>
        <v/>
      </c>
    </row>
    <row r="47">
      <c r="A47" s="22">
        <f>CRITERIOS!B35</f>
        <v/>
      </c>
      <c r="B47" s="22">
        <f>CRITERIOS!C35</f>
        <v/>
      </c>
      <c r="C47" s="8">
        <f>CRITERIOS!D35</f>
        <v/>
      </c>
      <c r="D47" s="22">
        <f>CRITERIOS!E35</f>
        <v/>
      </c>
      <c r="E47" s="22">
        <f>IFERROR(IF(AND(OR(CRITERIOS!F35="Todos",CRITERIOS!F35=$B$4),INDEX(CRITERIOS!H35:J35,MATCH($B$5,VARIABLES!$E$2:$E$4,0))=1),1,0),0)</f>
        <v/>
      </c>
      <c r="F47" s="22">
        <f>IFERROR(IF(E47=1,INDEX(CRITERIOS!K35:M35,MATCH($B$5,VARIABLES!$E$2:$E$4,0)),0),0)</f>
        <v/>
      </c>
      <c r="G47" s="22">
        <f>IF(CRITERIOS!N35="","",CRITERIOS!N35)</f>
        <v/>
      </c>
      <c r="H47" s="22">
        <f>IF(CRITERIOS!O35="","",CRITERIOS!O35)</f>
        <v/>
      </c>
      <c r="I47" s="21" t="n"/>
      <c r="J47" s="22">
        <f>IF(OR($E47=0,I$78=0),0,IF(AND(I47="N/A",$G47&lt;&gt;""),0,$F47+SUMPRODUCT(($G$14:$G$71=$A47)*($E$14:$E$71=1)*(I$14:I$71="N/A")*$F$14:$F$71)))</f>
        <v/>
      </c>
      <c r="K47" s="22">
        <f>IF(I47="SI",J47,0)</f>
        <v/>
      </c>
      <c r="L47" s="21" t="n"/>
      <c r="M47" s="22">
        <f>IF(OR($E47=0,L$78=0),0,IF(AND(L47="N/A",$G47&lt;&gt;""),0,$F47+SUMPRODUCT(($G$14:$G$71=$A47)*($E$14:$E$71=1)*(L$14:L$71="N/A")*$F$14:$F$71)))</f>
        <v/>
      </c>
      <c r="N47" s="22">
        <f>IF(L47="SI",M47,0)</f>
        <v/>
      </c>
      <c r="O47" s="21" t="n"/>
      <c r="P47" s="22">
        <f>IF(OR($E47=0,O$78=0),0,IF(AND(O47="N/A",$G47&lt;&gt;""),0,$F47+SUMPRODUCT(($G$14:$G$71=$A47)*($E$14:$E$71=1)*(O$14:O$71="N/A")*$F$14:$F$71)))</f>
        <v/>
      </c>
      <c r="Q47" s="22">
        <f>IF(O47="SI",P47,0)</f>
        <v/>
      </c>
      <c r="R47" s="21" t="n"/>
      <c r="S47" s="22">
        <f>IF(OR($E47=0,R$78=0),0,IF(AND(R47="N/A",$G47&lt;&gt;""),0,$F47+SUMPRODUCT(($G$14:$G$71=$A47)*($E$14:$E$71=1)*(R$14:R$71="N/A")*$F$14:$F$71)))</f>
        <v/>
      </c>
      <c r="T47" s="22">
        <f>IF(R47="SI",S47,0)</f>
        <v/>
      </c>
      <c r="U47" s="21" t="n"/>
      <c r="V47" s="22">
        <f>IF(OR($E47=0,U$78=0),0,IF(AND(U47="N/A",$G47&lt;&gt;""),0,$F47+SUMPRODUCT(($G$14:$G$71=$A47)*($E$14:$E$71=1)*(U$14:U$71="N/A")*$F$14:$F$71)))</f>
        <v/>
      </c>
      <c r="W47" s="22">
        <f>IF(U47="SI",V47,0)</f>
        <v/>
      </c>
      <c r="X47" s="21" t="n"/>
      <c r="Y47" s="22">
        <f>IF(OR($E47=0,X$78=0),0,IF(AND(X47="N/A",$G47&lt;&gt;""),0,$F47+SUMPRODUCT(($G$14:$G$71=$A47)*($E$14:$E$71=1)*(X$14:X$71="N/A")*$F$14:$F$71)))</f>
        <v/>
      </c>
      <c r="Z47" s="22">
        <f>IF(X47="SI",Y47,0)</f>
        <v/>
      </c>
      <c r="AA47" s="22">
        <f>SUM(J47,M47,P47,S47,V47,Y47)</f>
        <v/>
      </c>
      <c r="AB47" s="22">
        <f>SUM(K47,N47,Q47,T47,W47,Z47)</f>
        <v/>
      </c>
      <c r="AC47" s="23">
        <f>IF(AA47=0,"",AB47/AA47)</f>
        <v/>
      </c>
      <c r="AD47" s="22">
        <f>CRITERIOS!Q35</f>
        <v/>
      </c>
      <c r="AE47" s="22">
        <f>IF(AND(E47=1,H47&lt;&gt;"X",((I47="N/A")+(L47="N/A")+(O47="N/A")+(R47="N/A")+(U47="N/A")+(X47="N/A"))&gt;0),"REVISAR","")</f>
        <v/>
      </c>
    </row>
    <row r="48">
      <c r="A48" s="24">
        <f>CRITERIOS!B36</f>
        <v/>
      </c>
      <c r="B48" s="24">
        <f>CRITERIOS!C36</f>
        <v/>
      </c>
      <c r="C48" s="25">
        <f>CRITERIOS!D36</f>
        <v/>
      </c>
      <c r="D48" s="24">
        <f>CRITERIOS!E36</f>
        <v/>
      </c>
      <c r="E48" s="24">
        <f>IFERROR(IF(AND(OR(CRITERIOS!F36="Todos",CRITERIOS!F36=$B$4),INDEX(CRITERIOS!H36:J36,MATCH($B$5,VARIABLES!$E$2:$E$4,0))=1),1,0),0)</f>
        <v/>
      </c>
      <c r="F48" s="24">
        <f>IFERROR(IF(E48=1,INDEX(CRITERIOS!K36:M36,MATCH($B$5,VARIABLES!$E$2:$E$4,0)),0),0)</f>
        <v/>
      </c>
      <c r="G48" s="24">
        <f>IF(CRITERIOS!N36="","",CRITERIOS!N36)</f>
        <v/>
      </c>
      <c r="H48" s="24">
        <f>IF(CRITERIOS!O36="","",CRITERIOS!O36)</f>
        <v/>
      </c>
      <c r="I48" s="21" t="n"/>
      <c r="J48" s="22">
        <f>IF(OR($E48=0,I$78=0),0,IF(AND(I48="N/A",$G48&lt;&gt;""),0,$F48+SUMPRODUCT(($G$14:$G$71=$A48)*($E$14:$E$71=1)*(I$14:I$71="N/A")*$F$14:$F$71)))</f>
        <v/>
      </c>
      <c r="K48" s="22">
        <f>IF(I48="SI",J48,0)</f>
        <v/>
      </c>
      <c r="L48" s="21" t="n"/>
      <c r="M48" s="22">
        <f>IF(OR($E48=0,L$78=0),0,IF(AND(L48="N/A",$G48&lt;&gt;""),0,$F48+SUMPRODUCT(($G$14:$G$71=$A48)*($E$14:$E$71=1)*(L$14:L$71="N/A")*$F$14:$F$71)))</f>
        <v/>
      </c>
      <c r="N48" s="22">
        <f>IF(L48="SI",M48,0)</f>
        <v/>
      </c>
      <c r="O48" s="21" t="n"/>
      <c r="P48" s="22">
        <f>IF(OR($E48=0,O$78=0),0,IF(AND(O48="N/A",$G48&lt;&gt;""),0,$F48+SUMPRODUCT(($G$14:$G$71=$A48)*($E$14:$E$71=1)*(O$14:O$71="N/A")*$F$14:$F$71)))</f>
        <v/>
      </c>
      <c r="Q48" s="22">
        <f>IF(O48="SI",P48,0)</f>
        <v/>
      </c>
      <c r="R48" s="21" t="n"/>
      <c r="S48" s="22">
        <f>IF(OR($E48=0,R$78=0),0,IF(AND(R48="N/A",$G48&lt;&gt;""),0,$F48+SUMPRODUCT(($G$14:$G$71=$A48)*($E$14:$E$71=1)*(R$14:R$71="N/A")*$F$14:$F$71)))</f>
        <v/>
      </c>
      <c r="T48" s="22">
        <f>IF(R48="SI",S48,0)</f>
        <v/>
      </c>
      <c r="U48" s="21" t="n"/>
      <c r="V48" s="22">
        <f>IF(OR($E48=0,U$78=0),0,IF(AND(U48="N/A",$G48&lt;&gt;""),0,$F48+SUMPRODUCT(($G$14:$G$71=$A48)*($E$14:$E$71=1)*(U$14:U$71="N/A")*$F$14:$F$71)))</f>
        <v/>
      </c>
      <c r="W48" s="22">
        <f>IF(U48="SI",V48,0)</f>
        <v/>
      </c>
      <c r="X48" s="21" t="n"/>
      <c r="Y48" s="22">
        <f>IF(OR($E48=0,X$78=0),0,IF(AND(X48="N/A",$G48&lt;&gt;""),0,$F48+SUMPRODUCT(($G$14:$G$71=$A48)*($E$14:$E$71=1)*(X$14:X$71="N/A")*$F$14:$F$71)))</f>
        <v/>
      </c>
      <c r="Z48" s="22">
        <f>IF(X48="SI",Y48,0)</f>
        <v/>
      </c>
      <c r="AA48" s="22">
        <f>SUM(J48,M48,P48,S48,V48,Y48)</f>
        <v/>
      </c>
      <c r="AB48" s="22">
        <f>SUM(K48,N48,Q48,T48,W48,Z48)</f>
        <v/>
      </c>
      <c r="AC48" s="23">
        <f>IF(AA48=0,"",AB48/AA48)</f>
        <v/>
      </c>
      <c r="AD48" s="22">
        <f>CRITERIOS!Q36</f>
        <v/>
      </c>
      <c r="AE48" s="22">
        <f>IF(AND(E48=1,H48&lt;&gt;"X",((I48="N/A")+(L48="N/A")+(O48="N/A")+(R48="N/A")+(U48="N/A")+(X48="N/A"))&gt;0),"REVISAR","")</f>
        <v/>
      </c>
    </row>
    <row r="49">
      <c r="A49" s="24">
        <f>CRITERIOS!B37</f>
        <v/>
      </c>
      <c r="B49" s="24">
        <f>CRITERIOS!C37</f>
        <v/>
      </c>
      <c r="C49" s="25">
        <f>CRITERIOS!D37</f>
        <v/>
      </c>
      <c r="D49" s="24">
        <f>CRITERIOS!E37</f>
        <v/>
      </c>
      <c r="E49" s="24">
        <f>IFERROR(IF(AND(OR(CRITERIOS!F37="Todos",CRITERIOS!F37=$B$4),INDEX(CRITERIOS!H37:J37,MATCH($B$5,VARIABLES!$E$2:$E$4,0))=1),1,0),0)</f>
        <v/>
      </c>
      <c r="F49" s="24">
        <f>IFERROR(IF(E49=1,INDEX(CRITERIOS!K37:M37,MATCH($B$5,VARIABLES!$E$2:$E$4,0)),0),0)</f>
        <v/>
      </c>
      <c r="G49" s="24">
        <f>IF(CRITERIOS!N37="","",CRITERIOS!N37)</f>
        <v/>
      </c>
      <c r="H49" s="24">
        <f>IF(CRITERIOS!O37="","",CRITERIOS!O37)</f>
        <v/>
      </c>
      <c r="I49" s="21" t="n"/>
      <c r="J49" s="22">
        <f>IF(OR($E49=0,I$78=0),0,IF(AND(I49="N/A",$G49&lt;&gt;""),0,$F49+SUMPRODUCT(($G$14:$G$71=$A49)*($E$14:$E$71=1)*(I$14:I$71="N/A")*$F$14:$F$71)))</f>
        <v/>
      </c>
      <c r="K49" s="22">
        <f>IF(I49="SI",J49,0)</f>
        <v/>
      </c>
      <c r="L49" s="21" t="n"/>
      <c r="M49" s="22">
        <f>IF(OR($E49=0,L$78=0),0,IF(AND(L49="N/A",$G49&lt;&gt;""),0,$F49+SUMPRODUCT(($G$14:$G$71=$A49)*($E$14:$E$71=1)*(L$14:L$71="N/A")*$F$14:$F$71)))</f>
        <v/>
      </c>
      <c r="N49" s="22">
        <f>IF(L49="SI",M49,0)</f>
        <v/>
      </c>
      <c r="O49" s="21" t="n"/>
      <c r="P49" s="22">
        <f>IF(OR($E49=0,O$78=0),0,IF(AND(O49="N/A",$G49&lt;&gt;""),0,$F49+SUMPRODUCT(($G$14:$G$71=$A49)*($E$14:$E$71=1)*(O$14:O$71="N/A")*$F$14:$F$71)))</f>
        <v/>
      </c>
      <c r="Q49" s="22">
        <f>IF(O49="SI",P49,0)</f>
        <v/>
      </c>
      <c r="R49" s="21" t="n"/>
      <c r="S49" s="22">
        <f>IF(OR($E49=0,R$78=0),0,IF(AND(R49="N/A",$G49&lt;&gt;""),0,$F49+SUMPRODUCT(($G$14:$G$71=$A49)*($E$14:$E$71=1)*(R$14:R$71="N/A")*$F$14:$F$71)))</f>
        <v/>
      </c>
      <c r="T49" s="22">
        <f>IF(R49="SI",S49,0)</f>
        <v/>
      </c>
      <c r="U49" s="21" t="n"/>
      <c r="V49" s="22">
        <f>IF(OR($E49=0,U$78=0),0,IF(AND(U49="N/A",$G49&lt;&gt;""),0,$F49+SUMPRODUCT(($G$14:$G$71=$A49)*($E$14:$E$71=1)*(U$14:U$71="N/A")*$F$14:$F$71)))</f>
        <v/>
      </c>
      <c r="W49" s="22">
        <f>IF(U49="SI",V49,0)</f>
        <v/>
      </c>
      <c r="X49" s="21" t="n"/>
      <c r="Y49" s="22">
        <f>IF(OR($E49=0,X$78=0),0,IF(AND(X49="N/A",$G49&lt;&gt;""),0,$F49+SUMPRODUCT(($G$14:$G$71=$A49)*($E$14:$E$71=1)*(X$14:X$71="N/A")*$F$14:$F$71)))</f>
        <v/>
      </c>
      <c r="Z49" s="22">
        <f>IF(X49="SI",Y49,0)</f>
        <v/>
      </c>
      <c r="AA49" s="22">
        <f>SUM(J49,M49,P49,S49,V49,Y49)</f>
        <v/>
      </c>
      <c r="AB49" s="22">
        <f>SUM(K49,N49,Q49,T49,W49,Z49)</f>
        <v/>
      </c>
      <c r="AC49" s="23">
        <f>IF(AA49=0,"",AB49/AA49)</f>
        <v/>
      </c>
      <c r="AD49" s="22">
        <f>CRITERIOS!Q37</f>
        <v/>
      </c>
      <c r="AE49" s="22">
        <f>IF(AND(E49=1,H49&lt;&gt;"X",((I49="N/A")+(L49="N/A")+(O49="N/A")+(R49="N/A")+(U49="N/A")+(X49="N/A"))&gt;0),"REVISAR","")</f>
        <v/>
      </c>
    </row>
    <row r="50">
      <c r="A50" s="24">
        <f>CRITERIOS!B38</f>
        <v/>
      </c>
      <c r="B50" s="24">
        <f>CRITERIOS!C38</f>
        <v/>
      </c>
      <c r="C50" s="25">
        <f>CRITERIOS!D38</f>
        <v/>
      </c>
      <c r="D50" s="24">
        <f>CRITERIOS!E38</f>
        <v/>
      </c>
      <c r="E50" s="24">
        <f>IFERROR(IF(AND(OR(CRITERIOS!F38="Todos",CRITERIOS!F38=$B$4),INDEX(CRITERIOS!H38:J38,MATCH($B$5,VARIABLES!$E$2:$E$4,0))=1),1,0),0)</f>
        <v/>
      </c>
      <c r="F50" s="24">
        <f>IFERROR(IF(E50=1,INDEX(CRITERIOS!K38:M38,MATCH($B$5,VARIABLES!$E$2:$E$4,0)),0),0)</f>
        <v/>
      </c>
      <c r="G50" s="24">
        <f>IF(CRITERIOS!N38="","",CRITERIOS!N38)</f>
        <v/>
      </c>
      <c r="H50" s="24">
        <f>IF(CRITERIOS!O38="","",CRITERIOS!O38)</f>
        <v/>
      </c>
      <c r="I50" s="21" t="n"/>
      <c r="J50" s="22">
        <f>IF(OR($E50=0,I$78=0),0,IF(AND(I50="N/A",$G50&lt;&gt;""),0,$F50+SUMPRODUCT(($G$14:$G$71=$A50)*($E$14:$E$71=1)*(I$14:I$71="N/A")*$F$14:$F$71)))</f>
        <v/>
      </c>
      <c r="K50" s="22">
        <f>IF(I50="SI",J50,0)</f>
        <v/>
      </c>
      <c r="L50" s="21" t="n"/>
      <c r="M50" s="22">
        <f>IF(OR($E50=0,L$78=0),0,IF(AND(L50="N/A",$G50&lt;&gt;""),0,$F50+SUMPRODUCT(($G$14:$G$71=$A50)*($E$14:$E$71=1)*(L$14:L$71="N/A")*$F$14:$F$71)))</f>
        <v/>
      </c>
      <c r="N50" s="22">
        <f>IF(L50="SI",M50,0)</f>
        <v/>
      </c>
      <c r="O50" s="21" t="n"/>
      <c r="P50" s="22">
        <f>IF(OR($E50=0,O$78=0),0,IF(AND(O50="N/A",$G50&lt;&gt;""),0,$F50+SUMPRODUCT(($G$14:$G$71=$A50)*($E$14:$E$71=1)*(O$14:O$71="N/A")*$F$14:$F$71)))</f>
        <v/>
      </c>
      <c r="Q50" s="22">
        <f>IF(O50="SI",P50,0)</f>
        <v/>
      </c>
      <c r="R50" s="21" t="n"/>
      <c r="S50" s="22">
        <f>IF(OR($E50=0,R$78=0),0,IF(AND(R50="N/A",$G50&lt;&gt;""),0,$F50+SUMPRODUCT(($G$14:$G$71=$A50)*($E$14:$E$71=1)*(R$14:R$71="N/A")*$F$14:$F$71)))</f>
        <v/>
      </c>
      <c r="T50" s="22">
        <f>IF(R50="SI",S50,0)</f>
        <v/>
      </c>
      <c r="U50" s="21" t="n"/>
      <c r="V50" s="22">
        <f>IF(OR($E50=0,U$78=0),0,IF(AND(U50="N/A",$G50&lt;&gt;""),0,$F50+SUMPRODUCT(($G$14:$G$71=$A50)*($E$14:$E$71=1)*(U$14:U$71="N/A")*$F$14:$F$71)))</f>
        <v/>
      </c>
      <c r="W50" s="22">
        <f>IF(U50="SI",V50,0)</f>
        <v/>
      </c>
      <c r="X50" s="21" t="n"/>
      <c r="Y50" s="22">
        <f>IF(OR($E50=0,X$78=0),0,IF(AND(X50="N/A",$G50&lt;&gt;""),0,$F50+SUMPRODUCT(($G$14:$G$71=$A50)*($E$14:$E$71=1)*(X$14:X$71="N/A")*$F$14:$F$71)))</f>
        <v/>
      </c>
      <c r="Z50" s="22">
        <f>IF(X50="SI",Y50,0)</f>
        <v/>
      </c>
      <c r="AA50" s="22">
        <f>SUM(J50,M50,P50,S50,V50,Y50)</f>
        <v/>
      </c>
      <c r="AB50" s="22">
        <f>SUM(K50,N50,Q50,T50,W50,Z50)</f>
        <v/>
      </c>
      <c r="AC50" s="23">
        <f>IF(AA50=0,"",AB50/AA50)</f>
        <v/>
      </c>
      <c r="AD50" s="22">
        <f>CRITERIOS!Q38</f>
        <v/>
      </c>
      <c r="AE50" s="22">
        <f>IF(AND(E50=1,H50&lt;&gt;"X",((I50="N/A")+(L50="N/A")+(O50="N/A")+(R50="N/A")+(U50="N/A")+(X50="N/A"))&gt;0),"REVISAR","")</f>
        <v/>
      </c>
    </row>
    <row r="51">
      <c r="A51" s="24">
        <f>CRITERIOS!B39</f>
        <v/>
      </c>
      <c r="B51" s="24">
        <f>CRITERIOS!C39</f>
        <v/>
      </c>
      <c r="C51" s="25">
        <f>CRITERIOS!D39</f>
        <v/>
      </c>
      <c r="D51" s="24">
        <f>CRITERIOS!E39</f>
        <v/>
      </c>
      <c r="E51" s="24">
        <f>IFERROR(IF(AND(OR(CRITERIOS!F39="Todos",CRITERIOS!F39=$B$4),INDEX(CRITERIOS!H39:J39,MATCH($B$5,VARIABLES!$E$2:$E$4,0))=1),1,0),0)</f>
        <v/>
      </c>
      <c r="F51" s="24">
        <f>IFERROR(IF(E51=1,INDEX(CRITERIOS!K39:M39,MATCH($B$5,VARIABLES!$E$2:$E$4,0)),0),0)</f>
        <v/>
      </c>
      <c r="G51" s="24">
        <f>IF(CRITERIOS!N39="","",CRITERIOS!N39)</f>
        <v/>
      </c>
      <c r="H51" s="24">
        <f>IF(CRITERIOS!O39="","",CRITERIOS!O39)</f>
        <v/>
      </c>
      <c r="I51" s="21" t="n"/>
      <c r="J51" s="22">
        <f>IF(OR($E51=0,I$78=0),0,IF(AND(I51="N/A",$G51&lt;&gt;""),0,$F51+SUMPRODUCT(($G$14:$G$71=$A51)*($E$14:$E$71=1)*(I$14:I$71="N/A")*$F$14:$F$71)))</f>
        <v/>
      </c>
      <c r="K51" s="22">
        <f>IF(I51="SI",J51,0)</f>
        <v/>
      </c>
      <c r="L51" s="21" t="n"/>
      <c r="M51" s="22">
        <f>IF(OR($E51=0,L$78=0),0,IF(AND(L51="N/A",$G51&lt;&gt;""),0,$F51+SUMPRODUCT(($G$14:$G$71=$A51)*($E$14:$E$71=1)*(L$14:L$71="N/A")*$F$14:$F$71)))</f>
        <v/>
      </c>
      <c r="N51" s="22">
        <f>IF(L51="SI",M51,0)</f>
        <v/>
      </c>
      <c r="O51" s="21" t="n"/>
      <c r="P51" s="22">
        <f>IF(OR($E51=0,O$78=0),0,IF(AND(O51="N/A",$G51&lt;&gt;""),0,$F51+SUMPRODUCT(($G$14:$G$71=$A51)*($E$14:$E$71=1)*(O$14:O$71="N/A")*$F$14:$F$71)))</f>
        <v/>
      </c>
      <c r="Q51" s="22">
        <f>IF(O51="SI",P51,0)</f>
        <v/>
      </c>
      <c r="R51" s="21" t="n"/>
      <c r="S51" s="22">
        <f>IF(OR($E51=0,R$78=0),0,IF(AND(R51="N/A",$G51&lt;&gt;""),0,$F51+SUMPRODUCT(($G$14:$G$71=$A51)*($E$14:$E$71=1)*(R$14:R$71="N/A")*$F$14:$F$71)))</f>
        <v/>
      </c>
      <c r="T51" s="22">
        <f>IF(R51="SI",S51,0)</f>
        <v/>
      </c>
      <c r="U51" s="21" t="n"/>
      <c r="V51" s="22">
        <f>IF(OR($E51=0,U$78=0),0,IF(AND(U51="N/A",$G51&lt;&gt;""),0,$F51+SUMPRODUCT(($G$14:$G$71=$A51)*($E$14:$E$71=1)*(U$14:U$71="N/A")*$F$14:$F$71)))</f>
        <v/>
      </c>
      <c r="W51" s="22">
        <f>IF(U51="SI",V51,0)</f>
        <v/>
      </c>
      <c r="X51" s="21" t="n"/>
      <c r="Y51" s="22">
        <f>IF(OR($E51=0,X$78=0),0,IF(AND(X51="N/A",$G51&lt;&gt;""),0,$F51+SUMPRODUCT(($G$14:$G$71=$A51)*($E$14:$E$71=1)*(X$14:X$71="N/A")*$F$14:$F$71)))</f>
        <v/>
      </c>
      <c r="Z51" s="22">
        <f>IF(X51="SI",Y51,0)</f>
        <v/>
      </c>
      <c r="AA51" s="22">
        <f>SUM(J51,M51,P51,S51,V51,Y51)</f>
        <v/>
      </c>
      <c r="AB51" s="22">
        <f>SUM(K51,N51,Q51,T51,W51,Z51)</f>
        <v/>
      </c>
      <c r="AC51" s="23">
        <f>IF(AA51=0,"",AB51/AA51)</f>
        <v/>
      </c>
      <c r="AD51" s="22">
        <f>CRITERIOS!Q39</f>
        <v/>
      </c>
      <c r="AE51" s="22">
        <f>IF(AND(E51=1,H51&lt;&gt;"X",((I51="N/A")+(L51="N/A")+(O51="N/A")+(R51="N/A")+(U51="N/A")+(X51="N/A"))&gt;0),"REVISAR","")</f>
        <v/>
      </c>
    </row>
    <row r="52">
      <c r="A52" s="24">
        <f>CRITERIOS!B40</f>
        <v/>
      </c>
      <c r="B52" s="24">
        <f>CRITERIOS!C40</f>
        <v/>
      </c>
      <c r="C52" s="25">
        <f>CRITERIOS!D40</f>
        <v/>
      </c>
      <c r="D52" s="24">
        <f>CRITERIOS!E40</f>
        <v/>
      </c>
      <c r="E52" s="24">
        <f>IFERROR(IF(AND(OR(CRITERIOS!F40="Todos",CRITERIOS!F40=$B$4),INDEX(CRITERIOS!H40:J40,MATCH($B$5,VARIABLES!$E$2:$E$4,0))=1),1,0),0)</f>
        <v/>
      </c>
      <c r="F52" s="24">
        <f>IFERROR(IF(E52=1,INDEX(CRITERIOS!K40:M40,MATCH($B$5,VARIABLES!$E$2:$E$4,0)),0),0)</f>
        <v/>
      </c>
      <c r="G52" s="24">
        <f>IF(CRITERIOS!N40="","",CRITERIOS!N40)</f>
        <v/>
      </c>
      <c r="H52" s="24">
        <f>IF(CRITERIOS!O40="","",CRITERIOS!O40)</f>
        <v/>
      </c>
      <c r="I52" s="21" t="n"/>
      <c r="J52" s="22">
        <f>IF(OR($E52=0,I$78=0),0,IF(AND(I52="N/A",$G52&lt;&gt;""),0,$F52+SUMPRODUCT(($G$14:$G$71=$A52)*($E$14:$E$71=1)*(I$14:I$71="N/A")*$F$14:$F$71)))</f>
        <v/>
      </c>
      <c r="K52" s="22">
        <f>IF(I52="SI",J52,0)</f>
        <v/>
      </c>
      <c r="L52" s="21" t="n"/>
      <c r="M52" s="22">
        <f>IF(OR($E52=0,L$78=0),0,IF(AND(L52="N/A",$G52&lt;&gt;""),0,$F52+SUMPRODUCT(($G$14:$G$71=$A52)*($E$14:$E$71=1)*(L$14:L$71="N/A")*$F$14:$F$71)))</f>
        <v/>
      </c>
      <c r="N52" s="22">
        <f>IF(L52="SI",M52,0)</f>
        <v/>
      </c>
      <c r="O52" s="21" t="n"/>
      <c r="P52" s="22">
        <f>IF(OR($E52=0,O$78=0),0,IF(AND(O52="N/A",$G52&lt;&gt;""),0,$F52+SUMPRODUCT(($G$14:$G$71=$A52)*($E$14:$E$71=1)*(O$14:O$71="N/A")*$F$14:$F$71)))</f>
        <v/>
      </c>
      <c r="Q52" s="22">
        <f>IF(O52="SI",P52,0)</f>
        <v/>
      </c>
      <c r="R52" s="21" t="n"/>
      <c r="S52" s="22">
        <f>IF(OR($E52=0,R$78=0),0,IF(AND(R52="N/A",$G52&lt;&gt;""),0,$F52+SUMPRODUCT(($G$14:$G$71=$A52)*($E$14:$E$71=1)*(R$14:R$71="N/A")*$F$14:$F$71)))</f>
        <v/>
      </c>
      <c r="T52" s="22">
        <f>IF(R52="SI",S52,0)</f>
        <v/>
      </c>
      <c r="U52" s="21" t="n"/>
      <c r="V52" s="22">
        <f>IF(OR($E52=0,U$78=0),0,IF(AND(U52="N/A",$G52&lt;&gt;""),0,$F52+SUMPRODUCT(($G$14:$G$71=$A52)*($E$14:$E$71=1)*(U$14:U$71="N/A")*$F$14:$F$71)))</f>
        <v/>
      </c>
      <c r="W52" s="22">
        <f>IF(U52="SI",V52,0)</f>
        <v/>
      </c>
      <c r="X52" s="21" t="n"/>
      <c r="Y52" s="22">
        <f>IF(OR($E52=0,X$78=0),0,IF(AND(X52="N/A",$G52&lt;&gt;""),0,$F52+SUMPRODUCT(($G$14:$G$71=$A52)*($E$14:$E$71=1)*(X$14:X$71="N/A")*$F$14:$F$71)))</f>
        <v/>
      </c>
      <c r="Z52" s="22">
        <f>IF(X52="SI",Y52,0)</f>
        <v/>
      </c>
      <c r="AA52" s="22">
        <f>SUM(J52,M52,P52,S52,V52,Y52)</f>
        <v/>
      </c>
      <c r="AB52" s="22">
        <f>SUM(K52,N52,Q52,T52,W52,Z52)</f>
        <v/>
      </c>
      <c r="AC52" s="23">
        <f>IF(AA52=0,"",AB52/AA52)</f>
        <v/>
      </c>
      <c r="AD52" s="22">
        <f>CRITERIOS!Q40</f>
        <v/>
      </c>
      <c r="AE52" s="22">
        <f>IF(AND(E52=1,H52&lt;&gt;"X",((I52="N/A")+(L52="N/A")+(O52="N/A")+(R52="N/A")+(U52="N/A")+(X52="N/A"))&gt;0),"REVISAR","")</f>
        <v/>
      </c>
    </row>
    <row r="53">
      <c r="A53" s="22">
        <f>CRITERIOS!B41</f>
        <v/>
      </c>
      <c r="B53" s="22">
        <f>CRITERIOS!C41</f>
        <v/>
      </c>
      <c r="C53" s="8">
        <f>CRITERIOS!D41</f>
        <v/>
      </c>
      <c r="D53" s="22">
        <f>CRITERIOS!E41</f>
        <v/>
      </c>
      <c r="E53" s="22">
        <f>IFERROR(IF(AND(OR(CRITERIOS!F41="Todos",CRITERIOS!F41=$B$4),INDEX(CRITERIOS!H41:J41,MATCH($B$5,VARIABLES!$E$2:$E$4,0))=1),1,0),0)</f>
        <v/>
      </c>
      <c r="F53" s="22">
        <f>IFERROR(IF(E53=1,INDEX(CRITERIOS!K41:M41,MATCH($B$5,VARIABLES!$E$2:$E$4,0)),0),0)</f>
        <v/>
      </c>
      <c r="G53" s="22">
        <f>IF(CRITERIOS!N41="","",CRITERIOS!N41)</f>
        <v/>
      </c>
      <c r="H53" s="22">
        <f>IF(CRITERIOS!O41="","",CRITERIOS!O41)</f>
        <v/>
      </c>
      <c r="I53" s="21" t="n"/>
      <c r="J53" s="22">
        <f>IF(OR($E53=0,I$78=0),0,IF(AND(I53="N/A",$G53&lt;&gt;""),0,$F53+SUMPRODUCT(($G$14:$G$71=$A53)*($E$14:$E$71=1)*(I$14:I$71="N/A")*$F$14:$F$71)))</f>
        <v/>
      </c>
      <c r="K53" s="22">
        <f>IF(I53="SI",J53,0)</f>
        <v/>
      </c>
      <c r="L53" s="21" t="n"/>
      <c r="M53" s="22">
        <f>IF(OR($E53=0,L$78=0),0,IF(AND(L53="N/A",$G53&lt;&gt;""),0,$F53+SUMPRODUCT(($G$14:$G$71=$A53)*($E$14:$E$71=1)*(L$14:L$71="N/A")*$F$14:$F$71)))</f>
        <v/>
      </c>
      <c r="N53" s="22">
        <f>IF(L53="SI",M53,0)</f>
        <v/>
      </c>
      <c r="O53" s="21" t="n"/>
      <c r="P53" s="22">
        <f>IF(OR($E53=0,O$78=0),0,IF(AND(O53="N/A",$G53&lt;&gt;""),0,$F53+SUMPRODUCT(($G$14:$G$71=$A53)*($E$14:$E$71=1)*(O$14:O$71="N/A")*$F$14:$F$71)))</f>
        <v/>
      </c>
      <c r="Q53" s="22">
        <f>IF(O53="SI",P53,0)</f>
        <v/>
      </c>
      <c r="R53" s="21" t="n"/>
      <c r="S53" s="22">
        <f>IF(OR($E53=0,R$78=0),0,IF(AND(R53="N/A",$G53&lt;&gt;""),0,$F53+SUMPRODUCT(($G$14:$G$71=$A53)*($E$14:$E$71=1)*(R$14:R$71="N/A")*$F$14:$F$71)))</f>
        <v/>
      </c>
      <c r="T53" s="22">
        <f>IF(R53="SI",S53,0)</f>
        <v/>
      </c>
      <c r="U53" s="21" t="n"/>
      <c r="V53" s="22">
        <f>IF(OR($E53=0,U$78=0),0,IF(AND(U53="N/A",$G53&lt;&gt;""),0,$F53+SUMPRODUCT(($G$14:$G$71=$A53)*($E$14:$E$71=1)*(U$14:U$71="N/A")*$F$14:$F$71)))</f>
        <v/>
      </c>
      <c r="W53" s="22">
        <f>IF(U53="SI",V53,0)</f>
        <v/>
      </c>
      <c r="X53" s="21" t="n"/>
      <c r="Y53" s="22">
        <f>IF(OR($E53=0,X$78=0),0,IF(AND(X53="N/A",$G53&lt;&gt;""),0,$F53+SUMPRODUCT(($G$14:$G$71=$A53)*($E$14:$E$71=1)*(X$14:X$71="N/A")*$F$14:$F$71)))</f>
        <v/>
      </c>
      <c r="Z53" s="22">
        <f>IF(X53="SI",Y53,0)</f>
        <v/>
      </c>
      <c r="AA53" s="22">
        <f>SUM(J53,M53,P53,S53,V53,Y53)</f>
        <v/>
      </c>
      <c r="AB53" s="22">
        <f>SUM(K53,N53,Q53,T53,W53,Z53)</f>
        <v/>
      </c>
      <c r="AC53" s="23">
        <f>IF(AA53=0,"",AB53/AA53)</f>
        <v/>
      </c>
      <c r="AD53" s="22">
        <f>CRITERIOS!Q41</f>
        <v/>
      </c>
      <c r="AE53" s="22">
        <f>IF(AND(E53=1,H53&lt;&gt;"X",((I53="N/A")+(L53="N/A")+(O53="N/A")+(R53="N/A")+(U53="N/A")+(X53="N/A"))&gt;0),"REVISAR","")</f>
        <v/>
      </c>
    </row>
    <row r="54">
      <c r="A54" s="22">
        <f>CRITERIOS!B42</f>
        <v/>
      </c>
      <c r="B54" s="22">
        <f>CRITERIOS!C42</f>
        <v/>
      </c>
      <c r="C54" s="8">
        <f>CRITERIOS!D42</f>
        <v/>
      </c>
      <c r="D54" s="22">
        <f>CRITERIOS!E42</f>
        <v/>
      </c>
      <c r="E54" s="22">
        <f>IFERROR(IF(AND(OR(CRITERIOS!F42="Todos",CRITERIOS!F42=$B$4),INDEX(CRITERIOS!H42:J42,MATCH($B$5,VARIABLES!$E$2:$E$4,0))=1),1,0),0)</f>
        <v/>
      </c>
      <c r="F54" s="22">
        <f>IFERROR(IF(E54=1,INDEX(CRITERIOS!K42:M42,MATCH($B$5,VARIABLES!$E$2:$E$4,0)),0),0)</f>
        <v/>
      </c>
      <c r="G54" s="22">
        <f>IF(CRITERIOS!N42="","",CRITERIOS!N42)</f>
        <v/>
      </c>
      <c r="H54" s="22">
        <f>IF(CRITERIOS!O42="","",CRITERIOS!O42)</f>
        <v/>
      </c>
      <c r="I54" s="21" t="n"/>
      <c r="J54" s="22">
        <f>IF(OR($E54=0,I$78=0),0,IF(AND(I54="N/A",$G54&lt;&gt;""),0,$F54+SUMPRODUCT(($G$14:$G$71=$A54)*($E$14:$E$71=1)*(I$14:I$71="N/A")*$F$14:$F$71)))</f>
        <v/>
      </c>
      <c r="K54" s="22">
        <f>IF(I54="SI",J54,0)</f>
        <v/>
      </c>
      <c r="L54" s="21" t="n"/>
      <c r="M54" s="22">
        <f>IF(OR($E54=0,L$78=0),0,IF(AND(L54="N/A",$G54&lt;&gt;""),0,$F54+SUMPRODUCT(($G$14:$G$71=$A54)*($E$14:$E$71=1)*(L$14:L$71="N/A")*$F$14:$F$71)))</f>
        <v/>
      </c>
      <c r="N54" s="22">
        <f>IF(L54="SI",M54,0)</f>
        <v/>
      </c>
      <c r="O54" s="21" t="n"/>
      <c r="P54" s="22">
        <f>IF(OR($E54=0,O$78=0),0,IF(AND(O54="N/A",$G54&lt;&gt;""),0,$F54+SUMPRODUCT(($G$14:$G$71=$A54)*($E$14:$E$71=1)*(O$14:O$71="N/A")*$F$14:$F$71)))</f>
        <v/>
      </c>
      <c r="Q54" s="22">
        <f>IF(O54="SI",P54,0)</f>
        <v/>
      </c>
      <c r="R54" s="21" t="n"/>
      <c r="S54" s="22">
        <f>IF(OR($E54=0,R$78=0),0,IF(AND(R54="N/A",$G54&lt;&gt;""),0,$F54+SUMPRODUCT(($G$14:$G$71=$A54)*($E$14:$E$71=1)*(R$14:R$71="N/A")*$F$14:$F$71)))</f>
        <v/>
      </c>
      <c r="T54" s="22">
        <f>IF(R54="SI",S54,0)</f>
        <v/>
      </c>
      <c r="U54" s="21" t="n"/>
      <c r="V54" s="22">
        <f>IF(OR($E54=0,U$78=0),0,IF(AND(U54="N/A",$G54&lt;&gt;""),0,$F54+SUMPRODUCT(($G$14:$G$71=$A54)*($E$14:$E$71=1)*(U$14:U$71="N/A")*$F$14:$F$71)))</f>
        <v/>
      </c>
      <c r="W54" s="22">
        <f>IF(U54="SI",V54,0)</f>
        <v/>
      </c>
      <c r="X54" s="21" t="n"/>
      <c r="Y54" s="22">
        <f>IF(OR($E54=0,X$78=0),0,IF(AND(X54="N/A",$G54&lt;&gt;""),0,$F54+SUMPRODUCT(($G$14:$G$71=$A54)*($E$14:$E$71=1)*(X$14:X$71="N/A")*$F$14:$F$71)))</f>
        <v/>
      </c>
      <c r="Z54" s="22">
        <f>IF(X54="SI",Y54,0)</f>
        <v/>
      </c>
      <c r="AA54" s="22">
        <f>SUM(J54,M54,P54,S54,V54,Y54)</f>
        <v/>
      </c>
      <c r="AB54" s="22">
        <f>SUM(K54,N54,Q54,T54,W54,Z54)</f>
        <v/>
      </c>
      <c r="AC54" s="23">
        <f>IF(AA54=0,"",AB54/AA54)</f>
        <v/>
      </c>
      <c r="AD54" s="22">
        <f>CRITERIOS!Q42</f>
        <v/>
      </c>
      <c r="AE54" s="22">
        <f>IF(AND(E54=1,H54&lt;&gt;"X",((I54="N/A")+(L54="N/A")+(O54="N/A")+(R54="N/A")+(U54="N/A")+(X54="N/A"))&gt;0),"REVISAR","")</f>
        <v/>
      </c>
    </row>
    <row r="55">
      <c r="A55" s="24">
        <f>CRITERIOS!B43</f>
        <v/>
      </c>
      <c r="B55" s="24">
        <f>CRITERIOS!C43</f>
        <v/>
      </c>
      <c r="C55" s="25">
        <f>CRITERIOS!D43</f>
        <v/>
      </c>
      <c r="D55" s="24">
        <f>CRITERIOS!E43</f>
        <v/>
      </c>
      <c r="E55" s="24">
        <f>IFERROR(IF(AND(OR(CRITERIOS!F43="Todos",CRITERIOS!F43=$B$4),INDEX(CRITERIOS!H43:J43,MATCH($B$5,VARIABLES!$E$2:$E$4,0))=1),1,0),0)</f>
        <v/>
      </c>
      <c r="F55" s="24">
        <f>IFERROR(IF(E55=1,INDEX(CRITERIOS!K43:M43,MATCH($B$5,VARIABLES!$E$2:$E$4,0)),0),0)</f>
        <v/>
      </c>
      <c r="G55" s="24">
        <f>IF(CRITERIOS!N43="","",CRITERIOS!N43)</f>
        <v/>
      </c>
      <c r="H55" s="24">
        <f>IF(CRITERIOS!O43="","",CRITERIOS!O43)</f>
        <v/>
      </c>
      <c r="I55" s="21" t="n"/>
      <c r="J55" s="22">
        <f>IF(OR($E55=0,I$78=0),0,IF(AND(I55="N/A",$G55&lt;&gt;""),0,$F55+SUMPRODUCT(($G$14:$G$71=$A55)*($E$14:$E$71=1)*(I$14:I$71="N/A")*$F$14:$F$71)))</f>
        <v/>
      </c>
      <c r="K55" s="22">
        <f>IF(I55="SI",J55,0)</f>
        <v/>
      </c>
      <c r="L55" s="21" t="n"/>
      <c r="M55" s="22">
        <f>IF(OR($E55=0,L$78=0),0,IF(AND(L55="N/A",$G55&lt;&gt;""),0,$F55+SUMPRODUCT(($G$14:$G$71=$A55)*($E$14:$E$71=1)*(L$14:L$71="N/A")*$F$14:$F$71)))</f>
        <v/>
      </c>
      <c r="N55" s="22">
        <f>IF(L55="SI",M55,0)</f>
        <v/>
      </c>
      <c r="O55" s="21" t="n"/>
      <c r="P55" s="22">
        <f>IF(OR($E55=0,O$78=0),0,IF(AND(O55="N/A",$G55&lt;&gt;""),0,$F55+SUMPRODUCT(($G$14:$G$71=$A55)*($E$14:$E$71=1)*(O$14:O$71="N/A")*$F$14:$F$71)))</f>
        <v/>
      </c>
      <c r="Q55" s="22">
        <f>IF(O55="SI",P55,0)</f>
        <v/>
      </c>
      <c r="R55" s="21" t="n"/>
      <c r="S55" s="22">
        <f>IF(OR($E55=0,R$78=0),0,IF(AND(R55="N/A",$G55&lt;&gt;""),0,$F55+SUMPRODUCT(($G$14:$G$71=$A55)*($E$14:$E$71=1)*(R$14:R$71="N/A")*$F$14:$F$71)))</f>
        <v/>
      </c>
      <c r="T55" s="22">
        <f>IF(R55="SI",S55,0)</f>
        <v/>
      </c>
      <c r="U55" s="21" t="n"/>
      <c r="V55" s="22">
        <f>IF(OR($E55=0,U$78=0),0,IF(AND(U55="N/A",$G55&lt;&gt;""),0,$F55+SUMPRODUCT(($G$14:$G$71=$A55)*($E$14:$E$71=1)*(U$14:U$71="N/A")*$F$14:$F$71)))</f>
        <v/>
      </c>
      <c r="W55" s="22">
        <f>IF(U55="SI",V55,0)</f>
        <v/>
      </c>
      <c r="X55" s="21" t="n"/>
      <c r="Y55" s="22">
        <f>IF(OR($E55=0,X$78=0),0,IF(AND(X55="N/A",$G55&lt;&gt;""),0,$F55+SUMPRODUCT(($G$14:$G$71=$A55)*($E$14:$E$71=1)*(X$14:X$71="N/A")*$F$14:$F$71)))</f>
        <v/>
      </c>
      <c r="Z55" s="22">
        <f>IF(X55="SI",Y55,0)</f>
        <v/>
      </c>
      <c r="AA55" s="22">
        <f>SUM(J55,M55,P55,S55,V55,Y55)</f>
        <v/>
      </c>
      <c r="AB55" s="22">
        <f>SUM(K55,N55,Q55,T55,W55,Z55)</f>
        <v/>
      </c>
      <c r="AC55" s="23">
        <f>IF(AA55=0,"",AB55/AA55)</f>
        <v/>
      </c>
      <c r="AD55" s="22">
        <f>CRITERIOS!Q43</f>
        <v/>
      </c>
      <c r="AE55" s="22">
        <f>IF(AND(E55=1,H55&lt;&gt;"X",((I55="N/A")+(L55="N/A")+(O55="N/A")+(R55="N/A")+(U55="N/A")+(X55="N/A"))&gt;0),"REVISAR","")</f>
        <v/>
      </c>
    </row>
    <row r="56">
      <c r="A56" s="24">
        <f>CRITERIOS!B44</f>
        <v/>
      </c>
      <c r="B56" s="24">
        <f>CRITERIOS!C44</f>
        <v/>
      </c>
      <c r="C56" s="25">
        <f>CRITERIOS!D44</f>
        <v/>
      </c>
      <c r="D56" s="24">
        <f>CRITERIOS!E44</f>
        <v/>
      </c>
      <c r="E56" s="24">
        <f>IFERROR(IF(AND(OR(CRITERIOS!F44="Todos",CRITERIOS!F44=$B$4),INDEX(CRITERIOS!H44:J44,MATCH($B$5,VARIABLES!$E$2:$E$4,0))=1),1,0),0)</f>
        <v/>
      </c>
      <c r="F56" s="24">
        <f>IFERROR(IF(E56=1,INDEX(CRITERIOS!K44:M44,MATCH($B$5,VARIABLES!$E$2:$E$4,0)),0),0)</f>
        <v/>
      </c>
      <c r="G56" s="24">
        <f>IF(CRITERIOS!N44="","",CRITERIOS!N44)</f>
        <v/>
      </c>
      <c r="H56" s="24">
        <f>IF(CRITERIOS!O44="","",CRITERIOS!O44)</f>
        <v/>
      </c>
      <c r="I56" s="21" t="n"/>
      <c r="J56" s="22">
        <f>IF(OR($E56=0,I$78=0),0,IF(AND(I56="N/A",$G56&lt;&gt;""),0,$F56+SUMPRODUCT(($G$14:$G$71=$A56)*($E$14:$E$71=1)*(I$14:I$71="N/A")*$F$14:$F$71)))</f>
        <v/>
      </c>
      <c r="K56" s="22">
        <f>IF(I56="SI",J56,0)</f>
        <v/>
      </c>
      <c r="L56" s="21" t="n"/>
      <c r="M56" s="22">
        <f>IF(OR($E56=0,L$78=0),0,IF(AND(L56="N/A",$G56&lt;&gt;""),0,$F56+SUMPRODUCT(($G$14:$G$71=$A56)*($E$14:$E$71=1)*(L$14:L$71="N/A")*$F$14:$F$71)))</f>
        <v/>
      </c>
      <c r="N56" s="22">
        <f>IF(L56="SI",M56,0)</f>
        <v/>
      </c>
      <c r="O56" s="21" t="n"/>
      <c r="P56" s="22">
        <f>IF(OR($E56=0,O$78=0),0,IF(AND(O56="N/A",$G56&lt;&gt;""),0,$F56+SUMPRODUCT(($G$14:$G$71=$A56)*($E$14:$E$71=1)*(O$14:O$71="N/A")*$F$14:$F$71)))</f>
        <v/>
      </c>
      <c r="Q56" s="22">
        <f>IF(O56="SI",P56,0)</f>
        <v/>
      </c>
      <c r="R56" s="21" t="n"/>
      <c r="S56" s="22">
        <f>IF(OR($E56=0,R$78=0),0,IF(AND(R56="N/A",$G56&lt;&gt;""),0,$F56+SUMPRODUCT(($G$14:$G$71=$A56)*($E$14:$E$71=1)*(R$14:R$71="N/A")*$F$14:$F$71)))</f>
        <v/>
      </c>
      <c r="T56" s="22">
        <f>IF(R56="SI",S56,0)</f>
        <v/>
      </c>
      <c r="U56" s="21" t="n"/>
      <c r="V56" s="22">
        <f>IF(OR($E56=0,U$78=0),0,IF(AND(U56="N/A",$G56&lt;&gt;""),0,$F56+SUMPRODUCT(($G$14:$G$71=$A56)*($E$14:$E$71=1)*(U$14:U$71="N/A")*$F$14:$F$71)))</f>
        <v/>
      </c>
      <c r="W56" s="22">
        <f>IF(U56="SI",V56,0)</f>
        <v/>
      </c>
      <c r="X56" s="21" t="n"/>
      <c r="Y56" s="22">
        <f>IF(OR($E56=0,X$78=0),0,IF(AND(X56="N/A",$G56&lt;&gt;""),0,$F56+SUMPRODUCT(($G$14:$G$71=$A56)*($E$14:$E$71=1)*(X$14:X$71="N/A")*$F$14:$F$71)))</f>
        <v/>
      </c>
      <c r="Z56" s="22">
        <f>IF(X56="SI",Y56,0)</f>
        <v/>
      </c>
      <c r="AA56" s="22">
        <f>SUM(J56,M56,P56,S56,V56,Y56)</f>
        <v/>
      </c>
      <c r="AB56" s="22">
        <f>SUM(K56,N56,Q56,T56,W56,Z56)</f>
        <v/>
      </c>
      <c r="AC56" s="23">
        <f>IF(AA56=0,"",AB56/AA56)</f>
        <v/>
      </c>
      <c r="AD56" s="22">
        <f>CRITERIOS!Q44</f>
        <v/>
      </c>
      <c r="AE56" s="22">
        <f>IF(AND(E56=1,H56&lt;&gt;"X",((I56="N/A")+(L56="N/A")+(O56="N/A")+(R56="N/A")+(U56="N/A")+(X56="N/A"))&gt;0),"REVISAR","")</f>
        <v/>
      </c>
    </row>
    <row r="57">
      <c r="A57" s="24">
        <f>CRITERIOS!B45</f>
        <v/>
      </c>
      <c r="B57" s="24">
        <f>CRITERIOS!C45</f>
        <v/>
      </c>
      <c r="C57" s="25">
        <f>CRITERIOS!D45</f>
        <v/>
      </c>
      <c r="D57" s="24">
        <f>CRITERIOS!E45</f>
        <v/>
      </c>
      <c r="E57" s="24">
        <f>IFERROR(IF(AND(OR(CRITERIOS!F45="Todos",CRITERIOS!F45=$B$4),INDEX(CRITERIOS!H45:J45,MATCH($B$5,VARIABLES!$E$2:$E$4,0))=1),1,0),0)</f>
        <v/>
      </c>
      <c r="F57" s="24">
        <f>IFERROR(IF(E57=1,INDEX(CRITERIOS!K45:M45,MATCH($B$5,VARIABLES!$E$2:$E$4,0)),0),0)</f>
        <v/>
      </c>
      <c r="G57" s="24">
        <f>IF(CRITERIOS!N45="","",CRITERIOS!N45)</f>
        <v/>
      </c>
      <c r="H57" s="24">
        <f>IF(CRITERIOS!O45="","",CRITERIOS!O45)</f>
        <v/>
      </c>
      <c r="I57" s="21" t="n"/>
      <c r="J57" s="22">
        <f>IF(OR($E57=0,I$78=0),0,IF(AND(I57="N/A",$G57&lt;&gt;""),0,$F57+SUMPRODUCT(($G$14:$G$71=$A57)*($E$14:$E$71=1)*(I$14:I$71="N/A")*$F$14:$F$71)))</f>
        <v/>
      </c>
      <c r="K57" s="22">
        <f>IF(I57="SI",J57,0)</f>
        <v/>
      </c>
      <c r="L57" s="21" t="n"/>
      <c r="M57" s="22">
        <f>IF(OR($E57=0,L$78=0),0,IF(AND(L57="N/A",$G57&lt;&gt;""),0,$F57+SUMPRODUCT(($G$14:$G$71=$A57)*($E$14:$E$71=1)*(L$14:L$71="N/A")*$F$14:$F$71)))</f>
        <v/>
      </c>
      <c r="N57" s="22">
        <f>IF(L57="SI",M57,0)</f>
        <v/>
      </c>
      <c r="O57" s="21" t="n"/>
      <c r="P57" s="22">
        <f>IF(OR($E57=0,O$78=0),0,IF(AND(O57="N/A",$G57&lt;&gt;""),0,$F57+SUMPRODUCT(($G$14:$G$71=$A57)*($E$14:$E$71=1)*(O$14:O$71="N/A")*$F$14:$F$71)))</f>
        <v/>
      </c>
      <c r="Q57" s="22">
        <f>IF(O57="SI",P57,0)</f>
        <v/>
      </c>
      <c r="R57" s="21" t="n"/>
      <c r="S57" s="22">
        <f>IF(OR($E57=0,R$78=0),0,IF(AND(R57="N/A",$G57&lt;&gt;""),0,$F57+SUMPRODUCT(($G$14:$G$71=$A57)*($E$14:$E$71=1)*(R$14:R$71="N/A")*$F$14:$F$71)))</f>
        <v/>
      </c>
      <c r="T57" s="22">
        <f>IF(R57="SI",S57,0)</f>
        <v/>
      </c>
      <c r="U57" s="21" t="n"/>
      <c r="V57" s="22">
        <f>IF(OR($E57=0,U$78=0),0,IF(AND(U57="N/A",$G57&lt;&gt;""),0,$F57+SUMPRODUCT(($G$14:$G$71=$A57)*($E$14:$E$71=1)*(U$14:U$71="N/A")*$F$14:$F$71)))</f>
        <v/>
      </c>
      <c r="W57" s="22">
        <f>IF(U57="SI",V57,0)</f>
        <v/>
      </c>
      <c r="X57" s="21" t="n"/>
      <c r="Y57" s="22">
        <f>IF(OR($E57=0,X$78=0),0,IF(AND(X57="N/A",$G57&lt;&gt;""),0,$F57+SUMPRODUCT(($G$14:$G$71=$A57)*($E$14:$E$71=1)*(X$14:X$71="N/A")*$F$14:$F$71)))</f>
        <v/>
      </c>
      <c r="Z57" s="22">
        <f>IF(X57="SI",Y57,0)</f>
        <v/>
      </c>
      <c r="AA57" s="22">
        <f>SUM(J57,M57,P57,S57,V57,Y57)</f>
        <v/>
      </c>
      <c r="AB57" s="22">
        <f>SUM(K57,N57,Q57,T57,W57,Z57)</f>
        <v/>
      </c>
      <c r="AC57" s="23">
        <f>IF(AA57=0,"",AB57/AA57)</f>
        <v/>
      </c>
      <c r="AD57" s="22">
        <f>CRITERIOS!Q45</f>
        <v/>
      </c>
      <c r="AE57" s="22">
        <f>IF(AND(E57=1,H57&lt;&gt;"X",((I57="N/A")+(L57="N/A")+(O57="N/A")+(R57="N/A")+(U57="N/A")+(X57="N/A"))&gt;0),"REVISAR","")</f>
        <v/>
      </c>
    </row>
    <row r="58">
      <c r="A58" s="24">
        <f>CRITERIOS!B46</f>
        <v/>
      </c>
      <c r="B58" s="24">
        <f>CRITERIOS!C46</f>
        <v/>
      </c>
      <c r="C58" s="25">
        <f>CRITERIOS!D46</f>
        <v/>
      </c>
      <c r="D58" s="24">
        <f>CRITERIOS!E46</f>
        <v/>
      </c>
      <c r="E58" s="24">
        <f>IFERROR(IF(AND(OR(CRITERIOS!F46="Todos",CRITERIOS!F46=$B$4),INDEX(CRITERIOS!H46:J46,MATCH($B$5,VARIABLES!$E$2:$E$4,0))=1),1,0),0)</f>
        <v/>
      </c>
      <c r="F58" s="24">
        <f>IFERROR(IF(E58=1,INDEX(CRITERIOS!K46:M46,MATCH($B$5,VARIABLES!$E$2:$E$4,0)),0),0)</f>
        <v/>
      </c>
      <c r="G58" s="24">
        <f>IF(CRITERIOS!N46="","",CRITERIOS!N46)</f>
        <v/>
      </c>
      <c r="H58" s="24">
        <f>IF(CRITERIOS!O46="","",CRITERIOS!O46)</f>
        <v/>
      </c>
      <c r="I58" s="21" t="n"/>
      <c r="J58" s="22">
        <f>IF(OR($E58=0,I$78=0),0,IF(AND(I58="N/A",$G58&lt;&gt;""),0,$F58+SUMPRODUCT(($G$14:$G$71=$A58)*($E$14:$E$71=1)*(I$14:I$71="N/A")*$F$14:$F$71)))</f>
        <v/>
      </c>
      <c r="K58" s="22">
        <f>IF(I58="SI",J58,0)</f>
        <v/>
      </c>
      <c r="L58" s="21" t="n"/>
      <c r="M58" s="22">
        <f>IF(OR($E58=0,L$78=0),0,IF(AND(L58="N/A",$G58&lt;&gt;""),0,$F58+SUMPRODUCT(($G$14:$G$71=$A58)*($E$14:$E$71=1)*(L$14:L$71="N/A")*$F$14:$F$71)))</f>
        <v/>
      </c>
      <c r="N58" s="22">
        <f>IF(L58="SI",M58,0)</f>
        <v/>
      </c>
      <c r="O58" s="21" t="n"/>
      <c r="P58" s="22">
        <f>IF(OR($E58=0,O$78=0),0,IF(AND(O58="N/A",$G58&lt;&gt;""),0,$F58+SUMPRODUCT(($G$14:$G$71=$A58)*($E$14:$E$71=1)*(O$14:O$71="N/A")*$F$14:$F$71)))</f>
        <v/>
      </c>
      <c r="Q58" s="22">
        <f>IF(O58="SI",P58,0)</f>
        <v/>
      </c>
      <c r="R58" s="21" t="n"/>
      <c r="S58" s="22">
        <f>IF(OR($E58=0,R$78=0),0,IF(AND(R58="N/A",$G58&lt;&gt;""),0,$F58+SUMPRODUCT(($G$14:$G$71=$A58)*($E$14:$E$71=1)*(R$14:R$71="N/A")*$F$14:$F$71)))</f>
        <v/>
      </c>
      <c r="T58" s="22">
        <f>IF(R58="SI",S58,0)</f>
        <v/>
      </c>
      <c r="U58" s="21" t="n"/>
      <c r="V58" s="22">
        <f>IF(OR($E58=0,U$78=0),0,IF(AND(U58="N/A",$G58&lt;&gt;""),0,$F58+SUMPRODUCT(($G$14:$G$71=$A58)*($E$14:$E$71=1)*(U$14:U$71="N/A")*$F$14:$F$71)))</f>
        <v/>
      </c>
      <c r="W58" s="22">
        <f>IF(U58="SI",V58,0)</f>
        <v/>
      </c>
      <c r="X58" s="21" t="n"/>
      <c r="Y58" s="22">
        <f>IF(OR($E58=0,X$78=0),0,IF(AND(X58="N/A",$G58&lt;&gt;""),0,$F58+SUMPRODUCT(($G$14:$G$71=$A58)*($E$14:$E$71=1)*(X$14:X$71="N/A")*$F$14:$F$71)))</f>
        <v/>
      </c>
      <c r="Z58" s="22">
        <f>IF(X58="SI",Y58,0)</f>
        <v/>
      </c>
      <c r="AA58" s="22">
        <f>SUM(J58,M58,P58,S58,V58,Y58)</f>
        <v/>
      </c>
      <c r="AB58" s="22">
        <f>SUM(K58,N58,Q58,T58,W58,Z58)</f>
        <v/>
      </c>
      <c r="AC58" s="23">
        <f>IF(AA58=0,"",AB58/AA58)</f>
        <v/>
      </c>
      <c r="AD58" s="22">
        <f>CRITERIOS!Q46</f>
        <v/>
      </c>
      <c r="AE58" s="22">
        <f>IF(AND(E58=1,H58&lt;&gt;"X",((I58="N/A")+(L58="N/A")+(O58="N/A")+(R58="N/A")+(U58="N/A")+(X58="N/A"))&gt;0),"REVISAR","")</f>
        <v/>
      </c>
    </row>
    <row r="59">
      <c r="A59" s="24">
        <f>CRITERIOS!B47</f>
        <v/>
      </c>
      <c r="B59" s="24">
        <f>CRITERIOS!C47</f>
        <v/>
      </c>
      <c r="C59" s="25">
        <f>CRITERIOS!D47</f>
        <v/>
      </c>
      <c r="D59" s="24">
        <f>CRITERIOS!E47</f>
        <v/>
      </c>
      <c r="E59" s="24">
        <f>IFERROR(IF(AND(OR(CRITERIOS!F47="Todos",CRITERIOS!F47=$B$4),INDEX(CRITERIOS!H47:J47,MATCH($B$5,VARIABLES!$E$2:$E$4,0))=1),1,0),0)</f>
        <v/>
      </c>
      <c r="F59" s="24">
        <f>IFERROR(IF(E59=1,INDEX(CRITERIOS!K47:M47,MATCH($B$5,VARIABLES!$E$2:$E$4,0)),0),0)</f>
        <v/>
      </c>
      <c r="G59" s="24">
        <f>IF(CRITERIOS!N47="","",CRITERIOS!N47)</f>
        <v/>
      </c>
      <c r="H59" s="24">
        <f>IF(CRITERIOS!O47="","",CRITERIOS!O47)</f>
        <v/>
      </c>
      <c r="I59" s="21" t="n"/>
      <c r="J59" s="22">
        <f>IF(OR($E59=0,I$78=0),0,IF(AND(I59="N/A",$G59&lt;&gt;""),0,$F59+SUMPRODUCT(($G$14:$G$71=$A59)*($E$14:$E$71=1)*(I$14:I$71="N/A")*$F$14:$F$71)))</f>
        <v/>
      </c>
      <c r="K59" s="22">
        <f>IF(I59="SI",J59,0)</f>
        <v/>
      </c>
      <c r="L59" s="21" t="n"/>
      <c r="M59" s="22">
        <f>IF(OR($E59=0,L$78=0),0,IF(AND(L59="N/A",$G59&lt;&gt;""),0,$F59+SUMPRODUCT(($G$14:$G$71=$A59)*($E$14:$E$71=1)*(L$14:L$71="N/A")*$F$14:$F$71)))</f>
        <v/>
      </c>
      <c r="N59" s="22">
        <f>IF(L59="SI",M59,0)</f>
        <v/>
      </c>
      <c r="O59" s="21" t="n"/>
      <c r="P59" s="22">
        <f>IF(OR($E59=0,O$78=0),0,IF(AND(O59="N/A",$G59&lt;&gt;""),0,$F59+SUMPRODUCT(($G$14:$G$71=$A59)*($E$14:$E$71=1)*(O$14:O$71="N/A")*$F$14:$F$71)))</f>
        <v/>
      </c>
      <c r="Q59" s="22">
        <f>IF(O59="SI",P59,0)</f>
        <v/>
      </c>
      <c r="R59" s="21" t="n"/>
      <c r="S59" s="22">
        <f>IF(OR($E59=0,R$78=0),0,IF(AND(R59="N/A",$G59&lt;&gt;""),0,$F59+SUMPRODUCT(($G$14:$G$71=$A59)*($E$14:$E$71=1)*(R$14:R$71="N/A")*$F$14:$F$71)))</f>
        <v/>
      </c>
      <c r="T59" s="22">
        <f>IF(R59="SI",S59,0)</f>
        <v/>
      </c>
      <c r="U59" s="21" t="n"/>
      <c r="V59" s="22">
        <f>IF(OR($E59=0,U$78=0),0,IF(AND(U59="N/A",$G59&lt;&gt;""),0,$F59+SUMPRODUCT(($G$14:$G$71=$A59)*($E$14:$E$71=1)*(U$14:U$71="N/A")*$F$14:$F$71)))</f>
        <v/>
      </c>
      <c r="W59" s="22">
        <f>IF(U59="SI",V59,0)</f>
        <v/>
      </c>
      <c r="X59" s="21" t="n"/>
      <c r="Y59" s="22">
        <f>IF(OR($E59=0,X$78=0),0,IF(AND(X59="N/A",$G59&lt;&gt;""),0,$F59+SUMPRODUCT(($G$14:$G$71=$A59)*($E$14:$E$71=1)*(X$14:X$71="N/A")*$F$14:$F$71)))</f>
        <v/>
      </c>
      <c r="Z59" s="22">
        <f>IF(X59="SI",Y59,0)</f>
        <v/>
      </c>
      <c r="AA59" s="22">
        <f>SUM(J59,M59,P59,S59,V59,Y59)</f>
        <v/>
      </c>
      <c r="AB59" s="22">
        <f>SUM(K59,N59,Q59,T59,W59,Z59)</f>
        <v/>
      </c>
      <c r="AC59" s="23">
        <f>IF(AA59=0,"",AB59/AA59)</f>
        <v/>
      </c>
      <c r="AD59" s="22">
        <f>CRITERIOS!Q47</f>
        <v/>
      </c>
      <c r="AE59" s="22">
        <f>IF(AND(E59=1,H59&lt;&gt;"X",((I59="N/A")+(L59="N/A")+(O59="N/A")+(R59="N/A")+(U59="N/A")+(X59="N/A"))&gt;0),"REVISAR","")</f>
        <v/>
      </c>
    </row>
    <row r="60">
      <c r="A60" s="24">
        <f>CRITERIOS!B48</f>
        <v/>
      </c>
      <c r="B60" s="24">
        <f>CRITERIOS!C48</f>
        <v/>
      </c>
      <c r="C60" s="25">
        <f>CRITERIOS!D48</f>
        <v/>
      </c>
      <c r="D60" s="24">
        <f>CRITERIOS!E48</f>
        <v/>
      </c>
      <c r="E60" s="24">
        <f>IFERROR(IF(AND(OR(CRITERIOS!F48="Todos",CRITERIOS!F48=$B$4),INDEX(CRITERIOS!H48:J48,MATCH($B$5,VARIABLES!$E$2:$E$4,0))=1),1,0),0)</f>
        <v/>
      </c>
      <c r="F60" s="24">
        <f>IFERROR(IF(E60=1,INDEX(CRITERIOS!K48:M48,MATCH($B$5,VARIABLES!$E$2:$E$4,0)),0),0)</f>
        <v/>
      </c>
      <c r="G60" s="24">
        <f>IF(CRITERIOS!N48="","",CRITERIOS!N48)</f>
        <v/>
      </c>
      <c r="H60" s="24">
        <f>IF(CRITERIOS!O48="","",CRITERIOS!O48)</f>
        <v/>
      </c>
      <c r="I60" s="21" t="n"/>
      <c r="J60" s="22">
        <f>IF(OR($E60=0,I$78=0),0,IF(AND(I60="N/A",$G60&lt;&gt;""),0,$F60+SUMPRODUCT(($G$14:$G$71=$A60)*($E$14:$E$71=1)*(I$14:I$71="N/A")*$F$14:$F$71)))</f>
        <v/>
      </c>
      <c r="K60" s="22">
        <f>IF(I60="SI",J60,0)</f>
        <v/>
      </c>
      <c r="L60" s="21" t="n"/>
      <c r="M60" s="22">
        <f>IF(OR($E60=0,L$78=0),0,IF(AND(L60="N/A",$G60&lt;&gt;""),0,$F60+SUMPRODUCT(($G$14:$G$71=$A60)*($E$14:$E$71=1)*(L$14:L$71="N/A")*$F$14:$F$71)))</f>
        <v/>
      </c>
      <c r="N60" s="22">
        <f>IF(L60="SI",M60,0)</f>
        <v/>
      </c>
      <c r="O60" s="21" t="n"/>
      <c r="P60" s="22">
        <f>IF(OR($E60=0,O$78=0),0,IF(AND(O60="N/A",$G60&lt;&gt;""),0,$F60+SUMPRODUCT(($G$14:$G$71=$A60)*($E$14:$E$71=1)*(O$14:O$71="N/A")*$F$14:$F$71)))</f>
        <v/>
      </c>
      <c r="Q60" s="22">
        <f>IF(O60="SI",P60,0)</f>
        <v/>
      </c>
      <c r="R60" s="21" t="n"/>
      <c r="S60" s="22">
        <f>IF(OR($E60=0,R$78=0),0,IF(AND(R60="N/A",$G60&lt;&gt;""),0,$F60+SUMPRODUCT(($G$14:$G$71=$A60)*($E$14:$E$71=1)*(R$14:R$71="N/A")*$F$14:$F$71)))</f>
        <v/>
      </c>
      <c r="T60" s="22">
        <f>IF(R60="SI",S60,0)</f>
        <v/>
      </c>
      <c r="U60" s="21" t="n"/>
      <c r="V60" s="22">
        <f>IF(OR($E60=0,U$78=0),0,IF(AND(U60="N/A",$G60&lt;&gt;""),0,$F60+SUMPRODUCT(($G$14:$G$71=$A60)*($E$14:$E$71=1)*(U$14:U$71="N/A")*$F$14:$F$71)))</f>
        <v/>
      </c>
      <c r="W60" s="22">
        <f>IF(U60="SI",V60,0)</f>
        <v/>
      </c>
      <c r="X60" s="21" t="n"/>
      <c r="Y60" s="22">
        <f>IF(OR($E60=0,X$78=0),0,IF(AND(X60="N/A",$G60&lt;&gt;""),0,$F60+SUMPRODUCT(($G$14:$G$71=$A60)*($E$14:$E$71=1)*(X$14:X$71="N/A")*$F$14:$F$71)))</f>
        <v/>
      </c>
      <c r="Z60" s="22">
        <f>IF(X60="SI",Y60,0)</f>
        <v/>
      </c>
      <c r="AA60" s="22">
        <f>SUM(J60,M60,P60,S60,V60,Y60)</f>
        <v/>
      </c>
      <c r="AB60" s="22">
        <f>SUM(K60,N60,Q60,T60,W60,Z60)</f>
        <v/>
      </c>
      <c r="AC60" s="23">
        <f>IF(AA60=0,"",AB60/AA60)</f>
        <v/>
      </c>
      <c r="AD60" s="22">
        <f>CRITERIOS!Q48</f>
        <v/>
      </c>
      <c r="AE60" s="22">
        <f>IF(AND(E60=1,H60&lt;&gt;"X",((I60="N/A")+(L60="N/A")+(O60="N/A")+(R60="N/A")+(U60="N/A")+(X60="N/A"))&gt;0),"REVISAR","")</f>
        <v/>
      </c>
    </row>
    <row r="61">
      <c r="A61" s="22">
        <f>CRITERIOS!B49</f>
        <v/>
      </c>
      <c r="B61" s="22">
        <f>CRITERIOS!C49</f>
        <v/>
      </c>
      <c r="C61" s="8">
        <f>CRITERIOS!D49</f>
        <v/>
      </c>
      <c r="D61" s="22">
        <f>CRITERIOS!E49</f>
        <v/>
      </c>
      <c r="E61" s="22">
        <f>IFERROR(IF(AND(OR(CRITERIOS!F49="Todos",CRITERIOS!F49=$B$4),INDEX(CRITERIOS!H49:J49,MATCH($B$5,VARIABLES!$E$2:$E$4,0))=1),1,0),0)</f>
        <v/>
      </c>
      <c r="F61" s="22">
        <f>IFERROR(IF(E61=1,INDEX(CRITERIOS!K49:M49,MATCH($B$5,VARIABLES!$E$2:$E$4,0)),0),0)</f>
        <v/>
      </c>
      <c r="G61" s="22">
        <f>IF(CRITERIOS!N49="","",CRITERIOS!N49)</f>
        <v/>
      </c>
      <c r="H61" s="22">
        <f>IF(CRITERIOS!O49="","",CRITERIOS!O49)</f>
        <v/>
      </c>
      <c r="I61" s="21" t="n"/>
      <c r="J61" s="22">
        <f>IF(OR($E61=0,I$78=0),0,IF(AND(I61="N/A",$G61&lt;&gt;""),0,$F61+SUMPRODUCT(($G$14:$G$71=$A61)*($E$14:$E$71=1)*(I$14:I$71="N/A")*$F$14:$F$71)))</f>
        <v/>
      </c>
      <c r="K61" s="22">
        <f>IF(I61="SI",J61,0)</f>
        <v/>
      </c>
      <c r="L61" s="21" t="n"/>
      <c r="M61" s="22">
        <f>IF(OR($E61=0,L$78=0),0,IF(AND(L61="N/A",$G61&lt;&gt;""),0,$F61+SUMPRODUCT(($G$14:$G$71=$A61)*($E$14:$E$71=1)*(L$14:L$71="N/A")*$F$14:$F$71)))</f>
        <v/>
      </c>
      <c r="N61" s="22">
        <f>IF(L61="SI",M61,0)</f>
        <v/>
      </c>
      <c r="O61" s="21" t="n"/>
      <c r="P61" s="22">
        <f>IF(OR($E61=0,O$78=0),0,IF(AND(O61="N/A",$G61&lt;&gt;""),0,$F61+SUMPRODUCT(($G$14:$G$71=$A61)*($E$14:$E$71=1)*(O$14:O$71="N/A")*$F$14:$F$71)))</f>
        <v/>
      </c>
      <c r="Q61" s="22">
        <f>IF(O61="SI",P61,0)</f>
        <v/>
      </c>
      <c r="R61" s="21" t="n"/>
      <c r="S61" s="22">
        <f>IF(OR($E61=0,R$78=0),0,IF(AND(R61="N/A",$G61&lt;&gt;""),0,$F61+SUMPRODUCT(($G$14:$G$71=$A61)*($E$14:$E$71=1)*(R$14:R$71="N/A")*$F$14:$F$71)))</f>
        <v/>
      </c>
      <c r="T61" s="22">
        <f>IF(R61="SI",S61,0)</f>
        <v/>
      </c>
      <c r="U61" s="21" t="n"/>
      <c r="V61" s="22">
        <f>IF(OR($E61=0,U$78=0),0,IF(AND(U61="N/A",$G61&lt;&gt;""),0,$F61+SUMPRODUCT(($G$14:$G$71=$A61)*($E$14:$E$71=1)*(U$14:U$71="N/A")*$F$14:$F$71)))</f>
        <v/>
      </c>
      <c r="W61" s="22">
        <f>IF(U61="SI",V61,0)</f>
        <v/>
      </c>
      <c r="X61" s="21" t="n"/>
      <c r="Y61" s="22">
        <f>IF(OR($E61=0,X$78=0),0,IF(AND(X61="N/A",$G61&lt;&gt;""),0,$F61+SUMPRODUCT(($G$14:$G$71=$A61)*($E$14:$E$71=1)*(X$14:X$71="N/A")*$F$14:$F$71)))</f>
        <v/>
      </c>
      <c r="Z61" s="22">
        <f>IF(X61="SI",Y61,0)</f>
        <v/>
      </c>
      <c r="AA61" s="22">
        <f>SUM(J61,M61,P61,S61,V61,Y61)</f>
        <v/>
      </c>
      <c r="AB61" s="22">
        <f>SUM(K61,N61,Q61,T61,W61,Z61)</f>
        <v/>
      </c>
      <c r="AC61" s="23">
        <f>IF(AA61=0,"",AB61/AA61)</f>
        <v/>
      </c>
      <c r="AD61" s="22">
        <f>CRITERIOS!Q49</f>
        <v/>
      </c>
      <c r="AE61" s="22">
        <f>IF(AND(E61=1,H61&lt;&gt;"X",((I61="N/A")+(L61="N/A")+(O61="N/A")+(R61="N/A")+(U61="N/A")+(X61="N/A"))&gt;0),"REVISAR","")</f>
        <v/>
      </c>
    </row>
    <row r="62">
      <c r="A62" s="24">
        <f>CRITERIOS!B50</f>
        <v/>
      </c>
      <c r="B62" s="24">
        <f>CRITERIOS!C50</f>
        <v/>
      </c>
      <c r="C62" s="25">
        <f>CRITERIOS!D50</f>
        <v/>
      </c>
      <c r="D62" s="24">
        <f>CRITERIOS!E50</f>
        <v/>
      </c>
      <c r="E62" s="24">
        <f>IFERROR(IF(AND(OR(CRITERIOS!F50="Todos",CRITERIOS!F50=$B$4),INDEX(CRITERIOS!H50:J50,MATCH($B$5,VARIABLES!$E$2:$E$4,0))=1),1,0),0)</f>
        <v/>
      </c>
      <c r="F62" s="24">
        <f>IFERROR(IF(E62=1,INDEX(CRITERIOS!K50:M50,MATCH($B$5,VARIABLES!$E$2:$E$4,0)),0),0)</f>
        <v/>
      </c>
      <c r="G62" s="24">
        <f>IF(CRITERIOS!N50="","",CRITERIOS!N50)</f>
        <v/>
      </c>
      <c r="H62" s="24">
        <f>IF(CRITERIOS!O50="","",CRITERIOS!O50)</f>
        <v/>
      </c>
      <c r="I62" s="21" t="n"/>
      <c r="J62" s="22">
        <f>IF(OR($E62=0,I$78=0),0,IF(AND(I62="N/A",$G62&lt;&gt;""),0,$F62+SUMPRODUCT(($G$14:$G$71=$A62)*($E$14:$E$71=1)*(I$14:I$71="N/A")*$F$14:$F$71)))</f>
        <v/>
      </c>
      <c r="K62" s="22">
        <f>IF(I62="SI",J62,0)</f>
        <v/>
      </c>
      <c r="L62" s="21" t="n"/>
      <c r="M62" s="22">
        <f>IF(OR($E62=0,L$78=0),0,IF(AND(L62="N/A",$G62&lt;&gt;""),0,$F62+SUMPRODUCT(($G$14:$G$71=$A62)*($E$14:$E$71=1)*(L$14:L$71="N/A")*$F$14:$F$71)))</f>
        <v/>
      </c>
      <c r="N62" s="22">
        <f>IF(L62="SI",M62,0)</f>
        <v/>
      </c>
      <c r="O62" s="21" t="n"/>
      <c r="P62" s="22">
        <f>IF(OR($E62=0,O$78=0),0,IF(AND(O62="N/A",$G62&lt;&gt;""),0,$F62+SUMPRODUCT(($G$14:$G$71=$A62)*($E$14:$E$71=1)*(O$14:O$71="N/A")*$F$14:$F$71)))</f>
        <v/>
      </c>
      <c r="Q62" s="22">
        <f>IF(O62="SI",P62,0)</f>
        <v/>
      </c>
      <c r="R62" s="21" t="n"/>
      <c r="S62" s="22">
        <f>IF(OR($E62=0,R$78=0),0,IF(AND(R62="N/A",$G62&lt;&gt;""),0,$F62+SUMPRODUCT(($G$14:$G$71=$A62)*($E$14:$E$71=1)*(R$14:R$71="N/A")*$F$14:$F$71)))</f>
        <v/>
      </c>
      <c r="T62" s="22">
        <f>IF(R62="SI",S62,0)</f>
        <v/>
      </c>
      <c r="U62" s="21" t="n"/>
      <c r="V62" s="22">
        <f>IF(OR($E62=0,U$78=0),0,IF(AND(U62="N/A",$G62&lt;&gt;""),0,$F62+SUMPRODUCT(($G$14:$G$71=$A62)*($E$14:$E$71=1)*(U$14:U$71="N/A")*$F$14:$F$71)))</f>
        <v/>
      </c>
      <c r="W62" s="22">
        <f>IF(U62="SI",V62,0)</f>
        <v/>
      </c>
      <c r="X62" s="21" t="n"/>
      <c r="Y62" s="22">
        <f>IF(OR($E62=0,X$78=0),0,IF(AND(X62="N/A",$G62&lt;&gt;""),0,$F62+SUMPRODUCT(($G$14:$G$71=$A62)*($E$14:$E$71=1)*(X$14:X$71="N/A")*$F$14:$F$71)))</f>
        <v/>
      </c>
      <c r="Z62" s="22">
        <f>IF(X62="SI",Y62,0)</f>
        <v/>
      </c>
      <c r="AA62" s="22">
        <f>SUM(J62,M62,P62,S62,V62,Y62)</f>
        <v/>
      </c>
      <c r="AB62" s="22">
        <f>SUM(K62,N62,Q62,T62,W62,Z62)</f>
        <v/>
      </c>
      <c r="AC62" s="23">
        <f>IF(AA62=0,"",AB62/AA62)</f>
        <v/>
      </c>
      <c r="AD62" s="22">
        <f>CRITERIOS!Q50</f>
        <v/>
      </c>
      <c r="AE62" s="22">
        <f>IF(AND(E62=1,H62&lt;&gt;"X",((I62="N/A")+(L62="N/A")+(O62="N/A")+(R62="N/A")+(U62="N/A")+(X62="N/A"))&gt;0),"REVISAR","")</f>
        <v/>
      </c>
    </row>
    <row r="63">
      <c r="A63" s="24">
        <f>CRITERIOS!B51</f>
        <v/>
      </c>
      <c r="B63" s="24">
        <f>CRITERIOS!C51</f>
        <v/>
      </c>
      <c r="C63" s="25">
        <f>CRITERIOS!D51</f>
        <v/>
      </c>
      <c r="D63" s="24">
        <f>CRITERIOS!E51</f>
        <v/>
      </c>
      <c r="E63" s="24">
        <f>IFERROR(IF(AND(OR(CRITERIOS!F51="Todos",CRITERIOS!F51=$B$4),INDEX(CRITERIOS!H51:J51,MATCH($B$5,VARIABLES!$E$2:$E$4,0))=1),1,0),0)</f>
        <v/>
      </c>
      <c r="F63" s="24">
        <f>IFERROR(IF(E63=1,INDEX(CRITERIOS!K51:M51,MATCH($B$5,VARIABLES!$E$2:$E$4,0)),0),0)</f>
        <v/>
      </c>
      <c r="G63" s="24">
        <f>IF(CRITERIOS!N51="","",CRITERIOS!N51)</f>
        <v/>
      </c>
      <c r="H63" s="24">
        <f>IF(CRITERIOS!O51="","",CRITERIOS!O51)</f>
        <v/>
      </c>
      <c r="I63" s="21" t="n"/>
      <c r="J63" s="22">
        <f>IF(OR($E63=0,I$78=0),0,IF(AND(I63="N/A",$G63&lt;&gt;""),0,$F63+SUMPRODUCT(($G$14:$G$71=$A63)*($E$14:$E$71=1)*(I$14:I$71="N/A")*$F$14:$F$71)))</f>
        <v/>
      </c>
      <c r="K63" s="22">
        <f>IF(I63="SI",J63,0)</f>
        <v/>
      </c>
      <c r="L63" s="21" t="n"/>
      <c r="M63" s="22">
        <f>IF(OR($E63=0,L$78=0),0,IF(AND(L63="N/A",$G63&lt;&gt;""),0,$F63+SUMPRODUCT(($G$14:$G$71=$A63)*($E$14:$E$71=1)*(L$14:L$71="N/A")*$F$14:$F$71)))</f>
        <v/>
      </c>
      <c r="N63" s="22">
        <f>IF(L63="SI",M63,0)</f>
        <v/>
      </c>
      <c r="O63" s="21" t="n"/>
      <c r="P63" s="22">
        <f>IF(OR($E63=0,O$78=0),0,IF(AND(O63="N/A",$G63&lt;&gt;""),0,$F63+SUMPRODUCT(($G$14:$G$71=$A63)*($E$14:$E$71=1)*(O$14:O$71="N/A")*$F$14:$F$71)))</f>
        <v/>
      </c>
      <c r="Q63" s="22">
        <f>IF(O63="SI",P63,0)</f>
        <v/>
      </c>
      <c r="R63" s="21" t="n"/>
      <c r="S63" s="22">
        <f>IF(OR($E63=0,R$78=0),0,IF(AND(R63="N/A",$G63&lt;&gt;""),0,$F63+SUMPRODUCT(($G$14:$G$71=$A63)*($E$14:$E$71=1)*(R$14:R$71="N/A")*$F$14:$F$71)))</f>
        <v/>
      </c>
      <c r="T63" s="22">
        <f>IF(R63="SI",S63,0)</f>
        <v/>
      </c>
      <c r="U63" s="21" t="n"/>
      <c r="V63" s="22">
        <f>IF(OR($E63=0,U$78=0),0,IF(AND(U63="N/A",$G63&lt;&gt;""),0,$F63+SUMPRODUCT(($G$14:$G$71=$A63)*($E$14:$E$71=1)*(U$14:U$71="N/A")*$F$14:$F$71)))</f>
        <v/>
      </c>
      <c r="W63" s="22">
        <f>IF(U63="SI",V63,0)</f>
        <v/>
      </c>
      <c r="X63" s="21" t="n"/>
      <c r="Y63" s="22">
        <f>IF(OR($E63=0,X$78=0),0,IF(AND(X63="N/A",$G63&lt;&gt;""),0,$F63+SUMPRODUCT(($G$14:$G$71=$A63)*($E$14:$E$71=1)*(X$14:X$71="N/A")*$F$14:$F$71)))</f>
        <v/>
      </c>
      <c r="Z63" s="22">
        <f>IF(X63="SI",Y63,0)</f>
        <v/>
      </c>
      <c r="AA63" s="22">
        <f>SUM(J63,M63,P63,S63,V63,Y63)</f>
        <v/>
      </c>
      <c r="AB63" s="22">
        <f>SUM(K63,N63,Q63,T63,W63,Z63)</f>
        <v/>
      </c>
      <c r="AC63" s="23">
        <f>IF(AA63=0,"",AB63/AA63)</f>
        <v/>
      </c>
      <c r="AD63" s="22">
        <f>CRITERIOS!Q51</f>
        <v/>
      </c>
      <c r="AE63" s="22">
        <f>IF(AND(E63=1,H63&lt;&gt;"X",((I63="N/A")+(L63="N/A")+(O63="N/A")+(R63="N/A")+(U63="N/A")+(X63="N/A"))&gt;0),"REVISAR","")</f>
        <v/>
      </c>
    </row>
    <row r="64">
      <c r="A64" s="22">
        <f>CRITERIOS!B52</f>
        <v/>
      </c>
      <c r="B64" s="22">
        <f>CRITERIOS!C52</f>
        <v/>
      </c>
      <c r="C64" s="8">
        <f>CRITERIOS!D52</f>
        <v/>
      </c>
      <c r="D64" s="22">
        <f>CRITERIOS!E52</f>
        <v/>
      </c>
      <c r="E64" s="22">
        <f>IFERROR(IF(AND(OR(CRITERIOS!F52="Todos",CRITERIOS!F52=$B$4),INDEX(CRITERIOS!H52:J52,MATCH($B$5,VARIABLES!$E$2:$E$4,0))=1),1,0),0)</f>
        <v/>
      </c>
      <c r="F64" s="22">
        <f>IFERROR(IF(E64=1,INDEX(CRITERIOS!K52:M52,MATCH($B$5,VARIABLES!$E$2:$E$4,0)),0),0)</f>
        <v/>
      </c>
      <c r="G64" s="22">
        <f>IF(CRITERIOS!N52="","",CRITERIOS!N52)</f>
        <v/>
      </c>
      <c r="H64" s="22">
        <f>IF(CRITERIOS!O52="","",CRITERIOS!O52)</f>
        <v/>
      </c>
      <c r="I64" s="21" t="n"/>
      <c r="J64" s="22">
        <f>IF(OR($E64=0,I$78=0),0,IF(AND(I64="N/A",$G64&lt;&gt;""),0,$F64+SUMPRODUCT(($G$14:$G$71=$A64)*($E$14:$E$71=1)*(I$14:I$71="N/A")*$F$14:$F$71)))</f>
        <v/>
      </c>
      <c r="K64" s="22">
        <f>IF(I64="SI",J64,0)</f>
        <v/>
      </c>
      <c r="L64" s="21" t="n"/>
      <c r="M64" s="22">
        <f>IF(OR($E64=0,L$78=0),0,IF(AND(L64="N/A",$G64&lt;&gt;""),0,$F64+SUMPRODUCT(($G$14:$G$71=$A64)*($E$14:$E$71=1)*(L$14:L$71="N/A")*$F$14:$F$71)))</f>
        <v/>
      </c>
      <c r="N64" s="22">
        <f>IF(L64="SI",M64,0)</f>
        <v/>
      </c>
      <c r="O64" s="21" t="n"/>
      <c r="P64" s="22">
        <f>IF(OR($E64=0,O$78=0),0,IF(AND(O64="N/A",$G64&lt;&gt;""),0,$F64+SUMPRODUCT(($G$14:$G$71=$A64)*($E$14:$E$71=1)*(O$14:O$71="N/A")*$F$14:$F$71)))</f>
        <v/>
      </c>
      <c r="Q64" s="22">
        <f>IF(O64="SI",P64,0)</f>
        <v/>
      </c>
      <c r="R64" s="21" t="n"/>
      <c r="S64" s="22">
        <f>IF(OR($E64=0,R$78=0),0,IF(AND(R64="N/A",$G64&lt;&gt;""),0,$F64+SUMPRODUCT(($G$14:$G$71=$A64)*($E$14:$E$71=1)*(R$14:R$71="N/A")*$F$14:$F$71)))</f>
        <v/>
      </c>
      <c r="T64" s="22">
        <f>IF(R64="SI",S64,0)</f>
        <v/>
      </c>
      <c r="U64" s="21" t="n"/>
      <c r="V64" s="22">
        <f>IF(OR($E64=0,U$78=0),0,IF(AND(U64="N/A",$G64&lt;&gt;""),0,$F64+SUMPRODUCT(($G$14:$G$71=$A64)*($E$14:$E$71=1)*(U$14:U$71="N/A")*$F$14:$F$71)))</f>
        <v/>
      </c>
      <c r="W64" s="22">
        <f>IF(U64="SI",V64,0)</f>
        <v/>
      </c>
      <c r="X64" s="21" t="n"/>
      <c r="Y64" s="22">
        <f>IF(OR($E64=0,X$78=0),0,IF(AND(X64="N/A",$G64&lt;&gt;""),0,$F64+SUMPRODUCT(($G$14:$G$71=$A64)*($E$14:$E$71=1)*(X$14:X$71="N/A")*$F$14:$F$71)))</f>
        <v/>
      </c>
      <c r="Z64" s="22">
        <f>IF(X64="SI",Y64,0)</f>
        <v/>
      </c>
      <c r="AA64" s="22">
        <f>SUM(J64,M64,P64,S64,V64,Y64)</f>
        <v/>
      </c>
      <c r="AB64" s="22">
        <f>SUM(K64,N64,Q64,T64,W64,Z64)</f>
        <v/>
      </c>
      <c r="AC64" s="23">
        <f>IF(AA64=0,"",AB64/AA64)</f>
        <v/>
      </c>
      <c r="AD64" s="22">
        <f>CRITERIOS!Q52</f>
        <v/>
      </c>
      <c r="AE64" s="22">
        <f>IF(AND(E64=1,H64&lt;&gt;"X",((I64="N/A")+(L64="N/A")+(O64="N/A")+(R64="N/A")+(U64="N/A")+(X64="N/A"))&gt;0),"REVISAR","")</f>
        <v/>
      </c>
    </row>
    <row r="65">
      <c r="A65" s="24">
        <f>CRITERIOS!B53</f>
        <v/>
      </c>
      <c r="B65" s="24">
        <f>CRITERIOS!C53</f>
        <v/>
      </c>
      <c r="C65" s="25">
        <f>CRITERIOS!D53</f>
        <v/>
      </c>
      <c r="D65" s="24">
        <f>CRITERIOS!E53</f>
        <v/>
      </c>
      <c r="E65" s="24">
        <f>IFERROR(IF(AND(OR(CRITERIOS!F53="Todos",CRITERIOS!F53=$B$4),INDEX(CRITERIOS!H53:J53,MATCH($B$5,VARIABLES!$E$2:$E$4,0))=1),1,0),0)</f>
        <v/>
      </c>
      <c r="F65" s="24">
        <f>IFERROR(IF(E65=1,INDEX(CRITERIOS!K53:M53,MATCH($B$5,VARIABLES!$E$2:$E$4,0)),0),0)</f>
        <v/>
      </c>
      <c r="G65" s="24">
        <f>IF(CRITERIOS!N53="","",CRITERIOS!N53)</f>
        <v/>
      </c>
      <c r="H65" s="24">
        <f>IF(CRITERIOS!O53="","",CRITERIOS!O53)</f>
        <v/>
      </c>
      <c r="I65" s="21" t="n"/>
      <c r="J65" s="22">
        <f>IF(OR($E65=0,I$78=0),0,IF(AND(I65="N/A",$G65&lt;&gt;""),0,$F65+SUMPRODUCT(($G$14:$G$71=$A65)*($E$14:$E$71=1)*(I$14:I$71="N/A")*$F$14:$F$71)))</f>
        <v/>
      </c>
      <c r="K65" s="22">
        <f>IF(I65="SI",J65,0)</f>
        <v/>
      </c>
      <c r="L65" s="21" t="n"/>
      <c r="M65" s="22">
        <f>IF(OR($E65=0,L$78=0),0,IF(AND(L65="N/A",$G65&lt;&gt;""),0,$F65+SUMPRODUCT(($G$14:$G$71=$A65)*($E$14:$E$71=1)*(L$14:L$71="N/A")*$F$14:$F$71)))</f>
        <v/>
      </c>
      <c r="N65" s="22">
        <f>IF(L65="SI",M65,0)</f>
        <v/>
      </c>
      <c r="O65" s="21" t="n"/>
      <c r="P65" s="22">
        <f>IF(OR($E65=0,O$78=0),0,IF(AND(O65="N/A",$G65&lt;&gt;""),0,$F65+SUMPRODUCT(($G$14:$G$71=$A65)*($E$14:$E$71=1)*(O$14:O$71="N/A")*$F$14:$F$71)))</f>
        <v/>
      </c>
      <c r="Q65" s="22">
        <f>IF(O65="SI",P65,0)</f>
        <v/>
      </c>
      <c r="R65" s="21" t="n"/>
      <c r="S65" s="22">
        <f>IF(OR($E65=0,R$78=0),0,IF(AND(R65="N/A",$G65&lt;&gt;""),0,$F65+SUMPRODUCT(($G$14:$G$71=$A65)*($E$14:$E$71=1)*(R$14:R$71="N/A")*$F$14:$F$71)))</f>
        <v/>
      </c>
      <c r="T65" s="22">
        <f>IF(R65="SI",S65,0)</f>
        <v/>
      </c>
      <c r="U65" s="21" t="n"/>
      <c r="V65" s="22">
        <f>IF(OR($E65=0,U$78=0),0,IF(AND(U65="N/A",$G65&lt;&gt;""),0,$F65+SUMPRODUCT(($G$14:$G$71=$A65)*($E$14:$E$71=1)*(U$14:U$71="N/A")*$F$14:$F$71)))</f>
        <v/>
      </c>
      <c r="W65" s="22">
        <f>IF(U65="SI",V65,0)</f>
        <v/>
      </c>
      <c r="X65" s="21" t="n"/>
      <c r="Y65" s="22">
        <f>IF(OR($E65=0,X$78=0),0,IF(AND(X65="N/A",$G65&lt;&gt;""),0,$F65+SUMPRODUCT(($G$14:$G$71=$A65)*($E$14:$E$71=1)*(X$14:X$71="N/A")*$F$14:$F$71)))</f>
        <v/>
      </c>
      <c r="Z65" s="22">
        <f>IF(X65="SI",Y65,0)</f>
        <v/>
      </c>
      <c r="AA65" s="22">
        <f>SUM(J65,M65,P65,S65,V65,Y65)</f>
        <v/>
      </c>
      <c r="AB65" s="22">
        <f>SUM(K65,N65,Q65,T65,W65,Z65)</f>
        <v/>
      </c>
      <c r="AC65" s="23">
        <f>IF(AA65=0,"",AB65/AA65)</f>
        <v/>
      </c>
      <c r="AD65" s="22">
        <f>CRITERIOS!Q53</f>
        <v/>
      </c>
      <c r="AE65" s="22">
        <f>IF(AND(E65=1,H65&lt;&gt;"X",((I65="N/A")+(L65="N/A")+(O65="N/A")+(R65="N/A")+(U65="N/A")+(X65="N/A"))&gt;0),"REVISAR","")</f>
        <v/>
      </c>
    </row>
    <row r="66">
      <c r="A66" s="24">
        <f>CRITERIOS!B54</f>
        <v/>
      </c>
      <c r="B66" s="24">
        <f>CRITERIOS!C54</f>
        <v/>
      </c>
      <c r="C66" s="25">
        <f>CRITERIOS!D54</f>
        <v/>
      </c>
      <c r="D66" s="24">
        <f>CRITERIOS!E54</f>
        <v/>
      </c>
      <c r="E66" s="24">
        <f>IFERROR(IF(AND(OR(CRITERIOS!F54="Todos",CRITERIOS!F54=$B$4),INDEX(CRITERIOS!H54:J54,MATCH($B$5,VARIABLES!$E$2:$E$4,0))=1),1,0),0)</f>
        <v/>
      </c>
      <c r="F66" s="24">
        <f>IFERROR(IF(E66=1,INDEX(CRITERIOS!K54:M54,MATCH($B$5,VARIABLES!$E$2:$E$4,0)),0),0)</f>
        <v/>
      </c>
      <c r="G66" s="24">
        <f>IF(CRITERIOS!N54="","",CRITERIOS!N54)</f>
        <v/>
      </c>
      <c r="H66" s="24">
        <f>IF(CRITERIOS!O54="","",CRITERIOS!O54)</f>
        <v/>
      </c>
      <c r="I66" s="21" t="n"/>
      <c r="J66" s="22">
        <f>IF(OR($E66=0,I$78=0),0,IF(AND(I66="N/A",$G66&lt;&gt;""),0,$F66+SUMPRODUCT(($G$14:$G$71=$A66)*($E$14:$E$71=1)*(I$14:I$71="N/A")*$F$14:$F$71)))</f>
        <v/>
      </c>
      <c r="K66" s="22">
        <f>IF(I66="SI",J66,0)</f>
        <v/>
      </c>
      <c r="L66" s="21" t="n"/>
      <c r="M66" s="22">
        <f>IF(OR($E66=0,L$78=0),0,IF(AND(L66="N/A",$G66&lt;&gt;""),0,$F66+SUMPRODUCT(($G$14:$G$71=$A66)*($E$14:$E$71=1)*(L$14:L$71="N/A")*$F$14:$F$71)))</f>
        <v/>
      </c>
      <c r="N66" s="22">
        <f>IF(L66="SI",M66,0)</f>
        <v/>
      </c>
      <c r="O66" s="21" t="n"/>
      <c r="P66" s="22">
        <f>IF(OR($E66=0,O$78=0),0,IF(AND(O66="N/A",$G66&lt;&gt;""),0,$F66+SUMPRODUCT(($G$14:$G$71=$A66)*($E$14:$E$71=1)*(O$14:O$71="N/A")*$F$14:$F$71)))</f>
        <v/>
      </c>
      <c r="Q66" s="22">
        <f>IF(O66="SI",P66,0)</f>
        <v/>
      </c>
      <c r="R66" s="21" t="n"/>
      <c r="S66" s="22">
        <f>IF(OR($E66=0,R$78=0),0,IF(AND(R66="N/A",$G66&lt;&gt;""),0,$F66+SUMPRODUCT(($G$14:$G$71=$A66)*($E$14:$E$71=1)*(R$14:R$71="N/A")*$F$14:$F$71)))</f>
        <v/>
      </c>
      <c r="T66" s="22">
        <f>IF(R66="SI",S66,0)</f>
        <v/>
      </c>
      <c r="U66" s="21" t="n"/>
      <c r="V66" s="22">
        <f>IF(OR($E66=0,U$78=0),0,IF(AND(U66="N/A",$G66&lt;&gt;""),0,$F66+SUMPRODUCT(($G$14:$G$71=$A66)*($E$14:$E$71=1)*(U$14:U$71="N/A")*$F$14:$F$71)))</f>
        <v/>
      </c>
      <c r="W66" s="22">
        <f>IF(U66="SI",V66,0)</f>
        <v/>
      </c>
      <c r="X66" s="21" t="n"/>
      <c r="Y66" s="22">
        <f>IF(OR($E66=0,X$78=0),0,IF(AND(X66="N/A",$G66&lt;&gt;""),0,$F66+SUMPRODUCT(($G$14:$G$71=$A66)*($E$14:$E$71=1)*(X$14:X$71="N/A")*$F$14:$F$71)))</f>
        <v/>
      </c>
      <c r="Z66" s="22">
        <f>IF(X66="SI",Y66,0)</f>
        <v/>
      </c>
      <c r="AA66" s="22">
        <f>SUM(J66,M66,P66,S66,V66,Y66)</f>
        <v/>
      </c>
      <c r="AB66" s="22">
        <f>SUM(K66,N66,Q66,T66,W66,Z66)</f>
        <v/>
      </c>
      <c r="AC66" s="23">
        <f>IF(AA66=0,"",AB66/AA66)</f>
        <v/>
      </c>
      <c r="AD66" s="22">
        <f>CRITERIOS!Q54</f>
        <v/>
      </c>
      <c r="AE66" s="22">
        <f>IF(AND(E66=1,H66&lt;&gt;"X",((I66="N/A")+(L66="N/A")+(O66="N/A")+(R66="N/A")+(U66="N/A")+(X66="N/A"))&gt;0),"REVISAR","")</f>
        <v/>
      </c>
    </row>
    <row r="67">
      <c r="A67" s="24">
        <f>CRITERIOS!B55</f>
        <v/>
      </c>
      <c r="B67" s="24">
        <f>CRITERIOS!C55</f>
        <v/>
      </c>
      <c r="C67" s="25">
        <f>CRITERIOS!D55</f>
        <v/>
      </c>
      <c r="D67" s="24">
        <f>CRITERIOS!E55</f>
        <v/>
      </c>
      <c r="E67" s="24">
        <f>IFERROR(IF(AND(OR(CRITERIOS!F55="Todos",CRITERIOS!F55=$B$4),INDEX(CRITERIOS!H55:J55,MATCH($B$5,VARIABLES!$E$2:$E$4,0))=1),1,0),0)</f>
        <v/>
      </c>
      <c r="F67" s="24">
        <f>IFERROR(IF(E67=1,INDEX(CRITERIOS!K55:M55,MATCH($B$5,VARIABLES!$E$2:$E$4,0)),0),0)</f>
        <v/>
      </c>
      <c r="G67" s="24">
        <f>IF(CRITERIOS!N55="","",CRITERIOS!N55)</f>
        <v/>
      </c>
      <c r="H67" s="24">
        <f>IF(CRITERIOS!O55="","",CRITERIOS!O55)</f>
        <v/>
      </c>
      <c r="I67" s="21" t="n"/>
      <c r="J67" s="22">
        <f>IF(OR($E67=0,I$78=0),0,IF(AND(I67="N/A",$G67&lt;&gt;""),0,$F67+SUMPRODUCT(($G$14:$G$71=$A67)*($E$14:$E$71=1)*(I$14:I$71="N/A")*$F$14:$F$71)))</f>
        <v/>
      </c>
      <c r="K67" s="22">
        <f>IF(I67="SI",J67,0)</f>
        <v/>
      </c>
      <c r="L67" s="21" t="n"/>
      <c r="M67" s="22">
        <f>IF(OR($E67=0,L$78=0),0,IF(AND(L67="N/A",$G67&lt;&gt;""),0,$F67+SUMPRODUCT(($G$14:$G$71=$A67)*($E$14:$E$71=1)*(L$14:L$71="N/A")*$F$14:$F$71)))</f>
        <v/>
      </c>
      <c r="N67" s="22">
        <f>IF(L67="SI",M67,0)</f>
        <v/>
      </c>
      <c r="O67" s="21" t="n"/>
      <c r="P67" s="22">
        <f>IF(OR($E67=0,O$78=0),0,IF(AND(O67="N/A",$G67&lt;&gt;""),0,$F67+SUMPRODUCT(($G$14:$G$71=$A67)*($E$14:$E$71=1)*(O$14:O$71="N/A")*$F$14:$F$71)))</f>
        <v/>
      </c>
      <c r="Q67" s="22">
        <f>IF(O67="SI",P67,0)</f>
        <v/>
      </c>
      <c r="R67" s="21" t="n"/>
      <c r="S67" s="22">
        <f>IF(OR($E67=0,R$78=0),0,IF(AND(R67="N/A",$G67&lt;&gt;""),0,$F67+SUMPRODUCT(($G$14:$G$71=$A67)*($E$14:$E$71=1)*(R$14:R$71="N/A")*$F$14:$F$71)))</f>
        <v/>
      </c>
      <c r="T67" s="22">
        <f>IF(R67="SI",S67,0)</f>
        <v/>
      </c>
      <c r="U67" s="21" t="n"/>
      <c r="V67" s="22">
        <f>IF(OR($E67=0,U$78=0),0,IF(AND(U67="N/A",$G67&lt;&gt;""),0,$F67+SUMPRODUCT(($G$14:$G$71=$A67)*($E$14:$E$71=1)*(U$14:U$71="N/A")*$F$14:$F$71)))</f>
        <v/>
      </c>
      <c r="W67" s="22">
        <f>IF(U67="SI",V67,0)</f>
        <v/>
      </c>
      <c r="X67" s="21" t="n"/>
      <c r="Y67" s="22">
        <f>IF(OR($E67=0,X$78=0),0,IF(AND(X67="N/A",$G67&lt;&gt;""),0,$F67+SUMPRODUCT(($G$14:$G$71=$A67)*($E$14:$E$71=1)*(X$14:X$71="N/A")*$F$14:$F$71)))</f>
        <v/>
      </c>
      <c r="Z67" s="22">
        <f>IF(X67="SI",Y67,0)</f>
        <v/>
      </c>
      <c r="AA67" s="22">
        <f>SUM(J67,M67,P67,S67,V67,Y67)</f>
        <v/>
      </c>
      <c r="AB67" s="22">
        <f>SUM(K67,N67,Q67,T67,W67,Z67)</f>
        <v/>
      </c>
      <c r="AC67" s="23">
        <f>IF(AA67=0,"",AB67/AA67)</f>
        <v/>
      </c>
      <c r="AD67" s="22">
        <f>CRITERIOS!Q55</f>
        <v/>
      </c>
      <c r="AE67" s="22">
        <f>IF(AND(E67=1,H67&lt;&gt;"X",((I67="N/A")+(L67="N/A")+(O67="N/A")+(R67="N/A")+(U67="N/A")+(X67="N/A"))&gt;0),"REVISAR","")</f>
        <v/>
      </c>
    </row>
    <row r="68">
      <c r="A68" s="24">
        <f>CRITERIOS!B56</f>
        <v/>
      </c>
      <c r="B68" s="24">
        <f>CRITERIOS!C56</f>
        <v/>
      </c>
      <c r="C68" s="25">
        <f>CRITERIOS!D56</f>
        <v/>
      </c>
      <c r="D68" s="24">
        <f>CRITERIOS!E56</f>
        <v/>
      </c>
      <c r="E68" s="24">
        <f>IFERROR(IF(AND(OR(CRITERIOS!F56="Todos",CRITERIOS!F56=$B$4),INDEX(CRITERIOS!H56:J56,MATCH($B$5,VARIABLES!$E$2:$E$4,0))=1),1,0),0)</f>
        <v/>
      </c>
      <c r="F68" s="24">
        <f>IFERROR(IF(E68=1,INDEX(CRITERIOS!K56:M56,MATCH($B$5,VARIABLES!$E$2:$E$4,0)),0),0)</f>
        <v/>
      </c>
      <c r="G68" s="24">
        <f>IF(CRITERIOS!N56="","",CRITERIOS!N56)</f>
        <v/>
      </c>
      <c r="H68" s="24">
        <f>IF(CRITERIOS!O56="","",CRITERIOS!O56)</f>
        <v/>
      </c>
      <c r="I68" s="21" t="n"/>
      <c r="J68" s="22">
        <f>IF(OR($E68=0,I$78=0),0,IF(AND(I68="N/A",$G68&lt;&gt;""),0,$F68+SUMPRODUCT(($G$14:$G$71=$A68)*($E$14:$E$71=1)*(I$14:I$71="N/A")*$F$14:$F$71)))</f>
        <v/>
      </c>
      <c r="K68" s="22">
        <f>IF(I68="SI",J68,0)</f>
        <v/>
      </c>
      <c r="L68" s="21" t="n"/>
      <c r="M68" s="22">
        <f>IF(OR($E68=0,L$78=0),0,IF(AND(L68="N/A",$G68&lt;&gt;""),0,$F68+SUMPRODUCT(($G$14:$G$71=$A68)*($E$14:$E$71=1)*(L$14:L$71="N/A")*$F$14:$F$71)))</f>
        <v/>
      </c>
      <c r="N68" s="22">
        <f>IF(L68="SI",M68,0)</f>
        <v/>
      </c>
      <c r="O68" s="21" t="n"/>
      <c r="P68" s="22">
        <f>IF(OR($E68=0,O$78=0),0,IF(AND(O68="N/A",$G68&lt;&gt;""),0,$F68+SUMPRODUCT(($G$14:$G$71=$A68)*($E$14:$E$71=1)*(O$14:O$71="N/A")*$F$14:$F$71)))</f>
        <v/>
      </c>
      <c r="Q68" s="22">
        <f>IF(O68="SI",P68,0)</f>
        <v/>
      </c>
      <c r="R68" s="21" t="n"/>
      <c r="S68" s="22">
        <f>IF(OR($E68=0,R$78=0),0,IF(AND(R68="N/A",$G68&lt;&gt;""),0,$F68+SUMPRODUCT(($G$14:$G$71=$A68)*($E$14:$E$71=1)*(R$14:R$71="N/A")*$F$14:$F$71)))</f>
        <v/>
      </c>
      <c r="T68" s="22">
        <f>IF(R68="SI",S68,0)</f>
        <v/>
      </c>
      <c r="U68" s="21" t="n"/>
      <c r="V68" s="22">
        <f>IF(OR($E68=0,U$78=0),0,IF(AND(U68="N/A",$G68&lt;&gt;""),0,$F68+SUMPRODUCT(($G$14:$G$71=$A68)*($E$14:$E$71=1)*(U$14:U$71="N/A")*$F$14:$F$71)))</f>
        <v/>
      </c>
      <c r="W68" s="22">
        <f>IF(U68="SI",V68,0)</f>
        <v/>
      </c>
      <c r="X68" s="21" t="n"/>
      <c r="Y68" s="22">
        <f>IF(OR($E68=0,X$78=0),0,IF(AND(X68="N/A",$G68&lt;&gt;""),0,$F68+SUMPRODUCT(($G$14:$G$71=$A68)*($E$14:$E$71=1)*(X$14:X$71="N/A")*$F$14:$F$71)))</f>
        <v/>
      </c>
      <c r="Z68" s="22">
        <f>IF(X68="SI",Y68,0)</f>
        <v/>
      </c>
      <c r="AA68" s="22">
        <f>SUM(J68,M68,P68,S68,V68,Y68)</f>
        <v/>
      </c>
      <c r="AB68" s="22">
        <f>SUM(K68,N68,Q68,T68,W68,Z68)</f>
        <v/>
      </c>
      <c r="AC68" s="23">
        <f>IF(AA68=0,"",AB68/AA68)</f>
        <v/>
      </c>
      <c r="AD68" s="22">
        <f>CRITERIOS!Q56</f>
        <v/>
      </c>
      <c r="AE68" s="22">
        <f>IF(AND(E68=1,H68&lt;&gt;"X",((I68="N/A")+(L68="N/A")+(O68="N/A")+(R68="N/A")+(U68="N/A")+(X68="N/A"))&gt;0),"REVISAR","")</f>
        <v/>
      </c>
    </row>
    <row r="69">
      <c r="A69" s="22">
        <f>CRITERIOS!B57</f>
        <v/>
      </c>
      <c r="B69" s="22">
        <f>CRITERIOS!C57</f>
        <v/>
      </c>
      <c r="C69" s="8">
        <f>CRITERIOS!D57</f>
        <v/>
      </c>
      <c r="D69" s="22">
        <f>CRITERIOS!E57</f>
        <v/>
      </c>
      <c r="E69" s="22">
        <f>IFERROR(IF(AND(OR(CRITERIOS!F57="Todos",CRITERIOS!F57=$B$4),INDEX(CRITERIOS!H57:J57,MATCH($B$5,VARIABLES!$E$2:$E$4,0))=1),1,0),0)</f>
        <v/>
      </c>
      <c r="F69" s="22">
        <f>IFERROR(IF(E69=1,INDEX(CRITERIOS!K57:M57,MATCH($B$5,VARIABLES!$E$2:$E$4,0)),0),0)</f>
        <v/>
      </c>
      <c r="G69" s="22">
        <f>IF(CRITERIOS!N57="","",CRITERIOS!N57)</f>
        <v/>
      </c>
      <c r="H69" s="22">
        <f>IF(CRITERIOS!O57="","",CRITERIOS!O57)</f>
        <v/>
      </c>
      <c r="I69" s="21" t="n"/>
      <c r="J69" s="22">
        <f>IF(OR($E69=0,I$78=0),0,IF(AND(I69="N/A",$G69&lt;&gt;""),0,$F69+SUMPRODUCT(($G$14:$G$71=$A69)*($E$14:$E$71=1)*(I$14:I$71="N/A")*$F$14:$F$71)))</f>
        <v/>
      </c>
      <c r="K69" s="22">
        <f>IF(I69="SI",J69,0)</f>
        <v/>
      </c>
      <c r="L69" s="21" t="n"/>
      <c r="M69" s="22">
        <f>IF(OR($E69=0,L$78=0),0,IF(AND(L69="N/A",$G69&lt;&gt;""),0,$F69+SUMPRODUCT(($G$14:$G$71=$A69)*($E$14:$E$71=1)*(L$14:L$71="N/A")*$F$14:$F$71)))</f>
        <v/>
      </c>
      <c r="N69" s="22">
        <f>IF(L69="SI",M69,0)</f>
        <v/>
      </c>
      <c r="O69" s="21" t="n"/>
      <c r="P69" s="22">
        <f>IF(OR($E69=0,O$78=0),0,IF(AND(O69="N/A",$G69&lt;&gt;""),0,$F69+SUMPRODUCT(($G$14:$G$71=$A69)*($E$14:$E$71=1)*(O$14:O$71="N/A")*$F$14:$F$71)))</f>
        <v/>
      </c>
      <c r="Q69" s="22">
        <f>IF(O69="SI",P69,0)</f>
        <v/>
      </c>
      <c r="R69" s="21" t="n"/>
      <c r="S69" s="22">
        <f>IF(OR($E69=0,R$78=0),0,IF(AND(R69="N/A",$G69&lt;&gt;""),0,$F69+SUMPRODUCT(($G$14:$G$71=$A69)*($E$14:$E$71=1)*(R$14:R$71="N/A")*$F$14:$F$71)))</f>
        <v/>
      </c>
      <c r="T69" s="22">
        <f>IF(R69="SI",S69,0)</f>
        <v/>
      </c>
      <c r="U69" s="21" t="n"/>
      <c r="V69" s="22">
        <f>IF(OR($E69=0,U$78=0),0,IF(AND(U69="N/A",$G69&lt;&gt;""),0,$F69+SUMPRODUCT(($G$14:$G$71=$A69)*($E$14:$E$71=1)*(U$14:U$71="N/A")*$F$14:$F$71)))</f>
        <v/>
      </c>
      <c r="W69" s="22">
        <f>IF(U69="SI",V69,0)</f>
        <v/>
      </c>
      <c r="X69" s="21" t="n"/>
      <c r="Y69" s="22">
        <f>IF(OR($E69=0,X$78=0),0,IF(AND(X69="N/A",$G69&lt;&gt;""),0,$F69+SUMPRODUCT(($G$14:$G$71=$A69)*($E$14:$E$71=1)*(X$14:X$71="N/A")*$F$14:$F$71)))</f>
        <v/>
      </c>
      <c r="Z69" s="22">
        <f>IF(X69="SI",Y69,0)</f>
        <v/>
      </c>
      <c r="AA69" s="22">
        <f>SUM(J69,M69,P69,S69,V69,Y69)</f>
        <v/>
      </c>
      <c r="AB69" s="22">
        <f>SUM(K69,N69,Q69,T69,W69,Z69)</f>
        <v/>
      </c>
      <c r="AC69" s="23">
        <f>IF(AA69=0,"",AB69/AA69)</f>
        <v/>
      </c>
      <c r="AD69" s="22">
        <f>CRITERIOS!Q57</f>
        <v/>
      </c>
      <c r="AE69" s="22">
        <f>IF(AND(E69=1,H69&lt;&gt;"X",((I69="N/A")+(L69="N/A")+(O69="N/A")+(R69="N/A")+(U69="N/A")+(X69="N/A"))&gt;0),"REVISAR","")</f>
        <v/>
      </c>
    </row>
    <row r="70">
      <c r="A70" s="22">
        <f>CRITERIOS!B58</f>
        <v/>
      </c>
      <c r="B70" s="22">
        <f>CRITERIOS!C58</f>
        <v/>
      </c>
      <c r="C70" s="8">
        <f>CRITERIOS!D58</f>
        <v/>
      </c>
      <c r="D70" s="22">
        <f>CRITERIOS!E58</f>
        <v/>
      </c>
      <c r="E70" s="22">
        <f>IFERROR(IF(AND(OR(CRITERIOS!F58="Todos",CRITERIOS!F58=$B$4),INDEX(CRITERIOS!H58:J58,MATCH($B$5,VARIABLES!$E$2:$E$4,0))=1),1,0),0)</f>
        <v/>
      </c>
      <c r="F70" s="22">
        <f>IFERROR(IF(E70=1,INDEX(CRITERIOS!K58:M58,MATCH($B$5,VARIABLES!$E$2:$E$4,0)),0),0)</f>
        <v/>
      </c>
      <c r="G70" s="22">
        <f>IF(CRITERIOS!N58="","",CRITERIOS!N58)</f>
        <v/>
      </c>
      <c r="H70" s="22">
        <f>IF(CRITERIOS!O58="","",CRITERIOS!O58)</f>
        <v/>
      </c>
      <c r="I70" s="21" t="n"/>
      <c r="J70" s="22">
        <f>IF(OR($E70=0,I$78=0),0,IF(AND(I70="N/A",$G70&lt;&gt;""),0,$F70+SUMPRODUCT(($G$14:$G$71=$A70)*($E$14:$E$71=1)*(I$14:I$71="N/A")*$F$14:$F$71)))</f>
        <v/>
      </c>
      <c r="K70" s="22">
        <f>IF(I70="SI",J70,0)</f>
        <v/>
      </c>
      <c r="L70" s="21" t="n"/>
      <c r="M70" s="22">
        <f>IF(OR($E70=0,L$78=0),0,IF(AND(L70="N/A",$G70&lt;&gt;""),0,$F70+SUMPRODUCT(($G$14:$G$71=$A70)*($E$14:$E$71=1)*(L$14:L$71="N/A")*$F$14:$F$71)))</f>
        <v/>
      </c>
      <c r="N70" s="22">
        <f>IF(L70="SI",M70,0)</f>
        <v/>
      </c>
      <c r="O70" s="21" t="n"/>
      <c r="P70" s="22">
        <f>IF(OR($E70=0,O$78=0),0,IF(AND(O70="N/A",$G70&lt;&gt;""),0,$F70+SUMPRODUCT(($G$14:$G$71=$A70)*($E$14:$E$71=1)*(O$14:O$71="N/A")*$F$14:$F$71)))</f>
        <v/>
      </c>
      <c r="Q70" s="22">
        <f>IF(O70="SI",P70,0)</f>
        <v/>
      </c>
      <c r="R70" s="21" t="n"/>
      <c r="S70" s="22">
        <f>IF(OR($E70=0,R$78=0),0,IF(AND(R70="N/A",$G70&lt;&gt;""),0,$F70+SUMPRODUCT(($G$14:$G$71=$A70)*($E$14:$E$71=1)*(R$14:R$71="N/A")*$F$14:$F$71)))</f>
        <v/>
      </c>
      <c r="T70" s="22">
        <f>IF(R70="SI",S70,0)</f>
        <v/>
      </c>
      <c r="U70" s="21" t="n"/>
      <c r="V70" s="22">
        <f>IF(OR($E70=0,U$78=0),0,IF(AND(U70="N/A",$G70&lt;&gt;""),0,$F70+SUMPRODUCT(($G$14:$G$71=$A70)*($E$14:$E$71=1)*(U$14:U$71="N/A")*$F$14:$F$71)))</f>
        <v/>
      </c>
      <c r="W70" s="22">
        <f>IF(U70="SI",V70,0)</f>
        <v/>
      </c>
      <c r="X70" s="21" t="n"/>
      <c r="Y70" s="22">
        <f>IF(OR($E70=0,X$78=0),0,IF(AND(X70="N/A",$G70&lt;&gt;""),0,$F70+SUMPRODUCT(($G$14:$G$71=$A70)*($E$14:$E$71=1)*(X$14:X$71="N/A")*$F$14:$F$71)))</f>
        <v/>
      </c>
      <c r="Z70" s="22">
        <f>IF(X70="SI",Y70,0)</f>
        <v/>
      </c>
      <c r="AA70" s="22">
        <f>SUM(J70,M70,P70,S70,V70,Y70)</f>
        <v/>
      </c>
      <c r="AB70" s="22">
        <f>SUM(K70,N70,Q70,T70,W70,Z70)</f>
        <v/>
      </c>
      <c r="AC70" s="23">
        <f>IF(AA70=0,"",AB70/AA70)</f>
        <v/>
      </c>
      <c r="AD70" s="22">
        <f>CRITERIOS!Q58</f>
        <v/>
      </c>
      <c r="AE70" s="22">
        <f>IF(AND(E70=1,H70&lt;&gt;"X",((I70="N/A")+(L70="N/A")+(O70="N/A")+(R70="N/A")+(U70="N/A")+(X70="N/A"))&gt;0),"REVISAR","")</f>
        <v/>
      </c>
    </row>
    <row r="71">
      <c r="A71" s="24">
        <f>CRITERIOS!B59</f>
        <v/>
      </c>
      <c r="B71" s="24">
        <f>CRITERIOS!C59</f>
        <v/>
      </c>
      <c r="C71" s="25">
        <f>CRITERIOS!D59</f>
        <v/>
      </c>
      <c r="D71" s="24">
        <f>CRITERIOS!E59</f>
        <v/>
      </c>
      <c r="E71" s="24">
        <f>IFERROR(IF(AND(OR(CRITERIOS!F59="Todos",CRITERIOS!F59=$B$4),INDEX(CRITERIOS!H59:J59,MATCH($B$5,VARIABLES!$E$2:$E$4,0))=1),1,0),0)</f>
        <v/>
      </c>
      <c r="F71" s="24">
        <f>IFERROR(IF(E71=1,INDEX(CRITERIOS!K59:M59,MATCH($B$5,VARIABLES!$E$2:$E$4,0)),0),0)</f>
        <v/>
      </c>
      <c r="G71" s="24">
        <f>IF(CRITERIOS!N59="","",CRITERIOS!N59)</f>
        <v/>
      </c>
      <c r="H71" s="24">
        <f>IF(CRITERIOS!O59="","",CRITERIOS!O59)</f>
        <v/>
      </c>
      <c r="I71" s="21" t="n"/>
      <c r="J71" s="22">
        <f>IF(OR($E71=0,I$78=0),0,IF(AND(I71="N/A",$G71&lt;&gt;""),0,$F71+SUMPRODUCT(($G$14:$G$71=$A71)*($E$14:$E$71=1)*(I$14:I$71="N/A")*$F$14:$F$71)))</f>
        <v/>
      </c>
      <c r="K71" s="22">
        <f>IF(I71="SI",J71,0)</f>
        <v/>
      </c>
      <c r="L71" s="21" t="n"/>
      <c r="M71" s="22">
        <f>IF(OR($E71=0,L$78=0),0,IF(AND(L71="N/A",$G71&lt;&gt;""),0,$F71+SUMPRODUCT(($G$14:$G$71=$A71)*($E$14:$E$71=1)*(L$14:L$71="N/A")*$F$14:$F$71)))</f>
        <v/>
      </c>
      <c r="N71" s="22">
        <f>IF(L71="SI",M71,0)</f>
        <v/>
      </c>
      <c r="O71" s="21" t="n"/>
      <c r="P71" s="22">
        <f>IF(OR($E71=0,O$78=0),0,IF(AND(O71="N/A",$G71&lt;&gt;""),0,$F71+SUMPRODUCT(($G$14:$G$71=$A71)*($E$14:$E$71=1)*(O$14:O$71="N/A")*$F$14:$F$71)))</f>
        <v/>
      </c>
      <c r="Q71" s="22">
        <f>IF(O71="SI",P71,0)</f>
        <v/>
      </c>
      <c r="R71" s="21" t="n"/>
      <c r="S71" s="22">
        <f>IF(OR($E71=0,R$78=0),0,IF(AND(R71="N/A",$G71&lt;&gt;""),0,$F71+SUMPRODUCT(($G$14:$G$71=$A71)*($E$14:$E$71=1)*(R$14:R$71="N/A")*$F$14:$F$71)))</f>
        <v/>
      </c>
      <c r="T71" s="22">
        <f>IF(R71="SI",S71,0)</f>
        <v/>
      </c>
      <c r="U71" s="21" t="n"/>
      <c r="V71" s="22">
        <f>IF(OR($E71=0,U$78=0),0,IF(AND(U71="N/A",$G71&lt;&gt;""),0,$F71+SUMPRODUCT(($G$14:$G$71=$A71)*($E$14:$E$71=1)*(U$14:U$71="N/A")*$F$14:$F$71)))</f>
        <v/>
      </c>
      <c r="W71" s="22">
        <f>IF(U71="SI",V71,0)</f>
        <v/>
      </c>
      <c r="X71" s="21" t="n"/>
      <c r="Y71" s="22">
        <f>IF(OR($E71=0,X$78=0),0,IF(AND(X71="N/A",$G71&lt;&gt;""),0,$F71+SUMPRODUCT(($G$14:$G$71=$A71)*($E$14:$E$71=1)*(X$14:X$71="N/A")*$F$14:$F$71)))</f>
        <v/>
      </c>
      <c r="Z71" s="22">
        <f>IF(X71="SI",Y71,0)</f>
        <v/>
      </c>
      <c r="AA71" s="22">
        <f>SUM(J71,M71,P71,S71,V71,Y71)</f>
        <v/>
      </c>
      <c r="AB71" s="22">
        <f>SUM(K71,N71,Q71,T71,W71,Z71)</f>
        <v/>
      </c>
      <c r="AC71" s="23">
        <f>IF(AA71=0,"",AB71/AA71)</f>
        <v/>
      </c>
      <c r="AD71" s="22">
        <f>CRITERIOS!Q59</f>
        <v/>
      </c>
      <c r="AE71" s="22">
        <f>IF(AND(E71=1,H71&lt;&gt;"X",((I71="N/A")+(L71="N/A")+(O71="N/A")+(R71="N/A")+(U71="N/A")+(X71="N/A"))&gt;0),"REVISAR","")</f>
        <v/>
      </c>
    </row>
    <row r="73">
      <c r="C73" s="4" t="inlineStr">
        <is>
          <t>Puntaje de la conversación (/100)</t>
        </is>
      </c>
      <c r="K73" s="26">
        <f>IF(I78=1,SUM(K14:K71),"")</f>
        <v/>
      </c>
      <c r="N73" s="26">
        <f>IF(L78=1,SUM(N14:N71),"")</f>
        <v/>
      </c>
      <c r="Q73" s="26">
        <f>IF(O78=1,SUM(Q14:Q71),"")</f>
        <v/>
      </c>
      <c r="T73" s="26">
        <f>IF(R78=1,SUM(T14:T71),"")</f>
        <v/>
      </c>
      <c r="W73" s="26">
        <f>IF(U78=1,SUM(W14:W71),"")</f>
        <v/>
      </c>
      <c r="Z73" s="26">
        <f>IF(X78=1,SUM(Z14:Z71),"")</f>
        <v/>
      </c>
    </row>
    <row r="74">
      <c r="C74" s="4" t="inlineStr">
        <is>
          <t>Fase I: HD con NO (1 = reprueba)</t>
        </is>
      </c>
      <c r="I74">
        <f>IF(I78=1,IF(COUNTIFS($D$14:$D$71,"Control HD",I14:I71,"NO")&gt;0,1,0),0)</f>
        <v/>
      </c>
      <c r="L74">
        <f>IF(L78=1,IF(COUNTIFS($D$14:$D$71,"Control HD",L14:L71,"NO")&gt;0,1,0),0)</f>
        <v/>
      </c>
      <c r="O74">
        <f>IF(O78=1,IF(COUNTIFS($D$14:$D$71,"Control HD",O14:O71,"NO")&gt;0,1,0),0)</f>
        <v/>
      </c>
      <c r="R74">
        <f>IF(R78=1,IF(COUNTIFS($D$14:$D$71,"Control HD",R14:R71,"NO")&gt;0,1,0),0)</f>
        <v/>
      </c>
      <c r="U74">
        <f>IF(U78=1,IF(COUNTIFS($D$14:$D$71,"Control HD",U14:U71,"NO")&gt;0,1,0),0)</f>
        <v/>
      </c>
      <c r="X74">
        <f>IF(X78=1,IF(COUNTIFS($D$14:$D$71,"Control HD",X14:X71,"NO")&gt;0,1,0),0)</f>
        <v/>
      </c>
    </row>
    <row r="75">
      <c r="C75" s="4" t="inlineStr">
        <is>
          <t>ECU con error (1 = sí)</t>
        </is>
      </c>
      <c r="I75">
        <f>IF(I78=1,IF(COUNTIFS($D$14:$D$71,"ECU",I14:I71,"NO")&gt;0,1,0),0)</f>
        <v/>
      </c>
      <c r="L75">
        <f>IF(L78=1,IF(COUNTIFS($D$14:$D$71,"ECU",L14:L71,"NO")&gt;0,1,0),0)</f>
        <v/>
      </c>
      <c r="O75">
        <f>IF(O78=1,IF(COUNTIFS($D$14:$D$71,"ECU",O14:O71,"NO")&gt;0,1,0),0)</f>
        <v/>
      </c>
      <c r="R75">
        <f>IF(R78=1,IF(COUNTIFS($D$14:$D$71,"ECU",R14:R71,"NO")&gt;0,1,0),0)</f>
        <v/>
      </c>
      <c r="U75">
        <f>IF(U78=1,IF(COUNTIFS($D$14:$D$71,"ECU",U14:U71,"NO")&gt;0,1,0),0)</f>
        <v/>
      </c>
      <c r="X75">
        <f>IF(X78=1,IF(COUNTIFS($D$14:$D$71,"ECU",X14:X71,"NO")&gt;0,1,0),0)</f>
        <v/>
      </c>
    </row>
    <row r="76">
      <c r="C76" s="4" t="inlineStr">
        <is>
          <t>ECN con error (1 = sí)</t>
        </is>
      </c>
      <c r="I76">
        <f>IF(I78=1,IF(COUNTIFS($D$14:$D$71,"ECN",I14:I71,"NO")&gt;0,1,0),0)</f>
        <v/>
      </c>
      <c r="L76">
        <f>IF(L78=1,IF(COUNTIFS($D$14:$D$71,"ECN",L14:L71,"NO")&gt;0,1,0),0)</f>
        <v/>
      </c>
      <c r="O76">
        <f>IF(O78=1,IF(COUNTIFS($D$14:$D$71,"ECN",O14:O71,"NO")&gt;0,1,0),0)</f>
        <v/>
      </c>
      <c r="R76">
        <f>IF(R78=1,IF(COUNTIFS($D$14:$D$71,"ECN",R14:R71,"NO")&gt;0,1,0),0)</f>
        <v/>
      </c>
      <c r="U76">
        <f>IF(U78=1,IF(COUNTIFS($D$14:$D$71,"ECN",U14:U71,"NO")&gt;0,1,0),0)</f>
        <v/>
      </c>
      <c r="X76">
        <f>IF(X78=1,IF(COUNTIFS($D$14:$D$71,"ECN",X14:X71,"NO")&gt;0,1,0),0)</f>
        <v/>
      </c>
    </row>
    <row r="77">
      <c r="C77" s="4" t="inlineStr">
        <is>
          <t>ECC con error (1 = sí)</t>
        </is>
      </c>
      <c r="I77">
        <f>IF(I78=1,IF(COUNTIFS($D$14:$D$71,"ECC",I14:I71,"NO")&gt;0,1,0),0)</f>
        <v/>
      </c>
      <c r="L77">
        <f>IF(L78=1,IF(COUNTIFS($D$14:$D$71,"ECC",L14:L71,"NO")&gt;0,1,0),0)</f>
        <v/>
      </c>
      <c r="O77">
        <f>IF(O78=1,IF(COUNTIFS($D$14:$D$71,"ECC",O14:O71,"NO")&gt;0,1,0),0)</f>
        <v/>
      </c>
      <c r="R77">
        <f>IF(R78=1,IF(COUNTIFS($D$14:$D$71,"ECC",R14:R71,"NO")&gt;0,1,0),0)</f>
        <v/>
      </c>
      <c r="U77">
        <f>IF(U78=1,IF(COUNTIFS($D$14:$D$71,"ECC",U14:U71,"NO")&gt;0,1,0),0)</f>
        <v/>
      </c>
      <c r="X77">
        <f>IF(X78=1,IF(COUNTIFS($D$14:$D$71,"ECC",X14:X71,"NO")&gt;0,1,0),0)</f>
        <v/>
      </c>
    </row>
    <row r="78">
      <c r="C78" s="4" t="inlineStr">
        <is>
          <t>Conversación evaluada (1 = sí)</t>
        </is>
      </c>
      <c r="I78">
        <f>IF(COUNTA(I14:I71)&gt;0,1,0)</f>
        <v/>
      </c>
      <c r="L78">
        <f>IF(COUNTA(L14:L71)&gt;0,1,0)</f>
        <v/>
      </c>
      <c r="O78">
        <f>IF(COUNTA(O14:O71)&gt;0,1,0)</f>
        <v/>
      </c>
      <c r="R78">
        <f>IF(COUNTA(R14:R71)&gt;0,1,0)</f>
        <v/>
      </c>
      <c r="U78">
        <f>IF(COUNTA(U14:U71)&gt;0,1,0)</f>
        <v/>
      </c>
      <c r="X78">
        <f>IF(COUNTA(X14:X71)&gt;0,1,0)</f>
        <v/>
      </c>
    </row>
    <row r="79">
      <c r="C79" s="4" t="inlineStr">
        <is>
          <t>Casillas aplicables sin diligenciar</t>
        </is>
      </c>
      <c r="I79">
        <f>IF(I78=1,SUMPRODUCT(($E$14:$E$71=1)*(I14:I71="")),0)</f>
        <v/>
      </c>
      <c r="L79">
        <f>IF(L78=1,SUMPRODUCT(($E$14:$E$71=1)*(L14:L71="")),0)</f>
        <v/>
      </c>
      <c r="O79">
        <f>IF(O78=1,SUMPRODUCT(($E$14:$E$71=1)*(O14:O71="")),0)</f>
        <v/>
      </c>
      <c r="R79">
        <f>IF(R78=1,SUMPRODUCT(($E$14:$E$71=1)*(R14:R71="")),0)</f>
        <v/>
      </c>
      <c r="U79">
        <f>IF(U78=1,SUMPRODUCT(($E$14:$E$71=1)*(U14:U71="")),0)</f>
        <v/>
      </c>
      <c r="X79">
        <f>IF(X78=1,SUMPRODUCT(($E$14:$E$71=1)*(X14:X71="")),0)</f>
        <v/>
      </c>
    </row>
  </sheetData>
  <mergeCells count="18">
    <mergeCell ref="X10:Z10"/>
    <mergeCell ref="I11:K11"/>
    <mergeCell ref="X11:Z11"/>
    <mergeCell ref="I10:K10"/>
    <mergeCell ref="L11:N11"/>
    <mergeCell ref="L10:N10"/>
    <mergeCell ref="R11:T11"/>
    <mergeCell ref="R10:T10"/>
    <mergeCell ref="X9:Z9"/>
    <mergeCell ref="U10:W10"/>
    <mergeCell ref="I9:K9"/>
    <mergeCell ref="O9:Q9"/>
    <mergeCell ref="L9:N9"/>
    <mergeCell ref="R9:T9"/>
    <mergeCell ref="U9:W9"/>
    <mergeCell ref="U11:W11"/>
    <mergeCell ref="O10:Q10"/>
    <mergeCell ref="O11:Q11"/>
  </mergeCells>
  <dataValidations count="5">
    <dataValidation sqref="I14:I71 L14:L71 O14:O71 R14:R71 U14:U71 X14:X71" showDropDown="0" showInputMessage="0" showErrorMessage="0" allowBlank="1" type="list">
      <formula1>"SI,NO,N/A"</formula1>
    </dataValidation>
    <dataValidation sqref="B4" showDropDown="0" showInputMessage="0" showErrorMessage="0" allowBlank="1" type="list">
      <formula1>VARIABLES!$D$2:$D$5</formula1>
    </dataValidation>
    <dataValidation sqref="B5" showDropDown="0" showInputMessage="0" showErrorMessage="0" allowBlank="1" type="list">
      <formula1>VARIABLES!$E$2:$E$4</formula1>
    </dataValidation>
    <dataValidation sqref="I11 L11 O11 R11 U11 X11" showDropDown="0" showInputMessage="0" showErrorMessage="0" allowBlank="1" type="list">
      <formula1>VARIABLES!$B$2:$B$3</formula1>
    </dataValidation>
    <dataValidation sqref="B6" showDropDown="0" showInputMessage="0" showErrorMessage="0" allowBlank="1" type="list">
      <formula1>VARIABLES!$C$2:$C$13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79"/>
  <sheetViews>
    <sheetView workbookViewId="0">
      <pane xSplit="3" ySplit="13" topLeftCell="D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60" customWidth="1" min="3" max="3"/>
    <col width="11" customWidth="1" min="4" max="4"/>
    <col outlineLevel="1" width="7" customWidth="1" min="5" max="5"/>
    <col outlineLevel="1" width="7" customWidth="1" min="6" max="6"/>
    <col outlineLevel="1" width="9" customWidth="1" min="7" max="7"/>
    <col outlineLevel="1" width="8" customWidth="1" min="8" max="8"/>
    <col width="11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11" customWidth="1" min="15" max="15"/>
    <col width="8" customWidth="1" min="16" max="16"/>
    <col width="8" customWidth="1" min="17" max="17"/>
    <col width="11" customWidth="1" min="18" max="18"/>
    <col width="8" customWidth="1" min="19" max="19"/>
    <col width="8" customWidth="1" min="20" max="20"/>
    <col width="11" customWidth="1" min="21" max="21"/>
    <col width="8" customWidth="1" min="22" max="22"/>
    <col width="8" customWidth="1" min="23" max="23"/>
    <col width="11" customWidth="1" min="24" max="24"/>
    <col width="8" customWidth="1" min="25" max="25"/>
    <col width="8" customWidth="1" min="26" max="26"/>
    <col outlineLevel="1" width="10" customWidth="1" min="27" max="27"/>
    <col outlineLevel="1" width="10" customWidth="1" min="28" max="28"/>
    <col width="10" customWidth="1" min="29" max="29"/>
    <col outlineLevel="1" width="10" customWidth="1" min="30" max="30"/>
    <col width="10" customWidth="1" min="31" max="31"/>
  </cols>
  <sheetData>
    <row r="1">
      <c r="A1" s="3" t="inlineStr">
        <is>
          <t>FORMATO DE MONITOREO COMERCIAL · PREVENTA Y VENTA</t>
        </is>
      </c>
    </row>
    <row r="3">
      <c r="A3" s="4" t="inlineStr">
        <is>
          <t>Asesor</t>
        </is>
      </c>
      <c r="B3" s="5" t="n"/>
      <c r="I3" s="4" t="inlineStr">
        <is>
          <t>Fase I (Habeas Data)</t>
        </is>
      </c>
      <c r="P3" s="16">
        <f>IF($B$7=0,"",IF(SUM(I74,L74,O74,R74,U74,X74)&gt;0,"Reprobada","Aprobada"))</f>
        <v/>
      </c>
      <c r="S3" s="4" t="inlineStr">
        <is>
          <t>ECU · % sin error</t>
        </is>
      </c>
      <c r="Z3" s="17">
        <f>IF($B$7=0,"",1-SUM(I75,L75,O75,R75,U75,X75)/$B$7)</f>
        <v/>
      </c>
    </row>
    <row r="4">
      <c r="A4" s="4" t="inlineStr">
        <is>
          <t>Canal</t>
        </is>
      </c>
      <c r="B4" s="5" t="n"/>
      <c r="I4" s="4" t="inlineStr">
        <is>
          <t>Nota /100</t>
        </is>
      </c>
      <c r="P4" s="18">
        <f>IF($B$7=0,"",IF(P3="Reprobada",0,AVERAGE(K73,N73,Q73,T73,W73,Z73)*1))</f>
        <v/>
      </c>
      <c r="S4" s="4" t="inlineStr">
        <is>
          <t>ECN · % sin error</t>
        </is>
      </c>
      <c r="Z4" s="17">
        <f>IF($B$7=0,"",1-SUM(I76,L76,O76,R76,U76,X76)/$B$7)</f>
        <v/>
      </c>
    </row>
    <row r="5">
      <c r="A5" s="4" t="inlineStr">
        <is>
          <t>Gestión</t>
        </is>
      </c>
      <c r="B5" s="5" t="n"/>
      <c r="I5" s="4" t="inlineStr">
        <is>
          <t>Nota /300</t>
        </is>
      </c>
      <c r="P5" s="18">
        <f>IF(P4="","",P4*3)</f>
        <v/>
      </c>
      <c r="S5" s="4" t="inlineStr">
        <is>
          <t>ECC · % sin error</t>
        </is>
      </c>
      <c r="Z5" s="17">
        <f>IF($B$7=0,"",1-SUM(I77,L77,O77,R77,U77,X77)/$B$7)</f>
        <v/>
      </c>
    </row>
    <row r="6">
      <c r="A6" s="4" t="inlineStr">
        <is>
          <t>Mes</t>
        </is>
      </c>
      <c r="B6" s="5" t="n"/>
      <c r="I6" s="4" t="inlineStr">
        <is>
          <t>Nivel</t>
        </is>
      </c>
      <c r="P6" s="16">
        <f>IF(P4="","",IF(P3="Reprobada","Crítico",LOOKUP(P4/100,'TABLA GENERAL'!$I$7:$I$10,'TABLA GENERAL'!$F$7:$F$10)))</f>
        <v/>
      </c>
      <c r="S6" s="4" t="inlineStr">
        <is>
          <t>Alerta Dirección</t>
        </is>
      </c>
      <c r="Z6" s="16">
        <f>IF($B$7=0,"",IF(SUMPRODUCT($AD$14:$AD$71*((I14:I71="NO")+(L14:L71="NO")+(O14:O71="NO")+(R14:R71="NO")+(U14:U71="NO")+(X14:X71="NO")))&gt;0,"SÍ - reportar","No"))</f>
        <v/>
      </c>
    </row>
    <row r="7">
      <c r="A7" s="4" t="inlineStr">
        <is>
          <t>Conversaciones evaluadas</t>
        </is>
      </c>
      <c r="B7">
        <f>SUM(I78,L78,O78,R78,U78,X78)</f>
        <v/>
      </c>
      <c r="I7" s="4" t="inlineStr">
        <is>
          <t>Estado</t>
        </is>
      </c>
      <c r="P7" s="16">
        <f>IF(P4="","",IF(P3="Reprobada","Reprobado",IF(P4/100&gt;='TABLA GENERAL'!$C$21,"Aprobado","Plan de acción")))</f>
        <v/>
      </c>
      <c r="S7" s="4" t="inlineStr">
        <is>
          <t>Casillas por revisar</t>
        </is>
      </c>
      <c r="Z7" s="16">
        <f>SUM(I79,L79,O79,R79,U79,X79)+COUNTIF(AE14:AE71,"REVISAR")</f>
        <v/>
      </c>
    </row>
    <row r="9">
      <c r="I9" s="6" t="inlineStr">
        <is>
          <t>Conversación 1</t>
        </is>
      </c>
      <c r="L9" s="6" t="inlineStr">
        <is>
          <t>Conversación 2</t>
        </is>
      </c>
      <c r="O9" s="6" t="inlineStr">
        <is>
          <t>Conversación 3</t>
        </is>
      </c>
      <c r="R9" s="6" t="inlineStr">
        <is>
          <t>Conversación 4</t>
        </is>
      </c>
      <c r="U9" s="6" t="inlineStr">
        <is>
          <t>Conversación 5</t>
        </is>
      </c>
      <c r="X9" s="6" t="inlineStr">
        <is>
          <t>Conversación 6</t>
        </is>
      </c>
    </row>
    <row r="10">
      <c r="C10" s="4" t="inlineStr">
        <is>
          <t>Fecha / ID de la conversación</t>
        </is>
      </c>
      <c r="I10" s="5" t="n"/>
      <c r="L10" s="5" t="n"/>
      <c r="O10" s="5" t="n"/>
      <c r="R10" s="5" t="n"/>
      <c r="U10" s="5" t="n"/>
      <c r="X10" s="5" t="n"/>
    </row>
    <row r="11">
      <c r="C11" s="4" t="inlineStr">
        <is>
          <t>Modalidad</t>
        </is>
      </c>
      <c r="I11" s="5" t="n"/>
      <c r="L11" s="5" t="n"/>
      <c r="O11" s="5" t="n"/>
      <c r="R11" s="5" t="n"/>
      <c r="U11" s="5" t="n"/>
      <c r="X11" s="5" t="n"/>
    </row>
    <row r="13" ht="32" customHeight="1">
      <c r="A13" s="6" t="inlineStr">
        <is>
          <t>Código</t>
        </is>
      </c>
      <c r="B13" s="6" t="inlineStr">
        <is>
          <t>Dimensión</t>
        </is>
      </c>
      <c r="C13" s="6" t="inlineStr">
        <is>
          <t>Descripción</t>
        </is>
      </c>
      <c r="D13" s="6" t="inlineStr">
        <is>
          <t>Tipo</t>
        </is>
      </c>
      <c r="E13" s="6" t="inlineStr">
        <is>
          <t>Aplica</t>
        </is>
      </c>
      <c r="F13" s="6" t="inlineStr">
        <is>
          <t>Peso base</t>
        </is>
      </c>
      <c r="G13" s="6" t="inlineStr">
        <is>
          <t>Receptor N/A</t>
        </is>
      </c>
      <c r="H13" s="6" t="inlineStr">
        <is>
          <t>Admite N/A</t>
        </is>
      </c>
      <c r="I13" s="6" t="inlineStr">
        <is>
          <t>Resultado</t>
        </is>
      </c>
      <c r="J13" s="6" t="inlineStr">
        <is>
          <t>Peso estab.</t>
        </is>
      </c>
      <c r="K13" s="6" t="inlineStr">
        <is>
          <t>Peso logrado</t>
        </is>
      </c>
      <c r="L13" s="6" t="inlineStr">
        <is>
          <t>Resultado</t>
        </is>
      </c>
      <c r="M13" s="6" t="inlineStr">
        <is>
          <t>Peso estab.</t>
        </is>
      </c>
      <c r="N13" s="6" t="inlineStr">
        <is>
          <t>Peso logrado</t>
        </is>
      </c>
      <c r="O13" s="6" t="inlineStr">
        <is>
          <t>Resultado</t>
        </is>
      </c>
      <c r="P13" s="6" t="inlineStr">
        <is>
          <t>Peso estab.</t>
        </is>
      </c>
      <c r="Q13" s="6" t="inlineStr">
        <is>
          <t>Peso logrado</t>
        </is>
      </c>
      <c r="R13" s="6" t="inlineStr">
        <is>
          <t>Resultado</t>
        </is>
      </c>
      <c r="S13" s="6" t="inlineStr">
        <is>
          <t>Peso estab.</t>
        </is>
      </c>
      <c r="T13" s="6" t="inlineStr">
        <is>
          <t>Peso logrado</t>
        </is>
      </c>
      <c r="U13" s="6" t="inlineStr">
        <is>
          <t>Resultado</t>
        </is>
      </c>
      <c r="V13" s="6" t="inlineStr">
        <is>
          <t>Peso estab.</t>
        </is>
      </c>
      <c r="W13" s="6" t="inlineStr">
        <is>
          <t>Peso logrado</t>
        </is>
      </c>
      <c r="X13" s="6" t="inlineStr">
        <is>
          <t>Resultado</t>
        </is>
      </c>
      <c r="Y13" s="6" t="inlineStr">
        <is>
          <t>Peso estab.</t>
        </is>
      </c>
      <c r="Z13" s="6" t="inlineStr">
        <is>
          <t>Peso logrado</t>
        </is>
      </c>
      <c r="AA13" s="6" t="inlineStr">
        <is>
          <t>Σ peso estab.</t>
        </is>
      </c>
      <c r="AB13" s="6" t="inlineStr">
        <is>
          <t>Σ peso logrado</t>
        </is>
      </c>
      <c r="AC13" s="6" t="inlineStr">
        <is>
          <t>% cumplimiento</t>
        </is>
      </c>
      <c r="AD13" s="6" t="inlineStr">
        <is>
          <t>Alerta</t>
        </is>
      </c>
      <c r="AE13" s="6" t="inlineStr">
        <is>
          <t>Validación</t>
        </is>
      </c>
    </row>
    <row r="14">
      <c r="A14" s="19">
        <f>CRITERIOS!B2</f>
        <v/>
      </c>
      <c r="B14" s="19">
        <f>CRITERIOS!C2</f>
        <v/>
      </c>
      <c r="C14" s="20">
        <f>CRITERIOS!D2</f>
        <v/>
      </c>
      <c r="D14" s="19">
        <f>CRITERIOS!E2</f>
        <v/>
      </c>
      <c r="E14" s="19">
        <f>IFERROR(IF(AND(OR(CRITERIOS!F2="Todos",CRITERIOS!F2=$B$4),INDEX(CRITERIOS!H2:J2,MATCH($B$5,VARIABLES!$E$2:$E$4,0))=1),1,0),0)</f>
        <v/>
      </c>
      <c r="F14" s="19">
        <f>IFERROR(IF(E14=1,INDEX(CRITERIOS!K2:M2,MATCH($B$5,VARIABLES!$E$2:$E$4,0)),0),0)</f>
        <v/>
      </c>
      <c r="G14" s="19">
        <f>IF(CRITERIOS!N2="","",CRITERIOS!N2)</f>
        <v/>
      </c>
      <c r="H14" s="19">
        <f>IF(CRITERIOS!O2="","",CRITERIOS!O2)</f>
        <v/>
      </c>
      <c r="I14" s="21" t="n"/>
      <c r="J14" s="22">
        <f>IF(OR($E14=0,I$78=0),0,IF(AND(I14="N/A",$G14&lt;&gt;""),0,$F14+SUMPRODUCT(($G$14:$G$71=$A14)*($E$14:$E$71=1)*(I$14:I$71="N/A")*$F$14:$F$71)))</f>
        <v/>
      </c>
      <c r="K14" s="22">
        <f>IF(I14="SI",J14,0)</f>
        <v/>
      </c>
      <c r="L14" s="21" t="n"/>
      <c r="M14" s="22">
        <f>IF(OR($E14=0,L$78=0),0,IF(AND(L14="N/A",$G14&lt;&gt;""),0,$F14+SUMPRODUCT(($G$14:$G$71=$A14)*($E$14:$E$71=1)*(L$14:L$71="N/A")*$F$14:$F$71)))</f>
        <v/>
      </c>
      <c r="N14" s="22">
        <f>IF(L14="SI",M14,0)</f>
        <v/>
      </c>
      <c r="O14" s="21" t="n"/>
      <c r="P14" s="22">
        <f>IF(OR($E14=0,O$78=0),0,IF(AND(O14="N/A",$G14&lt;&gt;""),0,$F14+SUMPRODUCT(($G$14:$G$71=$A14)*($E$14:$E$71=1)*(O$14:O$71="N/A")*$F$14:$F$71)))</f>
        <v/>
      </c>
      <c r="Q14" s="22">
        <f>IF(O14="SI",P14,0)</f>
        <v/>
      </c>
      <c r="R14" s="21" t="n"/>
      <c r="S14" s="22">
        <f>IF(OR($E14=0,R$78=0),0,IF(AND(R14="N/A",$G14&lt;&gt;""),0,$F14+SUMPRODUCT(($G$14:$G$71=$A14)*($E$14:$E$71=1)*(R$14:R$71="N/A")*$F$14:$F$71)))</f>
        <v/>
      </c>
      <c r="T14" s="22">
        <f>IF(R14="SI",S14,0)</f>
        <v/>
      </c>
      <c r="U14" s="21" t="n"/>
      <c r="V14" s="22">
        <f>IF(OR($E14=0,U$78=0),0,IF(AND(U14="N/A",$G14&lt;&gt;""),0,$F14+SUMPRODUCT(($G$14:$G$71=$A14)*($E$14:$E$71=1)*(U$14:U$71="N/A")*$F$14:$F$71)))</f>
        <v/>
      </c>
      <c r="W14" s="22">
        <f>IF(U14="SI",V14,0)</f>
        <v/>
      </c>
      <c r="X14" s="21" t="n"/>
      <c r="Y14" s="22">
        <f>IF(OR($E14=0,X$78=0),0,IF(AND(X14="N/A",$G14&lt;&gt;""),0,$F14+SUMPRODUCT(($G$14:$G$71=$A14)*($E$14:$E$71=1)*(X$14:X$71="N/A")*$F$14:$F$71)))</f>
        <v/>
      </c>
      <c r="Z14" s="22">
        <f>IF(X14="SI",Y14,0)</f>
        <v/>
      </c>
      <c r="AA14" s="22">
        <f>SUM(J14,M14,P14,S14,V14,Y14)</f>
        <v/>
      </c>
      <c r="AB14" s="22">
        <f>SUM(K14,N14,Q14,T14,W14,Z14)</f>
        <v/>
      </c>
      <c r="AC14" s="23">
        <f>IF(AA14=0,"",AB14/AA14)</f>
        <v/>
      </c>
      <c r="AD14" s="22">
        <f>CRITERIOS!Q2</f>
        <v/>
      </c>
      <c r="AE14" s="22">
        <f>IF(AND(E14=1,H14&lt;&gt;"X",((I14="N/A")+(L14="N/A")+(O14="N/A")+(R14="N/A")+(U14="N/A")+(X14="N/A"))&gt;0),"REVISAR","")</f>
        <v/>
      </c>
    </row>
    <row r="15">
      <c r="A15" s="19">
        <f>CRITERIOS!B3</f>
        <v/>
      </c>
      <c r="B15" s="19">
        <f>CRITERIOS!C3</f>
        <v/>
      </c>
      <c r="C15" s="20">
        <f>CRITERIOS!D3</f>
        <v/>
      </c>
      <c r="D15" s="19">
        <f>CRITERIOS!E3</f>
        <v/>
      </c>
      <c r="E15" s="19">
        <f>IFERROR(IF(AND(OR(CRITERIOS!F3="Todos",CRITERIOS!F3=$B$4),INDEX(CRITERIOS!H3:J3,MATCH($B$5,VARIABLES!$E$2:$E$4,0))=1),1,0),0)</f>
        <v/>
      </c>
      <c r="F15" s="19">
        <f>IFERROR(IF(E15=1,INDEX(CRITERIOS!K3:M3,MATCH($B$5,VARIABLES!$E$2:$E$4,0)),0),0)</f>
        <v/>
      </c>
      <c r="G15" s="19">
        <f>IF(CRITERIOS!N3="","",CRITERIOS!N3)</f>
        <v/>
      </c>
      <c r="H15" s="19">
        <f>IF(CRITERIOS!O3="","",CRITERIOS!O3)</f>
        <v/>
      </c>
      <c r="I15" s="21" t="n"/>
      <c r="J15" s="22">
        <f>IF(OR($E15=0,I$78=0),0,IF(AND(I15="N/A",$G15&lt;&gt;""),0,$F15+SUMPRODUCT(($G$14:$G$71=$A15)*($E$14:$E$71=1)*(I$14:I$71="N/A")*$F$14:$F$71)))</f>
        <v/>
      </c>
      <c r="K15" s="22">
        <f>IF(I15="SI",J15,0)</f>
        <v/>
      </c>
      <c r="L15" s="21" t="n"/>
      <c r="M15" s="22">
        <f>IF(OR($E15=0,L$78=0),0,IF(AND(L15="N/A",$G15&lt;&gt;""),0,$F15+SUMPRODUCT(($G$14:$G$71=$A15)*($E$14:$E$71=1)*(L$14:L$71="N/A")*$F$14:$F$71)))</f>
        <v/>
      </c>
      <c r="N15" s="22">
        <f>IF(L15="SI",M15,0)</f>
        <v/>
      </c>
      <c r="O15" s="21" t="n"/>
      <c r="P15" s="22">
        <f>IF(OR($E15=0,O$78=0),0,IF(AND(O15="N/A",$G15&lt;&gt;""),0,$F15+SUMPRODUCT(($G$14:$G$71=$A15)*($E$14:$E$71=1)*(O$14:O$71="N/A")*$F$14:$F$71)))</f>
        <v/>
      </c>
      <c r="Q15" s="22">
        <f>IF(O15="SI",P15,0)</f>
        <v/>
      </c>
      <c r="R15" s="21" t="n"/>
      <c r="S15" s="22">
        <f>IF(OR($E15=0,R$78=0),0,IF(AND(R15="N/A",$G15&lt;&gt;""),0,$F15+SUMPRODUCT(($G$14:$G$71=$A15)*($E$14:$E$71=1)*(R$14:R$71="N/A")*$F$14:$F$71)))</f>
        <v/>
      </c>
      <c r="T15" s="22">
        <f>IF(R15="SI",S15,0)</f>
        <v/>
      </c>
      <c r="U15" s="21" t="n"/>
      <c r="V15" s="22">
        <f>IF(OR($E15=0,U$78=0),0,IF(AND(U15="N/A",$G15&lt;&gt;""),0,$F15+SUMPRODUCT(($G$14:$G$71=$A15)*($E$14:$E$71=1)*(U$14:U$71="N/A")*$F$14:$F$71)))</f>
        <v/>
      </c>
      <c r="W15" s="22">
        <f>IF(U15="SI",V15,0)</f>
        <v/>
      </c>
      <c r="X15" s="21" t="n"/>
      <c r="Y15" s="22">
        <f>IF(OR($E15=0,X$78=0),0,IF(AND(X15="N/A",$G15&lt;&gt;""),0,$F15+SUMPRODUCT(($G$14:$G$71=$A15)*($E$14:$E$71=1)*(X$14:X$71="N/A")*$F$14:$F$71)))</f>
        <v/>
      </c>
      <c r="Z15" s="22">
        <f>IF(X15="SI",Y15,0)</f>
        <v/>
      </c>
      <c r="AA15" s="22">
        <f>SUM(J15,M15,P15,S15,V15,Y15)</f>
        <v/>
      </c>
      <c r="AB15" s="22">
        <f>SUM(K15,N15,Q15,T15,W15,Z15)</f>
        <v/>
      </c>
      <c r="AC15" s="23">
        <f>IF(AA15=0,"",AB15/AA15)</f>
        <v/>
      </c>
      <c r="AD15" s="22">
        <f>CRITERIOS!Q3</f>
        <v/>
      </c>
      <c r="AE15" s="22">
        <f>IF(AND(E15=1,H15&lt;&gt;"X",((I15="N/A")+(L15="N/A")+(O15="N/A")+(R15="N/A")+(U15="N/A")+(X15="N/A"))&gt;0),"REVISAR","")</f>
        <v/>
      </c>
    </row>
    <row r="16">
      <c r="A16" s="19">
        <f>CRITERIOS!B4</f>
        <v/>
      </c>
      <c r="B16" s="19">
        <f>CRITERIOS!C4</f>
        <v/>
      </c>
      <c r="C16" s="20">
        <f>CRITERIOS!D4</f>
        <v/>
      </c>
      <c r="D16" s="19">
        <f>CRITERIOS!E4</f>
        <v/>
      </c>
      <c r="E16" s="19">
        <f>IFERROR(IF(AND(OR(CRITERIOS!F4="Todos",CRITERIOS!F4=$B$4),INDEX(CRITERIOS!H4:J4,MATCH($B$5,VARIABLES!$E$2:$E$4,0))=1),1,0),0)</f>
        <v/>
      </c>
      <c r="F16" s="19">
        <f>IFERROR(IF(E16=1,INDEX(CRITERIOS!K4:M4,MATCH($B$5,VARIABLES!$E$2:$E$4,0)),0),0)</f>
        <v/>
      </c>
      <c r="G16" s="19">
        <f>IF(CRITERIOS!N4="","",CRITERIOS!N4)</f>
        <v/>
      </c>
      <c r="H16" s="19">
        <f>IF(CRITERIOS!O4="","",CRITERIOS!O4)</f>
        <v/>
      </c>
      <c r="I16" s="21" t="n"/>
      <c r="J16" s="22">
        <f>IF(OR($E16=0,I$78=0),0,IF(AND(I16="N/A",$G16&lt;&gt;""),0,$F16+SUMPRODUCT(($G$14:$G$71=$A16)*($E$14:$E$71=1)*(I$14:I$71="N/A")*$F$14:$F$71)))</f>
        <v/>
      </c>
      <c r="K16" s="22">
        <f>IF(I16="SI",J16,0)</f>
        <v/>
      </c>
      <c r="L16" s="21" t="n"/>
      <c r="M16" s="22">
        <f>IF(OR($E16=0,L$78=0),0,IF(AND(L16="N/A",$G16&lt;&gt;""),0,$F16+SUMPRODUCT(($G$14:$G$71=$A16)*($E$14:$E$71=1)*(L$14:L$71="N/A")*$F$14:$F$71)))</f>
        <v/>
      </c>
      <c r="N16" s="22">
        <f>IF(L16="SI",M16,0)</f>
        <v/>
      </c>
      <c r="O16" s="21" t="n"/>
      <c r="P16" s="22">
        <f>IF(OR($E16=0,O$78=0),0,IF(AND(O16="N/A",$G16&lt;&gt;""),0,$F16+SUMPRODUCT(($G$14:$G$71=$A16)*($E$14:$E$71=1)*(O$14:O$71="N/A")*$F$14:$F$71)))</f>
        <v/>
      </c>
      <c r="Q16" s="22">
        <f>IF(O16="SI",P16,0)</f>
        <v/>
      </c>
      <c r="R16" s="21" t="n"/>
      <c r="S16" s="22">
        <f>IF(OR($E16=0,R$78=0),0,IF(AND(R16="N/A",$G16&lt;&gt;""),0,$F16+SUMPRODUCT(($G$14:$G$71=$A16)*($E$14:$E$71=1)*(R$14:R$71="N/A")*$F$14:$F$71)))</f>
        <v/>
      </c>
      <c r="T16" s="22">
        <f>IF(R16="SI",S16,0)</f>
        <v/>
      </c>
      <c r="U16" s="21" t="n"/>
      <c r="V16" s="22">
        <f>IF(OR($E16=0,U$78=0),0,IF(AND(U16="N/A",$G16&lt;&gt;""),0,$F16+SUMPRODUCT(($G$14:$G$71=$A16)*($E$14:$E$71=1)*(U$14:U$71="N/A")*$F$14:$F$71)))</f>
        <v/>
      </c>
      <c r="W16" s="22">
        <f>IF(U16="SI",V16,0)</f>
        <v/>
      </c>
      <c r="X16" s="21" t="n"/>
      <c r="Y16" s="22">
        <f>IF(OR($E16=0,X$78=0),0,IF(AND(X16="N/A",$G16&lt;&gt;""),0,$F16+SUMPRODUCT(($G$14:$G$71=$A16)*($E$14:$E$71=1)*(X$14:X$71="N/A")*$F$14:$F$71)))</f>
        <v/>
      </c>
      <c r="Z16" s="22">
        <f>IF(X16="SI",Y16,0)</f>
        <v/>
      </c>
      <c r="AA16" s="22">
        <f>SUM(J16,M16,P16,S16,V16,Y16)</f>
        <v/>
      </c>
      <c r="AB16" s="22">
        <f>SUM(K16,N16,Q16,T16,W16,Z16)</f>
        <v/>
      </c>
      <c r="AC16" s="23">
        <f>IF(AA16=0,"",AB16/AA16)</f>
        <v/>
      </c>
      <c r="AD16" s="22">
        <f>CRITERIOS!Q4</f>
        <v/>
      </c>
      <c r="AE16" s="22">
        <f>IF(AND(E16=1,H16&lt;&gt;"X",((I16="N/A")+(L16="N/A")+(O16="N/A")+(R16="N/A")+(U16="N/A")+(X16="N/A"))&gt;0),"REVISAR","")</f>
        <v/>
      </c>
    </row>
    <row r="17">
      <c r="A17" s="19">
        <f>CRITERIOS!B5</f>
        <v/>
      </c>
      <c r="B17" s="19">
        <f>CRITERIOS!C5</f>
        <v/>
      </c>
      <c r="C17" s="20">
        <f>CRITERIOS!D5</f>
        <v/>
      </c>
      <c r="D17" s="19">
        <f>CRITERIOS!E5</f>
        <v/>
      </c>
      <c r="E17" s="19">
        <f>IFERROR(IF(AND(OR(CRITERIOS!F5="Todos",CRITERIOS!F5=$B$4),INDEX(CRITERIOS!H5:J5,MATCH($B$5,VARIABLES!$E$2:$E$4,0))=1),1,0),0)</f>
        <v/>
      </c>
      <c r="F17" s="19">
        <f>IFERROR(IF(E17=1,INDEX(CRITERIOS!K5:M5,MATCH($B$5,VARIABLES!$E$2:$E$4,0)),0),0)</f>
        <v/>
      </c>
      <c r="G17" s="19">
        <f>IF(CRITERIOS!N5="","",CRITERIOS!N5)</f>
        <v/>
      </c>
      <c r="H17" s="19">
        <f>IF(CRITERIOS!O5="","",CRITERIOS!O5)</f>
        <v/>
      </c>
      <c r="I17" s="21" t="n"/>
      <c r="J17" s="22">
        <f>IF(OR($E17=0,I$78=0),0,IF(AND(I17="N/A",$G17&lt;&gt;""),0,$F17+SUMPRODUCT(($G$14:$G$71=$A17)*($E$14:$E$71=1)*(I$14:I$71="N/A")*$F$14:$F$71)))</f>
        <v/>
      </c>
      <c r="K17" s="22">
        <f>IF(I17="SI",J17,0)</f>
        <v/>
      </c>
      <c r="L17" s="21" t="n"/>
      <c r="M17" s="22">
        <f>IF(OR($E17=0,L$78=0),0,IF(AND(L17="N/A",$G17&lt;&gt;""),0,$F17+SUMPRODUCT(($G$14:$G$71=$A17)*($E$14:$E$71=1)*(L$14:L$71="N/A")*$F$14:$F$71)))</f>
        <v/>
      </c>
      <c r="N17" s="22">
        <f>IF(L17="SI",M17,0)</f>
        <v/>
      </c>
      <c r="O17" s="21" t="n"/>
      <c r="P17" s="22">
        <f>IF(OR($E17=0,O$78=0),0,IF(AND(O17="N/A",$G17&lt;&gt;""),0,$F17+SUMPRODUCT(($G$14:$G$71=$A17)*($E$14:$E$71=1)*(O$14:O$71="N/A")*$F$14:$F$71)))</f>
        <v/>
      </c>
      <c r="Q17" s="22">
        <f>IF(O17="SI",P17,0)</f>
        <v/>
      </c>
      <c r="R17" s="21" t="n"/>
      <c r="S17" s="22">
        <f>IF(OR($E17=0,R$78=0),0,IF(AND(R17="N/A",$G17&lt;&gt;""),0,$F17+SUMPRODUCT(($G$14:$G$71=$A17)*($E$14:$E$71=1)*(R$14:R$71="N/A")*$F$14:$F$71)))</f>
        <v/>
      </c>
      <c r="T17" s="22">
        <f>IF(R17="SI",S17,0)</f>
        <v/>
      </c>
      <c r="U17" s="21" t="n"/>
      <c r="V17" s="22">
        <f>IF(OR($E17=0,U$78=0),0,IF(AND(U17="N/A",$G17&lt;&gt;""),0,$F17+SUMPRODUCT(($G$14:$G$71=$A17)*($E$14:$E$71=1)*(U$14:U$71="N/A")*$F$14:$F$71)))</f>
        <v/>
      </c>
      <c r="W17" s="22">
        <f>IF(U17="SI",V17,0)</f>
        <v/>
      </c>
      <c r="X17" s="21" t="n"/>
      <c r="Y17" s="22">
        <f>IF(OR($E17=0,X$78=0),0,IF(AND(X17="N/A",$G17&lt;&gt;""),0,$F17+SUMPRODUCT(($G$14:$G$71=$A17)*($E$14:$E$71=1)*(X$14:X$71="N/A")*$F$14:$F$71)))</f>
        <v/>
      </c>
      <c r="Z17" s="22">
        <f>IF(X17="SI",Y17,0)</f>
        <v/>
      </c>
      <c r="AA17" s="22">
        <f>SUM(J17,M17,P17,S17,V17,Y17)</f>
        <v/>
      </c>
      <c r="AB17" s="22">
        <f>SUM(K17,N17,Q17,T17,W17,Z17)</f>
        <v/>
      </c>
      <c r="AC17" s="23">
        <f>IF(AA17=0,"",AB17/AA17)</f>
        <v/>
      </c>
      <c r="AD17" s="22">
        <f>CRITERIOS!Q5</f>
        <v/>
      </c>
      <c r="AE17" s="22">
        <f>IF(AND(E17=1,H17&lt;&gt;"X",((I17="N/A")+(L17="N/A")+(O17="N/A")+(R17="N/A")+(U17="N/A")+(X17="N/A"))&gt;0),"REVISAR","")</f>
        <v/>
      </c>
    </row>
    <row r="18">
      <c r="A18" s="19">
        <f>CRITERIOS!B6</f>
        <v/>
      </c>
      <c r="B18" s="19">
        <f>CRITERIOS!C6</f>
        <v/>
      </c>
      <c r="C18" s="20">
        <f>CRITERIOS!D6</f>
        <v/>
      </c>
      <c r="D18" s="19">
        <f>CRITERIOS!E6</f>
        <v/>
      </c>
      <c r="E18" s="19">
        <f>IFERROR(IF(AND(OR(CRITERIOS!F6="Todos",CRITERIOS!F6=$B$4),INDEX(CRITERIOS!H6:J6,MATCH($B$5,VARIABLES!$E$2:$E$4,0))=1),1,0),0)</f>
        <v/>
      </c>
      <c r="F18" s="19">
        <f>IFERROR(IF(E18=1,INDEX(CRITERIOS!K6:M6,MATCH($B$5,VARIABLES!$E$2:$E$4,0)),0),0)</f>
        <v/>
      </c>
      <c r="G18" s="19">
        <f>IF(CRITERIOS!N6="","",CRITERIOS!N6)</f>
        <v/>
      </c>
      <c r="H18" s="19">
        <f>IF(CRITERIOS!O6="","",CRITERIOS!O6)</f>
        <v/>
      </c>
      <c r="I18" s="21" t="n"/>
      <c r="J18" s="22">
        <f>IF(OR($E18=0,I$78=0),0,IF(AND(I18="N/A",$G18&lt;&gt;""),0,$F18+SUMPRODUCT(($G$14:$G$71=$A18)*($E$14:$E$71=1)*(I$14:I$71="N/A")*$F$14:$F$71)))</f>
        <v/>
      </c>
      <c r="K18" s="22">
        <f>IF(I18="SI",J18,0)</f>
        <v/>
      </c>
      <c r="L18" s="21" t="n"/>
      <c r="M18" s="22">
        <f>IF(OR($E18=0,L$78=0),0,IF(AND(L18="N/A",$G18&lt;&gt;""),0,$F18+SUMPRODUCT(($G$14:$G$71=$A18)*($E$14:$E$71=1)*(L$14:L$71="N/A")*$F$14:$F$71)))</f>
        <v/>
      </c>
      <c r="N18" s="22">
        <f>IF(L18="SI",M18,0)</f>
        <v/>
      </c>
      <c r="O18" s="21" t="n"/>
      <c r="P18" s="22">
        <f>IF(OR($E18=0,O$78=0),0,IF(AND(O18="N/A",$G18&lt;&gt;""),0,$F18+SUMPRODUCT(($G$14:$G$71=$A18)*($E$14:$E$71=1)*(O$14:O$71="N/A")*$F$14:$F$71)))</f>
        <v/>
      </c>
      <c r="Q18" s="22">
        <f>IF(O18="SI",P18,0)</f>
        <v/>
      </c>
      <c r="R18" s="21" t="n"/>
      <c r="S18" s="22">
        <f>IF(OR($E18=0,R$78=0),0,IF(AND(R18="N/A",$G18&lt;&gt;""),0,$F18+SUMPRODUCT(($G$14:$G$71=$A18)*($E$14:$E$71=1)*(R$14:R$71="N/A")*$F$14:$F$71)))</f>
        <v/>
      </c>
      <c r="T18" s="22">
        <f>IF(R18="SI",S18,0)</f>
        <v/>
      </c>
      <c r="U18" s="21" t="n"/>
      <c r="V18" s="22">
        <f>IF(OR($E18=0,U$78=0),0,IF(AND(U18="N/A",$G18&lt;&gt;""),0,$F18+SUMPRODUCT(($G$14:$G$71=$A18)*($E$14:$E$71=1)*(U$14:U$71="N/A")*$F$14:$F$71)))</f>
        <v/>
      </c>
      <c r="W18" s="22">
        <f>IF(U18="SI",V18,0)</f>
        <v/>
      </c>
      <c r="X18" s="21" t="n"/>
      <c r="Y18" s="22">
        <f>IF(OR($E18=0,X$78=0),0,IF(AND(X18="N/A",$G18&lt;&gt;""),0,$F18+SUMPRODUCT(($G$14:$G$71=$A18)*($E$14:$E$71=1)*(X$14:X$71="N/A")*$F$14:$F$71)))</f>
        <v/>
      </c>
      <c r="Z18" s="22">
        <f>IF(X18="SI",Y18,0)</f>
        <v/>
      </c>
      <c r="AA18" s="22">
        <f>SUM(J18,M18,P18,S18,V18,Y18)</f>
        <v/>
      </c>
      <c r="AB18" s="22">
        <f>SUM(K18,N18,Q18,T18,W18,Z18)</f>
        <v/>
      </c>
      <c r="AC18" s="23">
        <f>IF(AA18=0,"",AB18/AA18)</f>
        <v/>
      </c>
      <c r="AD18" s="22">
        <f>CRITERIOS!Q6</f>
        <v/>
      </c>
      <c r="AE18" s="22">
        <f>IF(AND(E18=1,H18&lt;&gt;"X",((I18="N/A")+(L18="N/A")+(O18="N/A")+(R18="N/A")+(U18="N/A")+(X18="N/A"))&gt;0),"REVISAR","")</f>
        <v/>
      </c>
    </row>
    <row r="19">
      <c r="A19" s="19">
        <f>CRITERIOS!B7</f>
        <v/>
      </c>
      <c r="B19" s="19">
        <f>CRITERIOS!C7</f>
        <v/>
      </c>
      <c r="C19" s="20">
        <f>CRITERIOS!D7</f>
        <v/>
      </c>
      <c r="D19" s="19">
        <f>CRITERIOS!E7</f>
        <v/>
      </c>
      <c r="E19" s="19">
        <f>IFERROR(IF(AND(OR(CRITERIOS!F7="Todos",CRITERIOS!F7=$B$4),INDEX(CRITERIOS!H7:J7,MATCH($B$5,VARIABLES!$E$2:$E$4,0))=1),1,0),0)</f>
        <v/>
      </c>
      <c r="F19" s="19">
        <f>IFERROR(IF(E19=1,INDEX(CRITERIOS!K7:M7,MATCH($B$5,VARIABLES!$E$2:$E$4,0)),0),0)</f>
        <v/>
      </c>
      <c r="G19" s="19">
        <f>IF(CRITERIOS!N7="","",CRITERIOS!N7)</f>
        <v/>
      </c>
      <c r="H19" s="19">
        <f>IF(CRITERIOS!O7="","",CRITERIOS!O7)</f>
        <v/>
      </c>
      <c r="I19" s="21" t="n"/>
      <c r="J19" s="22">
        <f>IF(OR($E19=0,I$78=0),0,IF(AND(I19="N/A",$G19&lt;&gt;""),0,$F19+SUMPRODUCT(($G$14:$G$71=$A19)*($E$14:$E$71=1)*(I$14:I$71="N/A")*$F$14:$F$71)))</f>
        <v/>
      </c>
      <c r="K19" s="22">
        <f>IF(I19="SI",J19,0)</f>
        <v/>
      </c>
      <c r="L19" s="21" t="n"/>
      <c r="M19" s="22">
        <f>IF(OR($E19=0,L$78=0),0,IF(AND(L19="N/A",$G19&lt;&gt;""),0,$F19+SUMPRODUCT(($G$14:$G$71=$A19)*($E$14:$E$71=1)*(L$14:L$71="N/A")*$F$14:$F$71)))</f>
        <v/>
      </c>
      <c r="N19" s="22">
        <f>IF(L19="SI",M19,0)</f>
        <v/>
      </c>
      <c r="O19" s="21" t="n"/>
      <c r="P19" s="22">
        <f>IF(OR($E19=0,O$78=0),0,IF(AND(O19="N/A",$G19&lt;&gt;""),0,$F19+SUMPRODUCT(($G$14:$G$71=$A19)*($E$14:$E$71=1)*(O$14:O$71="N/A")*$F$14:$F$71)))</f>
        <v/>
      </c>
      <c r="Q19" s="22">
        <f>IF(O19="SI",P19,0)</f>
        <v/>
      </c>
      <c r="R19" s="21" t="n"/>
      <c r="S19" s="22">
        <f>IF(OR($E19=0,R$78=0),0,IF(AND(R19="N/A",$G19&lt;&gt;""),0,$F19+SUMPRODUCT(($G$14:$G$71=$A19)*($E$14:$E$71=1)*(R$14:R$71="N/A")*$F$14:$F$71)))</f>
        <v/>
      </c>
      <c r="T19" s="22">
        <f>IF(R19="SI",S19,0)</f>
        <v/>
      </c>
      <c r="U19" s="21" t="n"/>
      <c r="V19" s="22">
        <f>IF(OR($E19=0,U$78=0),0,IF(AND(U19="N/A",$G19&lt;&gt;""),0,$F19+SUMPRODUCT(($G$14:$G$71=$A19)*($E$14:$E$71=1)*(U$14:U$71="N/A")*$F$14:$F$71)))</f>
        <v/>
      </c>
      <c r="W19" s="22">
        <f>IF(U19="SI",V19,0)</f>
        <v/>
      </c>
      <c r="X19" s="21" t="n"/>
      <c r="Y19" s="22">
        <f>IF(OR($E19=0,X$78=0),0,IF(AND(X19="N/A",$G19&lt;&gt;""),0,$F19+SUMPRODUCT(($G$14:$G$71=$A19)*($E$14:$E$71=1)*(X$14:X$71="N/A")*$F$14:$F$71)))</f>
        <v/>
      </c>
      <c r="Z19" s="22">
        <f>IF(X19="SI",Y19,0)</f>
        <v/>
      </c>
      <c r="AA19" s="22">
        <f>SUM(J19,M19,P19,S19,V19,Y19)</f>
        <v/>
      </c>
      <c r="AB19" s="22">
        <f>SUM(K19,N19,Q19,T19,W19,Z19)</f>
        <v/>
      </c>
      <c r="AC19" s="23">
        <f>IF(AA19=0,"",AB19/AA19)</f>
        <v/>
      </c>
      <c r="AD19" s="22">
        <f>CRITERIOS!Q7</f>
        <v/>
      </c>
      <c r="AE19" s="22">
        <f>IF(AND(E19=1,H19&lt;&gt;"X",((I19="N/A")+(L19="N/A")+(O19="N/A")+(R19="N/A")+(U19="N/A")+(X19="N/A"))&gt;0),"REVISAR","")</f>
        <v/>
      </c>
    </row>
    <row r="20">
      <c r="A20" s="19">
        <f>CRITERIOS!B8</f>
        <v/>
      </c>
      <c r="B20" s="19">
        <f>CRITERIOS!C8</f>
        <v/>
      </c>
      <c r="C20" s="20">
        <f>CRITERIOS!D8</f>
        <v/>
      </c>
      <c r="D20" s="19">
        <f>CRITERIOS!E8</f>
        <v/>
      </c>
      <c r="E20" s="19">
        <f>IFERROR(IF(AND(OR(CRITERIOS!F8="Todos",CRITERIOS!F8=$B$4),INDEX(CRITERIOS!H8:J8,MATCH($B$5,VARIABLES!$E$2:$E$4,0))=1),1,0),0)</f>
        <v/>
      </c>
      <c r="F20" s="19">
        <f>IFERROR(IF(E20=1,INDEX(CRITERIOS!K8:M8,MATCH($B$5,VARIABLES!$E$2:$E$4,0)),0),0)</f>
        <v/>
      </c>
      <c r="G20" s="19">
        <f>IF(CRITERIOS!N8="","",CRITERIOS!N8)</f>
        <v/>
      </c>
      <c r="H20" s="19">
        <f>IF(CRITERIOS!O8="","",CRITERIOS!O8)</f>
        <v/>
      </c>
      <c r="I20" s="21" t="n"/>
      <c r="J20" s="22">
        <f>IF(OR($E20=0,I$78=0),0,IF(AND(I20="N/A",$G20&lt;&gt;""),0,$F20+SUMPRODUCT(($G$14:$G$71=$A20)*($E$14:$E$71=1)*(I$14:I$71="N/A")*$F$14:$F$71)))</f>
        <v/>
      </c>
      <c r="K20" s="22">
        <f>IF(I20="SI",J20,0)</f>
        <v/>
      </c>
      <c r="L20" s="21" t="n"/>
      <c r="M20" s="22">
        <f>IF(OR($E20=0,L$78=0),0,IF(AND(L20="N/A",$G20&lt;&gt;""),0,$F20+SUMPRODUCT(($G$14:$G$71=$A20)*($E$14:$E$71=1)*(L$14:L$71="N/A")*$F$14:$F$71)))</f>
        <v/>
      </c>
      <c r="N20" s="22">
        <f>IF(L20="SI",M20,0)</f>
        <v/>
      </c>
      <c r="O20" s="21" t="n"/>
      <c r="P20" s="22">
        <f>IF(OR($E20=0,O$78=0),0,IF(AND(O20="N/A",$G20&lt;&gt;""),0,$F20+SUMPRODUCT(($G$14:$G$71=$A20)*($E$14:$E$71=1)*(O$14:O$71="N/A")*$F$14:$F$71)))</f>
        <v/>
      </c>
      <c r="Q20" s="22">
        <f>IF(O20="SI",P20,0)</f>
        <v/>
      </c>
      <c r="R20" s="21" t="n"/>
      <c r="S20" s="22">
        <f>IF(OR($E20=0,R$78=0),0,IF(AND(R20="N/A",$G20&lt;&gt;""),0,$F20+SUMPRODUCT(($G$14:$G$71=$A20)*($E$14:$E$71=1)*(R$14:R$71="N/A")*$F$14:$F$71)))</f>
        <v/>
      </c>
      <c r="T20" s="22">
        <f>IF(R20="SI",S20,0)</f>
        <v/>
      </c>
      <c r="U20" s="21" t="n"/>
      <c r="V20" s="22">
        <f>IF(OR($E20=0,U$78=0),0,IF(AND(U20="N/A",$G20&lt;&gt;""),0,$F20+SUMPRODUCT(($G$14:$G$71=$A20)*($E$14:$E$71=1)*(U$14:U$71="N/A")*$F$14:$F$71)))</f>
        <v/>
      </c>
      <c r="W20" s="22">
        <f>IF(U20="SI",V20,0)</f>
        <v/>
      </c>
      <c r="X20" s="21" t="n"/>
      <c r="Y20" s="22">
        <f>IF(OR($E20=0,X$78=0),0,IF(AND(X20="N/A",$G20&lt;&gt;""),0,$F20+SUMPRODUCT(($G$14:$G$71=$A20)*($E$14:$E$71=1)*(X$14:X$71="N/A")*$F$14:$F$71)))</f>
        <v/>
      </c>
      <c r="Z20" s="22">
        <f>IF(X20="SI",Y20,0)</f>
        <v/>
      </c>
      <c r="AA20" s="22">
        <f>SUM(J20,M20,P20,S20,V20,Y20)</f>
        <v/>
      </c>
      <c r="AB20" s="22">
        <f>SUM(K20,N20,Q20,T20,W20,Z20)</f>
        <v/>
      </c>
      <c r="AC20" s="23">
        <f>IF(AA20=0,"",AB20/AA20)</f>
        <v/>
      </c>
      <c r="AD20" s="22">
        <f>CRITERIOS!Q8</f>
        <v/>
      </c>
      <c r="AE20" s="22">
        <f>IF(AND(E20=1,H20&lt;&gt;"X",((I20="N/A")+(L20="N/A")+(O20="N/A")+(R20="N/A")+(U20="N/A")+(X20="N/A"))&gt;0),"REVISAR","")</f>
        <v/>
      </c>
    </row>
    <row r="21">
      <c r="A21" s="19">
        <f>CRITERIOS!B9</f>
        <v/>
      </c>
      <c r="B21" s="19">
        <f>CRITERIOS!C9</f>
        <v/>
      </c>
      <c r="C21" s="20">
        <f>CRITERIOS!D9</f>
        <v/>
      </c>
      <c r="D21" s="19">
        <f>CRITERIOS!E9</f>
        <v/>
      </c>
      <c r="E21" s="19">
        <f>IFERROR(IF(AND(OR(CRITERIOS!F9="Todos",CRITERIOS!F9=$B$4),INDEX(CRITERIOS!H9:J9,MATCH($B$5,VARIABLES!$E$2:$E$4,0))=1),1,0),0)</f>
        <v/>
      </c>
      <c r="F21" s="19">
        <f>IFERROR(IF(E21=1,INDEX(CRITERIOS!K9:M9,MATCH($B$5,VARIABLES!$E$2:$E$4,0)),0),0)</f>
        <v/>
      </c>
      <c r="G21" s="19">
        <f>IF(CRITERIOS!N9="","",CRITERIOS!N9)</f>
        <v/>
      </c>
      <c r="H21" s="19">
        <f>IF(CRITERIOS!O9="","",CRITERIOS!O9)</f>
        <v/>
      </c>
      <c r="I21" s="21" t="n"/>
      <c r="J21" s="22">
        <f>IF(OR($E21=0,I$78=0),0,IF(AND(I21="N/A",$G21&lt;&gt;""),0,$F21+SUMPRODUCT(($G$14:$G$71=$A21)*($E$14:$E$71=1)*(I$14:I$71="N/A")*$F$14:$F$71)))</f>
        <v/>
      </c>
      <c r="K21" s="22">
        <f>IF(I21="SI",J21,0)</f>
        <v/>
      </c>
      <c r="L21" s="21" t="n"/>
      <c r="M21" s="22">
        <f>IF(OR($E21=0,L$78=0),0,IF(AND(L21="N/A",$G21&lt;&gt;""),0,$F21+SUMPRODUCT(($G$14:$G$71=$A21)*($E$14:$E$71=1)*(L$14:L$71="N/A")*$F$14:$F$71)))</f>
        <v/>
      </c>
      <c r="N21" s="22">
        <f>IF(L21="SI",M21,0)</f>
        <v/>
      </c>
      <c r="O21" s="21" t="n"/>
      <c r="P21" s="22">
        <f>IF(OR($E21=0,O$78=0),0,IF(AND(O21="N/A",$G21&lt;&gt;""),0,$F21+SUMPRODUCT(($G$14:$G$71=$A21)*($E$14:$E$71=1)*(O$14:O$71="N/A")*$F$14:$F$71)))</f>
        <v/>
      </c>
      <c r="Q21" s="22">
        <f>IF(O21="SI",P21,0)</f>
        <v/>
      </c>
      <c r="R21" s="21" t="n"/>
      <c r="S21" s="22">
        <f>IF(OR($E21=0,R$78=0),0,IF(AND(R21="N/A",$G21&lt;&gt;""),0,$F21+SUMPRODUCT(($G$14:$G$71=$A21)*($E$14:$E$71=1)*(R$14:R$71="N/A")*$F$14:$F$71)))</f>
        <v/>
      </c>
      <c r="T21" s="22">
        <f>IF(R21="SI",S21,0)</f>
        <v/>
      </c>
      <c r="U21" s="21" t="n"/>
      <c r="V21" s="22">
        <f>IF(OR($E21=0,U$78=0),0,IF(AND(U21="N/A",$G21&lt;&gt;""),0,$F21+SUMPRODUCT(($G$14:$G$71=$A21)*($E$14:$E$71=1)*(U$14:U$71="N/A")*$F$14:$F$71)))</f>
        <v/>
      </c>
      <c r="W21" s="22">
        <f>IF(U21="SI",V21,0)</f>
        <v/>
      </c>
      <c r="X21" s="21" t="n"/>
      <c r="Y21" s="22">
        <f>IF(OR($E21=0,X$78=0),0,IF(AND(X21="N/A",$G21&lt;&gt;""),0,$F21+SUMPRODUCT(($G$14:$G$71=$A21)*($E$14:$E$71=1)*(X$14:X$71="N/A")*$F$14:$F$71)))</f>
        <v/>
      </c>
      <c r="Z21" s="22">
        <f>IF(X21="SI",Y21,0)</f>
        <v/>
      </c>
      <c r="AA21" s="22">
        <f>SUM(J21,M21,P21,S21,V21,Y21)</f>
        <v/>
      </c>
      <c r="AB21" s="22">
        <f>SUM(K21,N21,Q21,T21,W21,Z21)</f>
        <v/>
      </c>
      <c r="AC21" s="23">
        <f>IF(AA21=0,"",AB21/AA21)</f>
        <v/>
      </c>
      <c r="AD21" s="22">
        <f>CRITERIOS!Q9</f>
        <v/>
      </c>
      <c r="AE21" s="22">
        <f>IF(AND(E21=1,H21&lt;&gt;"X",((I21="N/A")+(L21="N/A")+(O21="N/A")+(R21="N/A")+(U21="N/A")+(X21="N/A"))&gt;0),"REVISAR","")</f>
        <v/>
      </c>
    </row>
    <row r="22">
      <c r="A22" s="19">
        <f>CRITERIOS!B10</f>
        <v/>
      </c>
      <c r="B22" s="19">
        <f>CRITERIOS!C10</f>
        <v/>
      </c>
      <c r="C22" s="20">
        <f>CRITERIOS!D10</f>
        <v/>
      </c>
      <c r="D22" s="19">
        <f>CRITERIOS!E10</f>
        <v/>
      </c>
      <c r="E22" s="19">
        <f>IFERROR(IF(AND(OR(CRITERIOS!F10="Todos",CRITERIOS!F10=$B$4),INDEX(CRITERIOS!H10:J10,MATCH($B$5,VARIABLES!$E$2:$E$4,0))=1),1,0),0)</f>
        <v/>
      </c>
      <c r="F22" s="19">
        <f>IFERROR(IF(E22=1,INDEX(CRITERIOS!K10:M10,MATCH($B$5,VARIABLES!$E$2:$E$4,0)),0),0)</f>
        <v/>
      </c>
      <c r="G22" s="19">
        <f>IF(CRITERIOS!N10="","",CRITERIOS!N10)</f>
        <v/>
      </c>
      <c r="H22" s="19">
        <f>IF(CRITERIOS!O10="","",CRITERIOS!O10)</f>
        <v/>
      </c>
      <c r="I22" s="21" t="n"/>
      <c r="J22" s="22">
        <f>IF(OR($E22=0,I$78=0),0,IF(AND(I22="N/A",$G22&lt;&gt;""),0,$F22+SUMPRODUCT(($G$14:$G$71=$A22)*($E$14:$E$71=1)*(I$14:I$71="N/A")*$F$14:$F$71)))</f>
        <v/>
      </c>
      <c r="K22" s="22">
        <f>IF(I22="SI",J22,0)</f>
        <v/>
      </c>
      <c r="L22" s="21" t="n"/>
      <c r="M22" s="22">
        <f>IF(OR($E22=0,L$78=0),0,IF(AND(L22="N/A",$G22&lt;&gt;""),0,$F22+SUMPRODUCT(($G$14:$G$71=$A22)*($E$14:$E$71=1)*(L$14:L$71="N/A")*$F$14:$F$71)))</f>
        <v/>
      </c>
      <c r="N22" s="22">
        <f>IF(L22="SI",M22,0)</f>
        <v/>
      </c>
      <c r="O22" s="21" t="n"/>
      <c r="P22" s="22">
        <f>IF(OR($E22=0,O$78=0),0,IF(AND(O22="N/A",$G22&lt;&gt;""),0,$F22+SUMPRODUCT(($G$14:$G$71=$A22)*($E$14:$E$71=1)*(O$14:O$71="N/A")*$F$14:$F$71)))</f>
        <v/>
      </c>
      <c r="Q22" s="22">
        <f>IF(O22="SI",P22,0)</f>
        <v/>
      </c>
      <c r="R22" s="21" t="n"/>
      <c r="S22" s="22">
        <f>IF(OR($E22=0,R$78=0),0,IF(AND(R22="N/A",$G22&lt;&gt;""),0,$F22+SUMPRODUCT(($G$14:$G$71=$A22)*($E$14:$E$71=1)*(R$14:R$71="N/A")*$F$14:$F$71)))</f>
        <v/>
      </c>
      <c r="T22" s="22">
        <f>IF(R22="SI",S22,0)</f>
        <v/>
      </c>
      <c r="U22" s="21" t="n"/>
      <c r="V22" s="22">
        <f>IF(OR($E22=0,U$78=0),0,IF(AND(U22="N/A",$G22&lt;&gt;""),0,$F22+SUMPRODUCT(($G$14:$G$71=$A22)*($E$14:$E$71=1)*(U$14:U$71="N/A")*$F$14:$F$71)))</f>
        <v/>
      </c>
      <c r="W22" s="22">
        <f>IF(U22="SI",V22,0)</f>
        <v/>
      </c>
      <c r="X22" s="21" t="n"/>
      <c r="Y22" s="22">
        <f>IF(OR($E22=0,X$78=0),0,IF(AND(X22="N/A",$G22&lt;&gt;""),0,$F22+SUMPRODUCT(($G$14:$G$71=$A22)*($E$14:$E$71=1)*(X$14:X$71="N/A")*$F$14:$F$71)))</f>
        <v/>
      </c>
      <c r="Z22" s="22">
        <f>IF(X22="SI",Y22,0)</f>
        <v/>
      </c>
      <c r="AA22" s="22">
        <f>SUM(J22,M22,P22,S22,V22,Y22)</f>
        <v/>
      </c>
      <c r="AB22" s="22">
        <f>SUM(K22,N22,Q22,T22,W22,Z22)</f>
        <v/>
      </c>
      <c r="AC22" s="23">
        <f>IF(AA22=0,"",AB22/AA22)</f>
        <v/>
      </c>
      <c r="AD22" s="22">
        <f>CRITERIOS!Q10</f>
        <v/>
      </c>
      <c r="AE22" s="22">
        <f>IF(AND(E22=1,H22&lt;&gt;"X",((I22="N/A")+(L22="N/A")+(O22="N/A")+(R22="N/A")+(U22="N/A")+(X22="N/A"))&gt;0),"REVISAR","")</f>
        <v/>
      </c>
    </row>
    <row r="23">
      <c r="A23" s="19">
        <f>CRITERIOS!B11</f>
        <v/>
      </c>
      <c r="B23" s="19">
        <f>CRITERIOS!C11</f>
        <v/>
      </c>
      <c r="C23" s="20">
        <f>CRITERIOS!D11</f>
        <v/>
      </c>
      <c r="D23" s="19">
        <f>CRITERIOS!E11</f>
        <v/>
      </c>
      <c r="E23" s="19">
        <f>IFERROR(IF(AND(OR(CRITERIOS!F11="Todos",CRITERIOS!F11=$B$4),INDEX(CRITERIOS!H11:J11,MATCH($B$5,VARIABLES!$E$2:$E$4,0))=1),1,0),0)</f>
        <v/>
      </c>
      <c r="F23" s="19">
        <f>IFERROR(IF(E23=1,INDEX(CRITERIOS!K11:M11,MATCH($B$5,VARIABLES!$E$2:$E$4,0)),0),0)</f>
        <v/>
      </c>
      <c r="G23" s="19">
        <f>IF(CRITERIOS!N11="","",CRITERIOS!N11)</f>
        <v/>
      </c>
      <c r="H23" s="19">
        <f>IF(CRITERIOS!O11="","",CRITERIOS!O11)</f>
        <v/>
      </c>
      <c r="I23" s="21" t="n"/>
      <c r="J23" s="22">
        <f>IF(OR($E23=0,I$78=0),0,IF(AND(I23="N/A",$G23&lt;&gt;""),0,$F23+SUMPRODUCT(($G$14:$G$71=$A23)*($E$14:$E$71=1)*(I$14:I$71="N/A")*$F$14:$F$71)))</f>
        <v/>
      </c>
      <c r="K23" s="22">
        <f>IF(I23="SI",J23,0)</f>
        <v/>
      </c>
      <c r="L23" s="21" t="n"/>
      <c r="M23" s="22">
        <f>IF(OR($E23=0,L$78=0),0,IF(AND(L23="N/A",$G23&lt;&gt;""),0,$F23+SUMPRODUCT(($G$14:$G$71=$A23)*($E$14:$E$71=1)*(L$14:L$71="N/A")*$F$14:$F$71)))</f>
        <v/>
      </c>
      <c r="N23" s="22">
        <f>IF(L23="SI",M23,0)</f>
        <v/>
      </c>
      <c r="O23" s="21" t="n"/>
      <c r="P23" s="22">
        <f>IF(OR($E23=0,O$78=0),0,IF(AND(O23="N/A",$G23&lt;&gt;""),0,$F23+SUMPRODUCT(($G$14:$G$71=$A23)*($E$14:$E$71=1)*(O$14:O$71="N/A")*$F$14:$F$71)))</f>
        <v/>
      </c>
      <c r="Q23" s="22">
        <f>IF(O23="SI",P23,0)</f>
        <v/>
      </c>
      <c r="R23" s="21" t="n"/>
      <c r="S23" s="22">
        <f>IF(OR($E23=0,R$78=0),0,IF(AND(R23="N/A",$G23&lt;&gt;""),0,$F23+SUMPRODUCT(($G$14:$G$71=$A23)*($E$14:$E$71=1)*(R$14:R$71="N/A")*$F$14:$F$71)))</f>
        <v/>
      </c>
      <c r="T23" s="22">
        <f>IF(R23="SI",S23,0)</f>
        <v/>
      </c>
      <c r="U23" s="21" t="n"/>
      <c r="V23" s="22">
        <f>IF(OR($E23=0,U$78=0),0,IF(AND(U23="N/A",$G23&lt;&gt;""),0,$F23+SUMPRODUCT(($G$14:$G$71=$A23)*($E$14:$E$71=1)*(U$14:U$71="N/A")*$F$14:$F$71)))</f>
        <v/>
      </c>
      <c r="W23" s="22">
        <f>IF(U23="SI",V23,0)</f>
        <v/>
      </c>
      <c r="X23" s="21" t="n"/>
      <c r="Y23" s="22">
        <f>IF(OR($E23=0,X$78=0),0,IF(AND(X23="N/A",$G23&lt;&gt;""),0,$F23+SUMPRODUCT(($G$14:$G$71=$A23)*($E$14:$E$71=1)*(X$14:X$71="N/A")*$F$14:$F$71)))</f>
        <v/>
      </c>
      <c r="Z23" s="22">
        <f>IF(X23="SI",Y23,0)</f>
        <v/>
      </c>
      <c r="AA23" s="22">
        <f>SUM(J23,M23,P23,S23,V23,Y23)</f>
        <v/>
      </c>
      <c r="AB23" s="22">
        <f>SUM(K23,N23,Q23,T23,W23,Z23)</f>
        <v/>
      </c>
      <c r="AC23" s="23">
        <f>IF(AA23=0,"",AB23/AA23)</f>
        <v/>
      </c>
      <c r="AD23" s="22">
        <f>CRITERIOS!Q11</f>
        <v/>
      </c>
      <c r="AE23" s="22">
        <f>IF(AND(E23=1,H23&lt;&gt;"X",((I23="N/A")+(L23="N/A")+(O23="N/A")+(R23="N/A")+(U23="N/A")+(X23="N/A"))&gt;0),"REVISAR","")</f>
        <v/>
      </c>
    </row>
    <row r="24">
      <c r="A24" s="19">
        <f>CRITERIOS!B12</f>
        <v/>
      </c>
      <c r="B24" s="19">
        <f>CRITERIOS!C12</f>
        <v/>
      </c>
      <c r="C24" s="20">
        <f>CRITERIOS!D12</f>
        <v/>
      </c>
      <c r="D24" s="19">
        <f>CRITERIOS!E12</f>
        <v/>
      </c>
      <c r="E24" s="19">
        <f>IFERROR(IF(AND(OR(CRITERIOS!F12="Todos",CRITERIOS!F12=$B$4),INDEX(CRITERIOS!H12:J12,MATCH($B$5,VARIABLES!$E$2:$E$4,0))=1),1,0),0)</f>
        <v/>
      </c>
      <c r="F24" s="19">
        <f>IFERROR(IF(E24=1,INDEX(CRITERIOS!K12:M12,MATCH($B$5,VARIABLES!$E$2:$E$4,0)),0),0)</f>
        <v/>
      </c>
      <c r="G24" s="19">
        <f>IF(CRITERIOS!N12="","",CRITERIOS!N12)</f>
        <v/>
      </c>
      <c r="H24" s="19">
        <f>IF(CRITERIOS!O12="","",CRITERIOS!O12)</f>
        <v/>
      </c>
      <c r="I24" s="21" t="n"/>
      <c r="J24" s="22">
        <f>IF(OR($E24=0,I$78=0),0,IF(AND(I24="N/A",$G24&lt;&gt;""),0,$F24+SUMPRODUCT(($G$14:$G$71=$A24)*($E$14:$E$71=1)*(I$14:I$71="N/A")*$F$14:$F$71)))</f>
        <v/>
      </c>
      <c r="K24" s="22">
        <f>IF(I24="SI",J24,0)</f>
        <v/>
      </c>
      <c r="L24" s="21" t="n"/>
      <c r="M24" s="22">
        <f>IF(OR($E24=0,L$78=0),0,IF(AND(L24="N/A",$G24&lt;&gt;""),0,$F24+SUMPRODUCT(($G$14:$G$71=$A24)*($E$14:$E$71=1)*(L$14:L$71="N/A")*$F$14:$F$71)))</f>
        <v/>
      </c>
      <c r="N24" s="22">
        <f>IF(L24="SI",M24,0)</f>
        <v/>
      </c>
      <c r="O24" s="21" t="n"/>
      <c r="P24" s="22">
        <f>IF(OR($E24=0,O$78=0),0,IF(AND(O24="N/A",$G24&lt;&gt;""),0,$F24+SUMPRODUCT(($G$14:$G$71=$A24)*($E$14:$E$71=1)*(O$14:O$71="N/A")*$F$14:$F$71)))</f>
        <v/>
      </c>
      <c r="Q24" s="22">
        <f>IF(O24="SI",P24,0)</f>
        <v/>
      </c>
      <c r="R24" s="21" t="n"/>
      <c r="S24" s="22">
        <f>IF(OR($E24=0,R$78=0),0,IF(AND(R24="N/A",$G24&lt;&gt;""),0,$F24+SUMPRODUCT(($G$14:$G$71=$A24)*($E$14:$E$71=1)*(R$14:R$71="N/A")*$F$14:$F$71)))</f>
        <v/>
      </c>
      <c r="T24" s="22">
        <f>IF(R24="SI",S24,0)</f>
        <v/>
      </c>
      <c r="U24" s="21" t="n"/>
      <c r="V24" s="22">
        <f>IF(OR($E24=0,U$78=0),0,IF(AND(U24="N/A",$G24&lt;&gt;""),0,$F24+SUMPRODUCT(($G$14:$G$71=$A24)*($E$14:$E$71=1)*(U$14:U$71="N/A")*$F$14:$F$71)))</f>
        <v/>
      </c>
      <c r="W24" s="22">
        <f>IF(U24="SI",V24,0)</f>
        <v/>
      </c>
      <c r="X24" s="21" t="n"/>
      <c r="Y24" s="22">
        <f>IF(OR($E24=0,X$78=0),0,IF(AND(X24="N/A",$G24&lt;&gt;""),0,$F24+SUMPRODUCT(($G$14:$G$71=$A24)*($E$14:$E$71=1)*(X$14:X$71="N/A")*$F$14:$F$71)))</f>
        <v/>
      </c>
      <c r="Z24" s="22">
        <f>IF(X24="SI",Y24,0)</f>
        <v/>
      </c>
      <c r="AA24" s="22">
        <f>SUM(J24,M24,P24,S24,V24,Y24)</f>
        <v/>
      </c>
      <c r="AB24" s="22">
        <f>SUM(K24,N24,Q24,T24,W24,Z24)</f>
        <v/>
      </c>
      <c r="AC24" s="23">
        <f>IF(AA24=0,"",AB24/AA24)</f>
        <v/>
      </c>
      <c r="AD24" s="22">
        <f>CRITERIOS!Q12</f>
        <v/>
      </c>
      <c r="AE24" s="22">
        <f>IF(AND(E24=1,H24&lt;&gt;"X",((I24="N/A")+(L24="N/A")+(O24="N/A")+(R24="N/A")+(U24="N/A")+(X24="N/A"))&gt;0),"REVISAR","")</f>
        <v/>
      </c>
    </row>
    <row r="25">
      <c r="A25" s="19">
        <f>CRITERIOS!B13</f>
        <v/>
      </c>
      <c r="B25" s="19">
        <f>CRITERIOS!C13</f>
        <v/>
      </c>
      <c r="C25" s="20">
        <f>CRITERIOS!D13</f>
        <v/>
      </c>
      <c r="D25" s="19">
        <f>CRITERIOS!E13</f>
        <v/>
      </c>
      <c r="E25" s="19">
        <f>IFERROR(IF(AND(OR(CRITERIOS!F13="Todos",CRITERIOS!F13=$B$4),INDEX(CRITERIOS!H13:J13,MATCH($B$5,VARIABLES!$E$2:$E$4,0))=1),1,0),0)</f>
        <v/>
      </c>
      <c r="F25" s="19">
        <f>IFERROR(IF(E25=1,INDEX(CRITERIOS!K13:M13,MATCH($B$5,VARIABLES!$E$2:$E$4,0)),0),0)</f>
        <v/>
      </c>
      <c r="G25" s="19">
        <f>IF(CRITERIOS!N13="","",CRITERIOS!N13)</f>
        <v/>
      </c>
      <c r="H25" s="19">
        <f>IF(CRITERIOS!O13="","",CRITERIOS!O13)</f>
        <v/>
      </c>
      <c r="I25" s="21" t="n"/>
      <c r="J25" s="22">
        <f>IF(OR($E25=0,I$78=0),0,IF(AND(I25="N/A",$G25&lt;&gt;""),0,$F25+SUMPRODUCT(($G$14:$G$71=$A25)*($E$14:$E$71=1)*(I$14:I$71="N/A")*$F$14:$F$71)))</f>
        <v/>
      </c>
      <c r="K25" s="22">
        <f>IF(I25="SI",J25,0)</f>
        <v/>
      </c>
      <c r="L25" s="21" t="n"/>
      <c r="M25" s="22">
        <f>IF(OR($E25=0,L$78=0),0,IF(AND(L25="N/A",$G25&lt;&gt;""),0,$F25+SUMPRODUCT(($G$14:$G$71=$A25)*($E$14:$E$71=1)*(L$14:L$71="N/A")*$F$14:$F$71)))</f>
        <v/>
      </c>
      <c r="N25" s="22">
        <f>IF(L25="SI",M25,0)</f>
        <v/>
      </c>
      <c r="O25" s="21" t="n"/>
      <c r="P25" s="22">
        <f>IF(OR($E25=0,O$78=0),0,IF(AND(O25="N/A",$G25&lt;&gt;""),0,$F25+SUMPRODUCT(($G$14:$G$71=$A25)*($E$14:$E$71=1)*(O$14:O$71="N/A")*$F$14:$F$71)))</f>
        <v/>
      </c>
      <c r="Q25" s="22">
        <f>IF(O25="SI",P25,0)</f>
        <v/>
      </c>
      <c r="R25" s="21" t="n"/>
      <c r="S25" s="22">
        <f>IF(OR($E25=0,R$78=0),0,IF(AND(R25="N/A",$G25&lt;&gt;""),0,$F25+SUMPRODUCT(($G$14:$G$71=$A25)*($E$14:$E$71=1)*(R$14:R$71="N/A")*$F$14:$F$71)))</f>
        <v/>
      </c>
      <c r="T25" s="22">
        <f>IF(R25="SI",S25,0)</f>
        <v/>
      </c>
      <c r="U25" s="21" t="n"/>
      <c r="V25" s="22">
        <f>IF(OR($E25=0,U$78=0),0,IF(AND(U25="N/A",$G25&lt;&gt;""),0,$F25+SUMPRODUCT(($G$14:$G$71=$A25)*($E$14:$E$71=1)*(U$14:U$71="N/A")*$F$14:$F$71)))</f>
        <v/>
      </c>
      <c r="W25" s="22">
        <f>IF(U25="SI",V25,0)</f>
        <v/>
      </c>
      <c r="X25" s="21" t="n"/>
      <c r="Y25" s="22">
        <f>IF(OR($E25=0,X$78=0),0,IF(AND(X25="N/A",$G25&lt;&gt;""),0,$F25+SUMPRODUCT(($G$14:$G$71=$A25)*($E$14:$E$71=1)*(X$14:X$71="N/A")*$F$14:$F$71)))</f>
        <v/>
      </c>
      <c r="Z25" s="22">
        <f>IF(X25="SI",Y25,0)</f>
        <v/>
      </c>
      <c r="AA25" s="22">
        <f>SUM(J25,M25,P25,S25,V25,Y25)</f>
        <v/>
      </c>
      <c r="AB25" s="22">
        <f>SUM(K25,N25,Q25,T25,W25,Z25)</f>
        <v/>
      </c>
      <c r="AC25" s="23">
        <f>IF(AA25=0,"",AB25/AA25)</f>
        <v/>
      </c>
      <c r="AD25" s="22">
        <f>CRITERIOS!Q13</f>
        <v/>
      </c>
      <c r="AE25" s="22">
        <f>IF(AND(E25=1,H25&lt;&gt;"X",((I25="N/A")+(L25="N/A")+(O25="N/A")+(R25="N/A")+(U25="N/A")+(X25="N/A"))&gt;0),"REVISAR","")</f>
        <v/>
      </c>
    </row>
    <row r="26">
      <c r="A26" s="19">
        <f>CRITERIOS!B14</f>
        <v/>
      </c>
      <c r="B26" s="19">
        <f>CRITERIOS!C14</f>
        <v/>
      </c>
      <c r="C26" s="20">
        <f>CRITERIOS!D14</f>
        <v/>
      </c>
      <c r="D26" s="19">
        <f>CRITERIOS!E14</f>
        <v/>
      </c>
      <c r="E26" s="19">
        <f>IFERROR(IF(AND(OR(CRITERIOS!F14="Todos",CRITERIOS!F14=$B$4),INDEX(CRITERIOS!H14:J14,MATCH($B$5,VARIABLES!$E$2:$E$4,0))=1),1,0),0)</f>
        <v/>
      </c>
      <c r="F26" s="19">
        <f>IFERROR(IF(E26=1,INDEX(CRITERIOS!K14:M14,MATCH($B$5,VARIABLES!$E$2:$E$4,0)),0),0)</f>
        <v/>
      </c>
      <c r="G26" s="19">
        <f>IF(CRITERIOS!N14="","",CRITERIOS!N14)</f>
        <v/>
      </c>
      <c r="H26" s="19">
        <f>IF(CRITERIOS!O14="","",CRITERIOS!O14)</f>
        <v/>
      </c>
      <c r="I26" s="21" t="n"/>
      <c r="J26" s="22">
        <f>IF(OR($E26=0,I$78=0),0,IF(AND(I26="N/A",$G26&lt;&gt;""),0,$F26+SUMPRODUCT(($G$14:$G$71=$A26)*($E$14:$E$71=1)*(I$14:I$71="N/A")*$F$14:$F$71)))</f>
        <v/>
      </c>
      <c r="K26" s="22">
        <f>IF(I26="SI",J26,0)</f>
        <v/>
      </c>
      <c r="L26" s="21" t="n"/>
      <c r="M26" s="22">
        <f>IF(OR($E26=0,L$78=0),0,IF(AND(L26="N/A",$G26&lt;&gt;""),0,$F26+SUMPRODUCT(($G$14:$G$71=$A26)*($E$14:$E$71=1)*(L$14:L$71="N/A")*$F$14:$F$71)))</f>
        <v/>
      </c>
      <c r="N26" s="22">
        <f>IF(L26="SI",M26,0)</f>
        <v/>
      </c>
      <c r="O26" s="21" t="n"/>
      <c r="P26" s="22">
        <f>IF(OR($E26=0,O$78=0),0,IF(AND(O26="N/A",$G26&lt;&gt;""),0,$F26+SUMPRODUCT(($G$14:$G$71=$A26)*($E$14:$E$71=1)*(O$14:O$71="N/A")*$F$14:$F$71)))</f>
        <v/>
      </c>
      <c r="Q26" s="22">
        <f>IF(O26="SI",P26,0)</f>
        <v/>
      </c>
      <c r="R26" s="21" t="n"/>
      <c r="S26" s="22">
        <f>IF(OR($E26=0,R$78=0),0,IF(AND(R26="N/A",$G26&lt;&gt;""),0,$F26+SUMPRODUCT(($G$14:$G$71=$A26)*($E$14:$E$71=1)*(R$14:R$71="N/A")*$F$14:$F$71)))</f>
        <v/>
      </c>
      <c r="T26" s="22">
        <f>IF(R26="SI",S26,0)</f>
        <v/>
      </c>
      <c r="U26" s="21" t="n"/>
      <c r="V26" s="22">
        <f>IF(OR($E26=0,U$78=0),0,IF(AND(U26="N/A",$G26&lt;&gt;""),0,$F26+SUMPRODUCT(($G$14:$G$71=$A26)*($E$14:$E$71=1)*(U$14:U$71="N/A")*$F$14:$F$71)))</f>
        <v/>
      </c>
      <c r="W26" s="22">
        <f>IF(U26="SI",V26,0)</f>
        <v/>
      </c>
      <c r="X26" s="21" t="n"/>
      <c r="Y26" s="22">
        <f>IF(OR($E26=0,X$78=0),0,IF(AND(X26="N/A",$G26&lt;&gt;""),0,$F26+SUMPRODUCT(($G$14:$G$71=$A26)*($E$14:$E$71=1)*(X$14:X$71="N/A")*$F$14:$F$71)))</f>
        <v/>
      </c>
      <c r="Z26" s="22">
        <f>IF(X26="SI",Y26,0)</f>
        <v/>
      </c>
      <c r="AA26" s="22">
        <f>SUM(J26,M26,P26,S26,V26,Y26)</f>
        <v/>
      </c>
      <c r="AB26" s="22">
        <f>SUM(K26,N26,Q26,T26,W26,Z26)</f>
        <v/>
      </c>
      <c r="AC26" s="23">
        <f>IF(AA26=0,"",AB26/AA26)</f>
        <v/>
      </c>
      <c r="AD26" s="22">
        <f>CRITERIOS!Q14</f>
        <v/>
      </c>
      <c r="AE26" s="22">
        <f>IF(AND(E26=1,H26&lt;&gt;"X",((I26="N/A")+(L26="N/A")+(O26="N/A")+(R26="N/A")+(U26="N/A")+(X26="N/A"))&gt;0),"REVISAR","")</f>
        <v/>
      </c>
    </row>
    <row r="27">
      <c r="A27" s="19">
        <f>CRITERIOS!B15</f>
        <v/>
      </c>
      <c r="B27" s="19">
        <f>CRITERIOS!C15</f>
        <v/>
      </c>
      <c r="C27" s="20">
        <f>CRITERIOS!D15</f>
        <v/>
      </c>
      <c r="D27" s="19">
        <f>CRITERIOS!E15</f>
        <v/>
      </c>
      <c r="E27" s="19">
        <f>IFERROR(IF(AND(OR(CRITERIOS!F15="Todos",CRITERIOS!F15=$B$4),INDEX(CRITERIOS!H15:J15,MATCH($B$5,VARIABLES!$E$2:$E$4,0))=1),1,0),0)</f>
        <v/>
      </c>
      <c r="F27" s="19">
        <f>IFERROR(IF(E27=1,INDEX(CRITERIOS!K15:M15,MATCH($B$5,VARIABLES!$E$2:$E$4,0)),0),0)</f>
        <v/>
      </c>
      <c r="G27" s="19">
        <f>IF(CRITERIOS!N15="","",CRITERIOS!N15)</f>
        <v/>
      </c>
      <c r="H27" s="19">
        <f>IF(CRITERIOS!O15="","",CRITERIOS!O15)</f>
        <v/>
      </c>
      <c r="I27" s="21" t="n"/>
      <c r="J27" s="22">
        <f>IF(OR($E27=0,I$78=0),0,IF(AND(I27="N/A",$G27&lt;&gt;""),0,$F27+SUMPRODUCT(($G$14:$G$71=$A27)*($E$14:$E$71=1)*(I$14:I$71="N/A")*$F$14:$F$71)))</f>
        <v/>
      </c>
      <c r="K27" s="22">
        <f>IF(I27="SI",J27,0)</f>
        <v/>
      </c>
      <c r="L27" s="21" t="n"/>
      <c r="M27" s="22">
        <f>IF(OR($E27=0,L$78=0),0,IF(AND(L27="N/A",$G27&lt;&gt;""),0,$F27+SUMPRODUCT(($G$14:$G$71=$A27)*($E$14:$E$71=1)*(L$14:L$71="N/A")*$F$14:$F$71)))</f>
        <v/>
      </c>
      <c r="N27" s="22">
        <f>IF(L27="SI",M27,0)</f>
        <v/>
      </c>
      <c r="O27" s="21" t="n"/>
      <c r="P27" s="22">
        <f>IF(OR($E27=0,O$78=0),0,IF(AND(O27="N/A",$G27&lt;&gt;""),0,$F27+SUMPRODUCT(($G$14:$G$71=$A27)*($E$14:$E$71=1)*(O$14:O$71="N/A")*$F$14:$F$71)))</f>
        <v/>
      </c>
      <c r="Q27" s="22">
        <f>IF(O27="SI",P27,0)</f>
        <v/>
      </c>
      <c r="R27" s="21" t="n"/>
      <c r="S27" s="22">
        <f>IF(OR($E27=0,R$78=0),0,IF(AND(R27="N/A",$G27&lt;&gt;""),0,$F27+SUMPRODUCT(($G$14:$G$71=$A27)*($E$14:$E$71=1)*(R$14:R$71="N/A")*$F$14:$F$71)))</f>
        <v/>
      </c>
      <c r="T27" s="22">
        <f>IF(R27="SI",S27,0)</f>
        <v/>
      </c>
      <c r="U27" s="21" t="n"/>
      <c r="V27" s="22">
        <f>IF(OR($E27=0,U$78=0),0,IF(AND(U27="N/A",$G27&lt;&gt;""),0,$F27+SUMPRODUCT(($G$14:$G$71=$A27)*($E$14:$E$71=1)*(U$14:U$71="N/A")*$F$14:$F$71)))</f>
        <v/>
      </c>
      <c r="W27" s="22">
        <f>IF(U27="SI",V27,0)</f>
        <v/>
      </c>
      <c r="X27" s="21" t="n"/>
      <c r="Y27" s="22">
        <f>IF(OR($E27=0,X$78=0),0,IF(AND(X27="N/A",$G27&lt;&gt;""),0,$F27+SUMPRODUCT(($G$14:$G$71=$A27)*($E$14:$E$71=1)*(X$14:X$71="N/A")*$F$14:$F$71)))</f>
        <v/>
      </c>
      <c r="Z27" s="22">
        <f>IF(X27="SI",Y27,0)</f>
        <v/>
      </c>
      <c r="AA27" s="22">
        <f>SUM(J27,M27,P27,S27,V27,Y27)</f>
        <v/>
      </c>
      <c r="AB27" s="22">
        <f>SUM(K27,N27,Q27,T27,W27,Z27)</f>
        <v/>
      </c>
      <c r="AC27" s="23">
        <f>IF(AA27=0,"",AB27/AA27)</f>
        <v/>
      </c>
      <c r="AD27" s="22">
        <f>CRITERIOS!Q15</f>
        <v/>
      </c>
      <c r="AE27" s="22">
        <f>IF(AND(E27=1,H27&lt;&gt;"X",((I27="N/A")+(L27="N/A")+(O27="N/A")+(R27="N/A")+(U27="N/A")+(X27="N/A"))&gt;0),"REVISAR","")</f>
        <v/>
      </c>
    </row>
    <row r="28">
      <c r="A28" s="19">
        <f>CRITERIOS!B16</f>
        <v/>
      </c>
      <c r="B28" s="19">
        <f>CRITERIOS!C16</f>
        <v/>
      </c>
      <c r="C28" s="20">
        <f>CRITERIOS!D16</f>
        <v/>
      </c>
      <c r="D28" s="19">
        <f>CRITERIOS!E16</f>
        <v/>
      </c>
      <c r="E28" s="19">
        <f>IFERROR(IF(AND(OR(CRITERIOS!F16="Todos",CRITERIOS!F16=$B$4),INDEX(CRITERIOS!H16:J16,MATCH($B$5,VARIABLES!$E$2:$E$4,0))=1),1,0),0)</f>
        <v/>
      </c>
      <c r="F28" s="19">
        <f>IFERROR(IF(E28=1,INDEX(CRITERIOS!K16:M16,MATCH($B$5,VARIABLES!$E$2:$E$4,0)),0),0)</f>
        <v/>
      </c>
      <c r="G28" s="19">
        <f>IF(CRITERIOS!N16="","",CRITERIOS!N16)</f>
        <v/>
      </c>
      <c r="H28" s="19">
        <f>IF(CRITERIOS!O16="","",CRITERIOS!O16)</f>
        <v/>
      </c>
      <c r="I28" s="21" t="n"/>
      <c r="J28" s="22">
        <f>IF(OR($E28=0,I$78=0),0,IF(AND(I28="N/A",$G28&lt;&gt;""),0,$F28+SUMPRODUCT(($G$14:$G$71=$A28)*($E$14:$E$71=1)*(I$14:I$71="N/A")*$F$14:$F$71)))</f>
        <v/>
      </c>
      <c r="K28" s="22">
        <f>IF(I28="SI",J28,0)</f>
        <v/>
      </c>
      <c r="L28" s="21" t="n"/>
      <c r="M28" s="22">
        <f>IF(OR($E28=0,L$78=0),0,IF(AND(L28="N/A",$G28&lt;&gt;""),0,$F28+SUMPRODUCT(($G$14:$G$71=$A28)*($E$14:$E$71=1)*(L$14:L$71="N/A")*$F$14:$F$71)))</f>
        <v/>
      </c>
      <c r="N28" s="22">
        <f>IF(L28="SI",M28,0)</f>
        <v/>
      </c>
      <c r="O28" s="21" t="n"/>
      <c r="P28" s="22">
        <f>IF(OR($E28=0,O$78=0),0,IF(AND(O28="N/A",$G28&lt;&gt;""),0,$F28+SUMPRODUCT(($G$14:$G$71=$A28)*($E$14:$E$71=1)*(O$14:O$71="N/A")*$F$14:$F$71)))</f>
        <v/>
      </c>
      <c r="Q28" s="22">
        <f>IF(O28="SI",P28,0)</f>
        <v/>
      </c>
      <c r="R28" s="21" t="n"/>
      <c r="S28" s="22">
        <f>IF(OR($E28=0,R$78=0),0,IF(AND(R28="N/A",$G28&lt;&gt;""),0,$F28+SUMPRODUCT(($G$14:$G$71=$A28)*($E$14:$E$71=1)*(R$14:R$71="N/A")*$F$14:$F$71)))</f>
        <v/>
      </c>
      <c r="T28" s="22">
        <f>IF(R28="SI",S28,0)</f>
        <v/>
      </c>
      <c r="U28" s="21" t="n"/>
      <c r="V28" s="22">
        <f>IF(OR($E28=0,U$78=0),0,IF(AND(U28="N/A",$G28&lt;&gt;""),0,$F28+SUMPRODUCT(($G$14:$G$71=$A28)*($E$14:$E$71=1)*(U$14:U$71="N/A")*$F$14:$F$71)))</f>
        <v/>
      </c>
      <c r="W28" s="22">
        <f>IF(U28="SI",V28,0)</f>
        <v/>
      </c>
      <c r="X28" s="21" t="n"/>
      <c r="Y28" s="22">
        <f>IF(OR($E28=0,X$78=0),0,IF(AND(X28="N/A",$G28&lt;&gt;""),0,$F28+SUMPRODUCT(($G$14:$G$71=$A28)*($E$14:$E$71=1)*(X$14:X$71="N/A")*$F$14:$F$71)))</f>
        <v/>
      </c>
      <c r="Z28" s="22">
        <f>IF(X28="SI",Y28,0)</f>
        <v/>
      </c>
      <c r="AA28" s="22">
        <f>SUM(J28,M28,P28,S28,V28,Y28)</f>
        <v/>
      </c>
      <c r="AB28" s="22">
        <f>SUM(K28,N28,Q28,T28,W28,Z28)</f>
        <v/>
      </c>
      <c r="AC28" s="23">
        <f>IF(AA28=0,"",AB28/AA28)</f>
        <v/>
      </c>
      <c r="AD28" s="22">
        <f>CRITERIOS!Q16</f>
        <v/>
      </c>
      <c r="AE28" s="22">
        <f>IF(AND(E28=1,H28&lt;&gt;"X",((I28="N/A")+(L28="N/A")+(O28="N/A")+(R28="N/A")+(U28="N/A")+(X28="N/A"))&gt;0),"REVISAR","")</f>
        <v/>
      </c>
    </row>
    <row r="29">
      <c r="A29" s="19">
        <f>CRITERIOS!B17</f>
        <v/>
      </c>
      <c r="B29" s="19">
        <f>CRITERIOS!C17</f>
        <v/>
      </c>
      <c r="C29" s="20">
        <f>CRITERIOS!D17</f>
        <v/>
      </c>
      <c r="D29" s="19">
        <f>CRITERIOS!E17</f>
        <v/>
      </c>
      <c r="E29" s="19">
        <f>IFERROR(IF(AND(OR(CRITERIOS!F17="Todos",CRITERIOS!F17=$B$4),INDEX(CRITERIOS!H17:J17,MATCH($B$5,VARIABLES!$E$2:$E$4,0))=1),1,0),0)</f>
        <v/>
      </c>
      <c r="F29" s="19">
        <f>IFERROR(IF(E29=1,INDEX(CRITERIOS!K17:M17,MATCH($B$5,VARIABLES!$E$2:$E$4,0)),0),0)</f>
        <v/>
      </c>
      <c r="G29" s="19">
        <f>IF(CRITERIOS!N17="","",CRITERIOS!N17)</f>
        <v/>
      </c>
      <c r="H29" s="19">
        <f>IF(CRITERIOS!O17="","",CRITERIOS!O17)</f>
        <v/>
      </c>
      <c r="I29" s="21" t="n"/>
      <c r="J29" s="22">
        <f>IF(OR($E29=0,I$78=0),0,IF(AND(I29="N/A",$G29&lt;&gt;""),0,$F29+SUMPRODUCT(($G$14:$G$71=$A29)*($E$14:$E$71=1)*(I$14:I$71="N/A")*$F$14:$F$71)))</f>
        <v/>
      </c>
      <c r="K29" s="22">
        <f>IF(I29="SI",J29,0)</f>
        <v/>
      </c>
      <c r="L29" s="21" t="n"/>
      <c r="M29" s="22">
        <f>IF(OR($E29=0,L$78=0),0,IF(AND(L29="N/A",$G29&lt;&gt;""),0,$F29+SUMPRODUCT(($G$14:$G$71=$A29)*($E$14:$E$71=1)*(L$14:L$71="N/A")*$F$14:$F$71)))</f>
        <v/>
      </c>
      <c r="N29" s="22">
        <f>IF(L29="SI",M29,0)</f>
        <v/>
      </c>
      <c r="O29" s="21" t="n"/>
      <c r="P29" s="22">
        <f>IF(OR($E29=0,O$78=0),0,IF(AND(O29="N/A",$G29&lt;&gt;""),0,$F29+SUMPRODUCT(($G$14:$G$71=$A29)*($E$14:$E$71=1)*(O$14:O$71="N/A")*$F$14:$F$71)))</f>
        <v/>
      </c>
      <c r="Q29" s="22">
        <f>IF(O29="SI",P29,0)</f>
        <v/>
      </c>
      <c r="R29" s="21" t="n"/>
      <c r="S29" s="22">
        <f>IF(OR($E29=0,R$78=0),0,IF(AND(R29="N/A",$G29&lt;&gt;""),0,$F29+SUMPRODUCT(($G$14:$G$71=$A29)*($E$14:$E$71=1)*(R$14:R$71="N/A")*$F$14:$F$71)))</f>
        <v/>
      </c>
      <c r="T29" s="22">
        <f>IF(R29="SI",S29,0)</f>
        <v/>
      </c>
      <c r="U29" s="21" t="n"/>
      <c r="V29" s="22">
        <f>IF(OR($E29=0,U$78=0),0,IF(AND(U29="N/A",$G29&lt;&gt;""),0,$F29+SUMPRODUCT(($G$14:$G$71=$A29)*($E$14:$E$71=1)*(U$14:U$71="N/A")*$F$14:$F$71)))</f>
        <v/>
      </c>
      <c r="W29" s="22">
        <f>IF(U29="SI",V29,0)</f>
        <v/>
      </c>
      <c r="X29" s="21" t="n"/>
      <c r="Y29" s="22">
        <f>IF(OR($E29=0,X$78=0),0,IF(AND(X29="N/A",$G29&lt;&gt;""),0,$F29+SUMPRODUCT(($G$14:$G$71=$A29)*($E$14:$E$71=1)*(X$14:X$71="N/A")*$F$14:$F$71)))</f>
        <v/>
      </c>
      <c r="Z29" s="22">
        <f>IF(X29="SI",Y29,0)</f>
        <v/>
      </c>
      <c r="AA29" s="22">
        <f>SUM(J29,M29,P29,S29,V29,Y29)</f>
        <v/>
      </c>
      <c r="AB29" s="22">
        <f>SUM(K29,N29,Q29,T29,W29,Z29)</f>
        <v/>
      </c>
      <c r="AC29" s="23">
        <f>IF(AA29=0,"",AB29/AA29)</f>
        <v/>
      </c>
      <c r="AD29" s="22">
        <f>CRITERIOS!Q17</f>
        <v/>
      </c>
      <c r="AE29" s="22">
        <f>IF(AND(E29=1,H29&lt;&gt;"X",((I29="N/A")+(L29="N/A")+(O29="N/A")+(R29="N/A")+(U29="N/A")+(X29="N/A"))&gt;0),"REVISAR","")</f>
        <v/>
      </c>
    </row>
    <row r="30">
      <c r="A30" s="22">
        <f>CRITERIOS!B18</f>
        <v/>
      </c>
      <c r="B30" s="22">
        <f>CRITERIOS!C18</f>
        <v/>
      </c>
      <c r="C30" s="8">
        <f>CRITERIOS!D18</f>
        <v/>
      </c>
      <c r="D30" s="22">
        <f>CRITERIOS!E18</f>
        <v/>
      </c>
      <c r="E30" s="22">
        <f>IFERROR(IF(AND(OR(CRITERIOS!F18="Todos",CRITERIOS!F18=$B$4),INDEX(CRITERIOS!H18:J18,MATCH($B$5,VARIABLES!$E$2:$E$4,0))=1),1,0),0)</f>
        <v/>
      </c>
      <c r="F30" s="22">
        <f>IFERROR(IF(E30=1,INDEX(CRITERIOS!K18:M18,MATCH($B$5,VARIABLES!$E$2:$E$4,0)),0),0)</f>
        <v/>
      </c>
      <c r="G30" s="22">
        <f>IF(CRITERIOS!N18="","",CRITERIOS!N18)</f>
        <v/>
      </c>
      <c r="H30" s="22">
        <f>IF(CRITERIOS!O18="","",CRITERIOS!O18)</f>
        <v/>
      </c>
      <c r="I30" s="21" t="n"/>
      <c r="J30" s="22">
        <f>IF(OR($E30=0,I$78=0),0,IF(AND(I30="N/A",$G30&lt;&gt;""),0,$F30+SUMPRODUCT(($G$14:$G$71=$A30)*($E$14:$E$71=1)*(I$14:I$71="N/A")*$F$14:$F$71)))</f>
        <v/>
      </c>
      <c r="K30" s="22">
        <f>IF(I30="SI",J30,0)</f>
        <v/>
      </c>
      <c r="L30" s="21" t="n"/>
      <c r="M30" s="22">
        <f>IF(OR($E30=0,L$78=0),0,IF(AND(L30="N/A",$G30&lt;&gt;""),0,$F30+SUMPRODUCT(($G$14:$G$71=$A30)*($E$14:$E$71=1)*(L$14:L$71="N/A")*$F$14:$F$71)))</f>
        <v/>
      </c>
      <c r="N30" s="22">
        <f>IF(L30="SI",M30,0)</f>
        <v/>
      </c>
      <c r="O30" s="21" t="n"/>
      <c r="P30" s="22">
        <f>IF(OR($E30=0,O$78=0),0,IF(AND(O30="N/A",$G30&lt;&gt;""),0,$F30+SUMPRODUCT(($G$14:$G$71=$A30)*($E$14:$E$71=1)*(O$14:O$71="N/A")*$F$14:$F$71)))</f>
        <v/>
      </c>
      <c r="Q30" s="22">
        <f>IF(O30="SI",P30,0)</f>
        <v/>
      </c>
      <c r="R30" s="21" t="n"/>
      <c r="S30" s="22">
        <f>IF(OR($E30=0,R$78=0),0,IF(AND(R30="N/A",$G30&lt;&gt;""),0,$F30+SUMPRODUCT(($G$14:$G$71=$A30)*($E$14:$E$71=1)*(R$14:R$71="N/A")*$F$14:$F$71)))</f>
        <v/>
      </c>
      <c r="T30" s="22">
        <f>IF(R30="SI",S30,0)</f>
        <v/>
      </c>
      <c r="U30" s="21" t="n"/>
      <c r="V30" s="22">
        <f>IF(OR($E30=0,U$78=0),0,IF(AND(U30="N/A",$G30&lt;&gt;""),0,$F30+SUMPRODUCT(($G$14:$G$71=$A30)*($E$14:$E$71=1)*(U$14:U$71="N/A")*$F$14:$F$71)))</f>
        <v/>
      </c>
      <c r="W30" s="22">
        <f>IF(U30="SI",V30,0)</f>
        <v/>
      </c>
      <c r="X30" s="21" t="n"/>
      <c r="Y30" s="22">
        <f>IF(OR($E30=0,X$78=0),0,IF(AND(X30="N/A",$G30&lt;&gt;""),0,$F30+SUMPRODUCT(($G$14:$G$71=$A30)*($E$14:$E$71=1)*(X$14:X$71="N/A")*$F$14:$F$71)))</f>
        <v/>
      </c>
      <c r="Z30" s="22">
        <f>IF(X30="SI",Y30,0)</f>
        <v/>
      </c>
      <c r="AA30" s="22">
        <f>SUM(J30,M30,P30,S30,V30,Y30)</f>
        <v/>
      </c>
      <c r="AB30" s="22">
        <f>SUM(K30,N30,Q30,T30,W30,Z30)</f>
        <v/>
      </c>
      <c r="AC30" s="23">
        <f>IF(AA30=0,"",AB30/AA30)</f>
        <v/>
      </c>
      <c r="AD30" s="22">
        <f>CRITERIOS!Q18</f>
        <v/>
      </c>
      <c r="AE30" s="22">
        <f>IF(AND(E30=1,H30&lt;&gt;"X",((I30="N/A")+(L30="N/A")+(O30="N/A")+(R30="N/A")+(U30="N/A")+(X30="N/A"))&gt;0),"REVISAR","")</f>
        <v/>
      </c>
    </row>
    <row r="31">
      <c r="A31" s="24">
        <f>CRITERIOS!B19</f>
        <v/>
      </c>
      <c r="B31" s="24">
        <f>CRITERIOS!C19</f>
        <v/>
      </c>
      <c r="C31" s="25">
        <f>CRITERIOS!D19</f>
        <v/>
      </c>
      <c r="D31" s="24">
        <f>CRITERIOS!E19</f>
        <v/>
      </c>
      <c r="E31" s="24">
        <f>IFERROR(IF(AND(OR(CRITERIOS!F19="Todos",CRITERIOS!F19=$B$4),INDEX(CRITERIOS!H19:J19,MATCH($B$5,VARIABLES!$E$2:$E$4,0))=1),1,0),0)</f>
        <v/>
      </c>
      <c r="F31" s="24">
        <f>IFERROR(IF(E31=1,INDEX(CRITERIOS!K19:M19,MATCH($B$5,VARIABLES!$E$2:$E$4,0)),0),0)</f>
        <v/>
      </c>
      <c r="G31" s="24">
        <f>IF(CRITERIOS!N19="","",CRITERIOS!N19)</f>
        <v/>
      </c>
      <c r="H31" s="24">
        <f>IF(CRITERIOS!O19="","",CRITERIOS!O19)</f>
        <v/>
      </c>
      <c r="I31" s="21" t="n"/>
      <c r="J31" s="22">
        <f>IF(OR($E31=0,I$78=0),0,IF(AND(I31="N/A",$G31&lt;&gt;""),0,$F31+SUMPRODUCT(($G$14:$G$71=$A31)*($E$14:$E$71=1)*(I$14:I$71="N/A")*$F$14:$F$71)))</f>
        <v/>
      </c>
      <c r="K31" s="22">
        <f>IF(I31="SI",J31,0)</f>
        <v/>
      </c>
      <c r="L31" s="21" t="n"/>
      <c r="M31" s="22">
        <f>IF(OR($E31=0,L$78=0),0,IF(AND(L31="N/A",$G31&lt;&gt;""),0,$F31+SUMPRODUCT(($G$14:$G$71=$A31)*($E$14:$E$71=1)*(L$14:L$71="N/A")*$F$14:$F$71)))</f>
        <v/>
      </c>
      <c r="N31" s="22">
        <f>IF(L31="SI",M31,0)</f>
        <v/>
      </c>
      <c r="O31" s="21" t="n"/>
      <c r="P31" s="22">
        <f>IF(OR($E31=0,O$78=0),0,IF(AND(O31="N/A",$G31&lt;&gt;""),0,$F31+SUMPRODUCT(($G$14:$G$71=$A31)*($E$14:$E$71=1)*(O$14:O$71="N/A")*$F$14:$F$71)))</f>
        <v/>
      </c>
      <c r="Q31" s="22">
        <f>IF(O31="SI",P31,0)</f>
        <v/>
      </c>
      <c r="R31" s="21" t="n"/>
      <c r="S31" s="22">
        <f>IF(OR($E31=0,R$78=0),0,IF(AND(R31="N/A",$G31&lt;&gt;""),0,$F31+SUMPRODUCT(($G$14:$G$71=$A31)*($E$14:$E$71=1)*(R$14:R$71="N/A")*$F$14:$F$71)))</f>
        <v/>
      </c>
      <c r="T31" s="22">
        <f>IF(R31="SI",S31,0)</f>
        <v/>
      </c>
      <c r="U31" s="21" t="n"/>
      <c r="V31" s="22">
        <f>IF(OR($E31=0,U$78=0),0,IF(AND(U31="N/A",$G31&lt;&gt;""),0,$F31+SUMPRODUCT(($G$14:$G$71=$A31)*($E$14:$E$71=1)*(U$14:U$71="N/A")*$F$14:$F$71)))</f>
        <v/>
      </c>
      <c r="W31" s="22">
        <f>IF(U31="SI",V31,0)</f>
        <v/>
      </c>
      <c r="X31" s="21" t="n"/>
      <c r="Y31" s="22">
        <f>IF(OR($E31=0,X$78=0),0,IF(AND(X31="N/A",$G31&lt;&gt;""),0,$F31+SUMPRODUCT(($G$14:$G$71=$A31)*($E$14:$E$71=1)*(X$14:X$71="N/A")*$F$14:$F$71)))</f>
        <v/>
      </c>
      <c r="Z31" s="22">
        <f>IF(X31="SI",Y31,0)</f>
        <v/>
      </c>
      <c r="AA31" s="22">
        <f>SUM(J31,M31,P31,S31,V31,Y31)</f>
        <v/>
      </c>
      <c r="AB31" s="22">
        <f>SUM(K31,N31,Q31,T31,W31,Z31)</f>
        <v/>
      </c>
      <c r="AC31" s="23">
        <f>IF(AA31=0,"",AB31/AA31)</f>
        <v/>
      </c>
      <c r="AD31" s="22">
        <f>CRITERIOS!Q19</f>
        <v/>
      </c>
      <c r="AE31" s="22">
        <f>IF(AND(E31=1,H31&lt;&gt;"X",((I31="N/A")+(L31="N/A")+(O31="N/A")+(R31="N/A")+(U31="N/A")+(X31="N/A"))&gt;0),"REVISAR","")</f>
        <v/>
      </c>
    </row>
    <row r="32">
      <c r="A32" s="24">
        <f>CRITERIOS!B20</f>
        <v/>
      </c>
      <c r="B32" s="24">
        <f>CRITERIOS!C20</f>
        <v/>
      </c>
      <c r="C32" s="25">
        <f>CRITERIOS!D20</f>
        <v/>
      </c>
      <c r="D32" s="24">
        <f>CRITERIOS!E20</f>
        <v/>
      </c>
      <c r="E32" s="24">
        <f>IFERROR(IF(AND(OR(CRITERIOS!F20="Todos",CRITERIOS!F20=$B$4),INDEX(CRITERIOS!H20:J20,MATCH($B$5,VARIABLES!$E$2:$E$4,0))=1),1,0),0)</f>
        <v/>
      </c>
      <c r="F32" s="24">
        <f>IFERROR(IF(E32=1,INDEX(CRITERIOS!K20:M20,MATCH($B$5,VARIABLES!$E$2:$E$4,0)),0),0)</f>
        <v/>
      </c>
      <c r="G32" s="24">
        <f>IF(CRITERIOS!N20="","",CRITERIOS!N20)</f>
        <v/>
      </c>
      <c r="H32" s="24">
        <f>IF(CRITERIOS!O20="","",CRITERIOS!O20)</f>
        <v/>
      </c>
      <c r="I32" s="21" t="n"/>
      <c r="J32" s="22">
        <f>IF(OR($E32=0,I$78=0),0,IF(AND(I32="N/A",$G32&lt;&gt;""),0,$F32+SUMPRODUCT(($G$14:$G$71=$A32)*($E$14:$E$71=1)*(I$14:I$71="N/A")*$F$14:$F$71)))</f>
        <v/>
      </c>
      <c r="K32" s="22">
        <f>IF(I32="SI",J32,0)</f>
        <v/>
      </c>
      <c r="L32" s="21" t="n"/>
      <c r="M32" s="22">
        <f>IF(OR($E32=0,L$78=0),0,IF(AND(L32="N/A",$G32&lt;&gt;""),0,$F32+SUMPRODUCT(($G$14:$G$71=$A32)*($E$14:$E$71=1)*(L$14:L$71="N/A")*$F$14:$F$71)))</f>
        <v/>
      </c>
      <c r="N32" s="22">
        <f>IF(L32="SI",M32,0)</f>
        <v/>
      </c>
      <c r="O32" s="21" t="n"/>
      <c r="P32" s="22">
        <f>IF(OR($E32=0,O$78=0),0,IF(AND(O32="N/A",$G32&lt;&gt;""),0,$F32+SUMPRODUCT(($G$14:$G$71=$A32)*($E$14:$E$71=1)*(O$14:O$71="N/A")*$F$14:$F$71)))</f>
        <v/>
      </c>
      <c r="Q32" s="22">
        <f>IF(O32="SI",P32,0)</f>
        <v/>
      </c>
      <c r="R32" s="21" t="n"/>
      <c r="S32" s="22">
        <f>IF(OR($E32=0,R$78=0),0,IF(AND(R32="N/A",$G32&lt;&gt;""),0,$F32+SUMPRODUCT(($G$14:$G$71=$A32)*($E$14:$E$71=1)*(R$14:R$71="N/A")*$F$14:$F$71)))</f>
        <v/>
      </c>
      <c r="T32" s="22">
        <f>IF(R32="SI",S32,0)</f>
        <v/>
      </c>
      <c r="U32" s="21" t="n"/>
      <c r="V32" s="22">
        <f>IF(OR($E32=0,U$78=0),0,IF(AND(U32="N/A",$G32&lt;&gt;""),0,$F32+SUMPRODUCT(($G$14:$G$71=$A32)*($E$14:$E$71=1)*(U$14:U$71="N/A")*$F$14:$F$71)))</f>
        <v/>
      </c>
      <c r="W32" s="22">
        <f>IF(U32="SI",V32,0)</f>
        <v/>
      </c>
      <c r="X32" s="21" t="n"/>
      <c r="Y32" s="22">
        <f>IF(OR($E32=0,X$78=0),0,IF(AND(X32="N/A",$G32&lt;&gt;""),0,$F32+SUMPRODUCT(($G$14:$G$71=$A32)*($E$14:$E$71=1)*(X$14:X$71="N/A")*$F$14:$F$71)))</f>
        <v/>
      </c>
      <c r="Z32" s="22">
        <f>IF(X32="SI",Y32,0)</f>
        <v/>
      </c>
      <c r="AA32" s="22">
        <f>SUM(J32,M32,P32,S32,V32,Y32)</f>
        <v/>
      </c>
      <c r="AB32" s="22">
        <f>SUM(K32,N32,Q32,T32,W32,Z32)</f>
        <v/>
      </c>
      <c r="AC32" s="23">
        <f>IF(AA32=0,"",AB32/AA32)</f>
        <v/>
      </c>
      <c r="AD32" s="22">
        <f>CRITERIOS!Q20</f>
        <v/>
      </c>
      <c r="AE32" s="22">
        <f>IF(AND(E32=1,H32&lt;&gt;"X",((I32="N/A")+(L32="N/A")+(O32="N/A")+(R32="N/A")+(U32="N/A")+(X32="N/A"))&gt;0),"REVISAR","")</f>
        <v/>
      </c>
    </row>
    <row r="33">
      <c r="A33" s="24">
        <f>CRITERIOS!B21</f>
        <v/>
      </c>
      <c r="B33" s="24">
        <f>CRITERIOS!C21</f>
        <v/>
      </c>
      <c r="C33" s="25">
        <f>CRITERIOS!D21</f>
        <v/>
      </c>
      <c r="D33" s="24">
        <f>CRITERIOS!E21</f>
        <v/>
      </c>
      <c r="E33" s="24">
        <f>IFERROR(IF(AND(OR(CRITERIOS!F21="Todos",CRITERIOS!F21=$B$4),INDEX(CRITERIOS!H21:J21,MATCH($B$5,VARIABLES!$E$2:$E$4,0))=1),1,0),0)</f>
        <v/>
      </c>
      <c r="F33" s="24">
        <f>IFERROR(IF(E33=1,INDEX(CRITERIOS!K21:M21,MATCH($B$5,VARIABLES!$E$2:$E$4,0)),0),0)</f>
        <v/>
      </c>
      <c r="G33" s="24">
        <f>IF(CRITERIOS!N21="","",CRITERIOS!N21)</f>
        <v/>
      </c>
      <c r="H33" s="24">
        <f>IF(CRITERIOS!O21="","",CRITERIOS!O21)</f>
        <v/>
      </c>
      <c r="I33" s="21" t="n"/>
      <c r="J33" s="22">
        <f>IF(OR($E33=0,I$78=0),0,IF(AND(I33="N/A",$G33&lt;&gt;""),0,$F33+SUMPRODUCT(($G$14:$G$71=$A33)*($E$14:$E$71=1)*(I$14:I$71="N/A")*$F$14:$F$71)))</f>
        <v/>
      </c>
      <c r="K33" s="22">
        <f>IF(I33="SI",J33,0)</f>
        <v/>
      </c>
      <c r="L33" s="21" t="n"/>
      <c r="M33" s="22">
        <f>IF(OR($E33=0,L$78=0),0,IF(AND(L33="N/A",$G33&lt;&gt;""),0,$F33+SUMPRODUCT(($G$14:$G$71=$A33)*($E$14:$E$71=1)*(L$14:L$71="N/A")*$F$14:$F$71)))</f>
        <v/>
      </c>
      <c r="N33" s="22">
        <f>IF(L33="SI",M33,0)</f>
        <v/>
      </c>
      <c r="O33" s="21" t="n"/>
      <c r="P33" s="22">
        <f>IF(OR($E33=0,O$78=0),0,IF(AND(O33="N/A",$G33&lt;&gt;""),0,$F33+SUMPRODUCT(($G$14:$G$71=$A33)*($E$14:$E$71=1)*(O$14:O$71="N/A")*$F$14:$F$71)))</f>
        <v/>
      </c>
      <c r="Q33" s="22">
        <f>IF(O33="SI",P33,0)</f>
        <v/>
      </c>
      <c r="R33" s="21" t="n"/>
      <c r="S33" s="22">
        <f>IF(OR($E33=0,R$78=0),0,IF(AND(R33="N/A",$G33&lt;&gt;""),0,$F33+SUMPRODUCT(($G$14:$G$71=$A33)*($E$14:$E$71=1)*(R$14:R$71="N/A")*$F$14:$F$71)))</f>
        <v/>
      </c>
      <c r="T33" s="22">
        <f>IF(R33="SI",S33,0)</f>
        <v/>
      </c>
      <c r="U33" s="21" t="n"/>
      <c r="V33" s="22">
        <f>IF(OR($E33=0,U$78=0),0,IF(AND(U33="N/A",$G33&lt;&gt;""),0,$F33+SUMPRODUCT(($G$14:$G$71=$A33)*($E$14:$E$71=1)*(U$14:U$71="N/A")*$F$14:$F$71)))</f>
        <v/>
      </c>
      <c r="W33" s="22">
        <f>IF(U33="SI",V33,0)</f>
        <v/>
      </c>
      <c r="X33" s="21" t="n"/>
      <c r="Y33" s="22">
        <f>IF(OR($E33=0,X$78=0),0,IF(AND(X33="N/A",$G33&lt;&gt;""),0,$F33+SUMPRODUCT(($G$14:$G$71=$A33)*($E$14:$E$71=1)*(X$14:X$71="N/A")*$F$14:$F$71)))</f>
        <v/>
      </c>
      <c r="Z33" s="22">
        <f>IF(X33="SI",Y33,0)</f>
        <v/>
      </c>
      <c r="AA33" s="22">
        <f>SUM(J33,M33,P33,S33,V33,Y33)</f>
        <v/>
      </c>
      <c r="AB33" s="22">
        <f>SUM(K33,N33,Q33,T33,W33,Z33)</f>
        <v/>
      </c>
      <c r="AC33" s="23">
        <f>IF(AA33=0,"",AB33/AA33)</f>
        <v/>
      </c>
      <c r="AD33" s="22">
        <f>CRITERIOS!Q21</f>
        <v/>
      </c>
      <c r="AE33" s="22">
        <f>IF(AND(E33=1,H33&lt;&gt;"X",((I33="N/A")+(L33="N/A")+(O33="N/A")+(R33="N/A")+(U33="N/A")+(X33="N/A"))&gt;0),"REVISAR","")</f>
        <v/>
      </c>
    </row>
    <row r="34">
      <c r="A34" s="22">
        <f>CRITERIOS!B22</f>
        <v/>
      </c>
      <c r="B34" s="22">
        <f>CRITERIOS!C22</f>
        <v/>
      </c>
      <c r="C34" s="8">
        <f>CRITERIOS!D22</f>
        <v/>
      </c>
      <c r="D34" s="22">
        <f>CRITERIOS!E22</f>
        <v/>
      </c>
      <c r="E34" s="22">
        <f>IFERROR(IF(AND(OR(CRITERIOS!F22="Todos",CRITERIOS!F22=$B$4),INDEX(CRITERIOS!H22:J22,MATCH($B$5,VARIABLES!$E$2:$E$4,0))=1),1,0),0)</f>
        <v/>
      </c>
      <c r="F34" s="22">
        <f>IFERROR(IF(E34=1,INDEX(CRITERIOS!K22:M22,MATCH($B$5,VARIABLES!$E$2:$E$4,0)),0),0)</f>
        <v/>
      </c>
      <c r="G34" s="22">
        <f>IF(CRITERIOS!N22="","",CRITERIOS!N22)</f>
        <v/>
      </c>
      <c r="H34" s="22">
        <f>IF(CRITERIOS!O22="","",CRITERIOS!O22)</f>
        <v/>
      </c>
      <c r="I34" s="21" t="n"/>
      <c r="J34" s="22">
        <f>IF(OR($E34=0,I$78=0),0,IF(AND(I34="N/A",$G34&lt;&gt;""),0,$F34+SUMPRODUCT(($G$14:$G$71=$A34)*($E$14:$E$71=1)*(I$14:I$71="N/A")*$F$14:$F$71)))</f>
        <v/>
      </c>
      <c r="K34" s="22">
        <f>IF(I34="SI",J34,0)</f>
        <v/>
      </c>
      <c r="L34" s="21" t="n"/>
      <c r="M34" s="22">
        <f>IF(OR($E34=0,L$78=0),0,IF(AND(L34="N/A",$G34&lt;&gt;""),0,$F34+SUMPRODUCT(($G$14:$G$71=$A34)*($E$14:$E$71=1)*(L$14:L$71="N/A")*$F$14:$F$71)))</f>
        <v/>
      </c>
      <c r="N34" s="22">
        <f>IF(L34="SI",M34,0)</f>
        <v/>
      </c>
      <c r="O34" s="21" t="n"/>
      <c r="P34" s="22">
        <f>IF(OR($E34=0,O$78=0),0,IF(AND(O34="N/A",$G34&lt;&gt;""),0,$F34+SUMPRODUCT(($G$14:$G$71=$A34)*($E$14:$E$71=1)*(O$14:O$71="N/A")*$F$14:$F$71)))</f>
        <v/>
      </c>
      <c r="Q34" s="22">
        <f>IF(O34="SI",P34,0)</f>
        <v/>
      </c>
      <c r="R34" s="21" t="n"/>
      <c r="S34" s="22">
        <f>IF(OR($E34=0,R$78=0),0,IF(AND(R34="N/A",$G34&lt;&gt;""),0,$F34+SUMPRODUCT(($G$14:$G$71=$A34)*($E$14:$E$71=1)*(R$14:R$71="N/A")*$F$14:$F$71)))</f>
        <v/>
      </c>
      <c r="T34" s="22">
        <f>IF(R34="SI",S34,0)</f>
        <v/>
      </c>
      <c r="U34" s="21" t="n"/>
      <c r="V34" s="22">
        <f>IF(OR($E34=0,U$78=0),0,IF(AND(U34="N/A",$G34&lt;&gt;""),0,$F34+SUMPRODUCT(($G$14:$G$71=$A34)*($E$14:$E$71=1)*(U$14:U$71="N/A")*$F$14:$F$71)))</f>
        <v/>
      </c>
      <c r="W34" s="22">
        <f>IF(U34="SI",V34,0)</f>
        <v/>
      </c>
      <c r="X34" s="21" t="n"/>
      <c r="Y34" s="22">
        <f>IF(OR($E34=0,X$78=0),0,IF(AND(X34="N/A",$G34&lt;&gt;""),0,$F34+SUMPRODUCT(($G$14:$G$71=$A34)*($E$14:$E$71=1)*(X$14:X$71="N/A")*$F$14:$F$71)))</f>
        <v/>
      </c>
      <c r="Z34" s="22">
        <f>IF(X34="SI",Y34,0)</f>
        <v/>
      </c>
      <c r="AA34" s="22">
        <f>SUM(J34,M34,P34,S34,V34,Y34)</f>
        <v/>
      </c>
      <c r="AB34" s="22">
        <f>SUM(K34,N34,Q34,T34,W34,Z34)</f>
        <v/>
      </c>
      <c r="AC34" s="23">
        <f>IF(AA34=0,"",AB34/AA34)</f>
        <v/>
      </c>
      <c r="AD34" s="22">
        <f>CRITERIOS!Q22</f>
        <v/>
      </c>
      <c r="AE34" s="22">
        <f>IF(AND(E34=1,H34&lt;&gt;"X",((I34="N/A")+(L34="N/A")+(O34="N/A")+(R34="N/A")+(U34="N/A")+(X34="N/A"))&gt;0),"REVISAR","")</f>
        <v/>
      </c>
    </row>
    <row r="35">
      <c r="A35" s="22">
        <f>CRITERIOS!B23</f>
        <v/>
      </c>
      <c r="B35" s="22">
        <f>CRITERIOS!C23</f>
        <v/>
      </c>
      <c r="C35" s="8">
        <f>CRITERIOS!D23</f>
        <v/>
      </c>
      <c r="D35" s="22">
        <f>CRITERIOS!E23</f>
        <v/>
      </c>
      <c r="E35" s="22">
        <f>IFERROR(IF(AND(OR(CRITERIOS!F23="Todos",CRITERIOS!F23=$B$4),INDEX(CRITERIOS!H23:J23,MATCH($B$5,VARIABLES!$E$2:$E$4,0))=1),1,0),0)</f>
        <v/>
      </c>
      <c r="F35" s="22">
        <f>IFERROR(IF(E35=1,INDEX(CRITERIOS!K23:M23,MATCH($B$5,VARIABLES!$E$2:$E$4,0)),0),0)</f>
        <v/>
      </c>
      <c r="G35" s="22">
        <f>IF(CRITERIOS!N23="","",CRITERIOS!N23)</f>
        <v/>
      </c>
      <c r="H35" s="22">
        <f>IF(CRITERIOS!O23="","",CRITERIOS!O23)</f>
        <v/>
      </c>
      <c r="I35" s="21" t="n"/>
      <c r="J35" s="22">
        <f>IF(OR($E35=0,I$78=0),0,IF(AND(I35="N/A",$G35&lt;&gt;""),0,$F35+SUMPRODUCT(($G$14:$G$71=$A35)*($E$14:$E$71=1)*(I$14:I$71="N/A")*$F$14:$F$71)))</f>
        <v/>
      </c>
      <c r="K35" s="22">
        <f>IF(I35="SI",J35,0)</f>
        <v/>
      </c>
      <c r="L35" s="21" t="n"/>
      <c r="M35" s="22">
        <f>IF(OR($E35=0,L$78=0),0,IF(AND(L35="N/A",$G35&lt;&gt;""),0,$F35+SUMPRODUCT(($G$14:$G$71=$A35)*($E$14:$E$71=1)*(L$14:L$71="N/A")*$F$14:$F$71)))</f>
        <v/>
      </c>
      <c r="N35" s="22">
        <f>IF(L35="SI",M35,0)</f>
        <v/>
      </c>
      <c r="O35" s="21" t="n"/>
      <c r="P35" s="22">
        <f>IF(OR($E35=0,O$78=0),0,IF(AND(O35="N/A",$G35&lt;&gt;""),0,$F35+SUMPRODUCT(($G$14:$G$71=$A35)*($E$14:$E$71=1)*(O$14:O$71="N/A")*$F$14:$F$71)))</f>
        <v/>
      </c>
      <c r="Q35" s="22">
        <f>IF(O35="SI",P35,0)</f>
        <v/>
      </c>
      <c r="R35" s="21" t="n"/>
      <c r="S35" s="22">
        <f>IF(OR($E35=0,R$78=0),0,IF(AND(R35="N/A",$G35&lt;&gt;""),0,$F35+SUMPRODUCT(($G$14:$G$71=$A35)*($E$14:$E$71=1)*(R$14:R$71="N/A")*$F$14:$F$71)))</f>
        <v/>
      </c>
      <c r="T35" s="22">
        <f>IF(R35="SI",S35,0)</f>
        <v/>
      </c>
      <c r="U35" s="21" t="n"/>
      <c r="V35" s="22">
        <f>IF(OR($E35=0,U$78=0),0,IF(AND(U35="N/A",$G35&lt;&gt;""),0,$F35+SUMPRODUCT(($G$14:$G$71=$A35)*($E$14:$E$71=1)*(U$14:U$71="N/A")*$F$14:$F$71)))</f>
        <v/>
      </c>
      <c r="W35" s="22">
        <f>IF(U35="SI",V35,0)</f>
        <v/>
      </c>
      <c r="X35" s="21" t="n"/>
      <c r="Y35" s="22">
        <f>IF(OR($E35=0,X$78=0),0,IF(AND(X35="N/A",$G35&lt;&gt;""),0,$F35+SUMPRODUCT(($G$14:$G$71=$A35)*($E$14:$E$71=1)*(X$14:X$71="N/A")*$F$14:$F$71)))</f>
        <v/>
      </c>
      <c r="Z35" s="22">
        <f>IF(X35="SI",Y35,0)</f>
        <v/>
      </c>
      <c r="AA35" s="22">
        <f>SUM(J35,M35,P35,S35,V35,Y35)</f>
        <v/>
      </c>
      <c r="AB35" s="22">
        <f>SUM(K35,N35,Q35,T35,W35,Z35)</f>
        <v/>
      </c>
      <c r="AC35" s="23">
        <f>IF(AA35=0,"",AB35/AA35)</f>
        <v/>
      </c>
      <c r="AD35" s="22">
        <f>CRITERIOS!Q23</f>
        <v/>
      </c>
      <c r="AE35" s="22">
        <f>IF(AND(E35=1,H35&lt;&gt;"X",((I35="N/A")+(L35="N/A")+(O35="N/A")+(R35="N/A")+(U35="N/A")+(X35="N/A"))&gt;0),"REVISAR","")</f>
        <v/>
      </c>
    </row>
    <row r="36">
      <c r="A36" s="22">
        <f>CRITERIOS!B24</f>
        <v/>
      </c>
      <c r="B36" s="22">
        <f>CRITERIOS!C24</f>
        <v/>
      </c>
      <c r="C36" s="8">
        <f>CRITERIOS!D24</f>
        <v/>
      </c>
      <c r="D36" s="22">
        <f>CRITERIOS!E24</f>
        <v/>
      </c>
      <c r="E36" s="22">
        <f>IFERROR(IF(AND(OR(CRITERIOS!F24="Todos",CRITERIOS!F24=$B$4),INDEX(CRITERIOS!H24:J24,MATCH($B$5,VARIABLES!$E$2:$E$4,0))=1),1,0),0)</f>
        <v/>
      </c>
      <c r="F36" s="22">
        <f>IFERROR(IF(E36=1,INDEX(CRITERIOS!K24:M24,MATCH($B$5,VARIABLES!$E$2:$E$4,0)),0),0)</f>
        <v/>
      </c>
      <c r="G36" s="22">
        <f>IF(CRITERIOS!N24="","",CRITERIOS!N24)</f>
        <v/>
      </c>
      <c r="H36" s="22">
        <f>IF(CRITERIOS!O24="","",CRITERIOS!O24)</f>
        <v/>
      </c>
      <c r="I36" s="21" t="n"/>
      <c r="J36" s="22">
        <f>IF(OR($E36=0,I$78=0),0,IF(AND(I36="N/A",$G36&lt;&gt;""),0,$F36+SUMPRODUCT(($G$14:$G$71=$A36)*($E$14:$E$71=1)*(I$14:I$71="N/A")*$F$14:$F$71)))</f>
        <v/>
      </c>
      <c r="K36" s="22">
        <f>IF(I36="SI",J36,0)</f>
        <v/>
      </c>
      <c r="L36" s="21" t="n"/>
      <c r="M36" s="22">
        <f>IF(OR($E36=0,L$78=0),0,IF(AND(L36="N/A",$G36&lt;&gt;""),0,$F36+SUMPRODUCT(($G$14:$G$71=$A36)*($E$14:$E$71=1)*(L$14:L$71="N/A")*$F$14:$F$71)))</f>
        <v/>
      </c>
      <c r="N36" s="22">
        <f>IF(L36="SI",M36,0)</f>
        <v/>
      </c>
      <c r="O36" s="21" t="n"/>
      <c r="P36" s="22">
        <f>IF(OR($E36=0,O$78=0),0,IF(AND(O36="N/A",$G36&lt;&gt;""),0,$F36+SUMPRODUCT(($G$14:$G$71=$A36)*($E$14:$E$71=1)*(O$14:O$71="N/A")*$F$14:$F$71)))</f>
        <v/>
      </c>
      <c r="Q36" s="22">
        <f>IF(O36="SI",P36,0)</f>
        <v/>
      </c>
      <c r="R36" s="21" t="n"/>
      <c r="S36" s="22">
        <f>IF(OR($E36=0,R$78=0),0,IF(AND(R36="N/A",$G36&lt;&gt;""),0,$F36+SUMPRODUCT(($G$14:$G$71=$A36)*($E$14:$E$71=1)*(R$14:R$71="N/A")*$F$14:$F$71)))</f>
        <v/>
      </c>
      <c r="T36" s="22">
        <f>IF(R36="SI",S36,0)</f>
        <v/>
      </c>
      <c r="U36" s="21" t="n"/>
      <c r="V36" s="22">
        <f>IF(OR($E36=0,U$78=0),0,IF(AND(U36="N/A",$G36&lt;&gt;""),0,$F36+SUMPRODUCT(($G$14:$G$71=$A36)*($E$14:$E$71=1)*(U$14:U$71="N/A")*$F$14:$F$71)))</f>
        <v/>
      </c>
      <c r="W36" s="22">
        <f>IF(U36="SI",V36,0)</f>
        <v/>
      </c>
      <c r="X36" s="21" t="n"/>
      <c r="Y36" s="22">
        <f>IF(OR($E36=0,X$78=0),0,IF(AND(X36="N/A",$G36&lt;&gt;""),0,$F36+SUMPRODUCT(($G$14:$G$71=$A36)*($E$14:$E$71=1)*(X$14:X$71="N/A")*$F$14:$F$71)))</f>
        <v/>
      </c>
      <c r="Z36" s="22">
        <f>IF(X36="SI",Y36,0)</f>
        <v/>
      </c>
      <c r="AA36" s="22">
        <f>SUM(J36,M36,P36,S36,V36,Y36)</f>
        <v/>
      </c>
      <c r="AB36" s="22">
        <f>SUM(K36,N36,Q36,T36,W36,Z36)</f>
        <v/>
      </c>
      <c r="AC36" s="23">
        <f>IF(AA36=0,"",AB36/AA36)</f>
        <v/>
      </c>
      <c r="AD36" s="22">
        <f>CRITERIOS!Q24</f>
        <v/>
      </c>
      <c r="AE36" s="22">
        <f>IF(AND(E36=1,H36&lt;&gt;"X",((I36="N/A")+(L36="N/A")+(O36="N/A")+(R36="N/A")+(U36="N/A")+(X36="N/A"))&gt;0),"REVISAR","")</f>
        <v/>
      </c>
    </row>
    <row r="37">
      <c r="A37" s="22">
        <f>CRITERIOS!B25</f>
        <v/>
      </c>
      <c r="B37" s="22">
        <f>CRITERIOS!C25</f>
        <v/>
      </c>
      <c r="C37" s="8">
        <f>CRITERIOS!D25</f>
        <v/>
      </c>
      <c r="D37" s="22">
        <f>CRITERIOS!E25</f>
        <v/>
      </c>
      <c r="E37" s="22">
        <f>IFERROR(IF(AND(OR(CRITERIOS!F25="Todos",CRITERIOS!F25=$B$4),INDEX(CRITERIOS!H25:J25,MATCH($B$5,VARIABLES!$E$2:$E$4,0))=1),1,0),0)</f>
        <v/>
      </c>
      <c r="F37" s="22">
        <f>IFERROR(IF(E37=1,INDEX(CRITERIOS!K25:M25,MATCH($B$5,VARIABLES!$E$2:$E$4,0)),0),0)</f>
        <v/>
      </c>
      <c r="G37" s="22">
        <f>IF(CRITERIOS!N25="","",CRITERIOS!N25)</f>
        <v/>
      </c>
      <c r="H37" s="22">
        <f>IF(CRITERIOS!O25="","",CRITERIOS!O25)</f>
        <v/>
      </c>
      <c r="I37" s="21" t="n"/>
      <c r="J37" s="22">
        <f>IF(OR($E37=0,I$78=0),0,IF(AND(I37="N/A",$G37&lt;&gt;""),0,$F37+SUMPRODUCT(($G$14:$G$71=$A37)*($E$14:$E$71=1)*(I$14:I$71="N/A")*$F$14:$F$71)))</f>
        <v/>
      </c>
      <c r="K37" s="22">
        <f>IF(I37="SI",J37,0)</f>
        <v/>
      </c>
      <c r="L37" s="21" t="n"/>
      <c r="M37" s="22">
        <f>IF(OR($E37=0,L$78=0),0,IF(AND(L37="N/A",$G37&lt;&gt;""),0,$F37+SUMPRODUCT(($G$14:$G$71=$A37)*($E$14:$E$71=1)*(L$14:L$71="N/A")*$F$14:$F$71)))</f>
        <v/>
      </c>
      <c r="N37" s="22">
        <f>IF(L37="SI",M37,0)</f>
        <v/>
      </c>
      <c r="O37" s="21" t="n"/>
      <c r="P37" s="22">
        <f>IF(OR($E37=0,O$78=0),0,IF(AND(O37="N/A",$G37&lt;&gt;""),0,$F37+SUMPRODUCT(($G$14:$G$71=$A37)*($E$14:$E$71=1)*(O$14:O$71="N/A")*$F$14:$F$71)))</f>
        <v/>
      </c>
      <c r="Q37" s="22">
        <f>IF(O37="SI",P37,0)</f>
        <v/>
      </c>
      <c r="R37" s="21" t="n"/>
      <c r="S37" s="22">
        <f>IF(OR($E37=0,R$78=0),0,IF(AND(R37="N/A",$G37&lt;&gt;""),0,$F37+SUMPRODUCT(($G$14:$G$71=$A37)*($E$14:$E$71=1)*(R$14:R$71="N/A")*$F$14:$F$71)))</f>
        <v/>
      </c>
      <c r="T37" s="22">
        <f>IF(R37="SI",S37,0)</f>
        <v/>
      </c>
      <c r="U37" s="21" t="n"/>
      <c r="V37" s="22">
        <f>IF(OR($E37=0,U$78=0),0,IF(AND(U37="N/A",$G37&lt;&gt;""),0,$F37+SUMPRODUCT(($G$14:$G$71=$A37)*($E$14:$E$71=1)*(U$14:U$71="N/A")*$F$14:$F$71)))</f>
        <v/>
      </c>
      <c r="W37" s="22">
        <f>IF(U37="SI",V37,0)</f>
        <v/>
      </c>
      <c r="X37" s="21" t="n"/>
      <c r="Y37" s="22">
        <f>IF(OR($E37=0,X$78=0),0,IF(AND(X37="N/A",$G37&lt;&gt;""),0,$F37+SUMPRODUCT(($G$14:$G$71=$A37)*($E$14:$E$71=1)*(X$14:X$71="N/A")*$F$14:$F$71)))</f>
        <v/>
      </c>
      <c r="Z37" s="22">
        <f>IF(X37="SI",Y37,0)</f>
        <v/>
      </c>
      <c r="AA37" s="22">
        <f>SUM(J37,M37,P37,S37,V37,Y37)</f>
        <v/>
      </c>
      <c r="AB37" s="22">
        <f>SUM(K37,N37,Q37,T37,W37,Z37)</f>
        <v/>
      </c>
      <c r="AC37" s="23">
        <f>IF(AA37=0,"",AB37/AA37)</f>
        <v/>
      </c>
      <c r="AD37" s="22">
        <f>CRITERIOS!Q25</f>
        <v/>
      </c>
      <c r="AE37" s="22">
        <f>IF(AND(E37=1,H37&lt;&gt;"X",((I37="N/A")+(L37="N/A")+(O37="N/A")+(R37="N/A")+(U37="N/A")+(X37="N/A"))&gt;0),"REVISAR","")</f>
        <v/>
      </c>
    </row>
    <row r="38">
      <c r="A38" s="22">
        <f>CRITERIOS!B26</f>
        <v/>
      </c>
      <c r="B38" s="22">
        <f>CRITERIOS!C26</f>
        <v/>
      </c>
      <c r="C38" s="8">
        <f>CRITERIOS!D26</f>
        <v/>
      </c>
      <c r="D38" s="22">
        <f>CRITERIOS!E26</f>
        <v/>
      </c>
      <c r="E38" s="22">
        <f>IFERROR(IF(AND(OR(CRITERIOS!F26="Todos",CRITERIOS!F26=$B$4),INDEX(CRITERIOS!H26:J26,MATCH($B$5,VARIABLES!$E$2:$E$4,0))=1),1,0),0)</f>
        <v/>
      </c>
      <c r="F38" s="22">
        <f>IFERROR(IF(E38=1,INDEX(CRITERIOS!K26:M26,MATCH($B$5,VARIABLES!$E$2:$E$4,0)),0),0)</f>
        <v/>
      </c>
      <c r="G38" s="22">
        <f>IF(CRITERIOS!N26="","",CRITERIOS!N26)</f>
        <v/>
      </c>
      <c r="H38" s="22">
        <f>IF(CRITERIOS!O26="","",CRITERIOS!O26)</f>
        <v/>
      </c>
      <c r="I38" s="21" t="n"/>
      <c r="J38" s="22">
        <f>IF(OR($E38=0,I$78=0),0,IF(AND(I38="N/A",$G38&lt;&gt;""),0,$F38+SUMPRODUCT(($G$14:$G$71=$A38)*($E$14:$E$71=1)*(I$14:I$71="N/A")*$F$14:$F$71)))</f>
        <v/>
      </c>
      <c r="K38" s="22">
        <f>IF(I38="SI",J38,0)</f>
        <v/>
      </c>
      <c r="L38" s="21" t="n"/>
      <c r="M38" s="22">
        <f>IF(OR($E38=0,L$78=0),0,IF(AND(L38="N/A",$G38&lt;&gt;""),0,$F38+SUMPRODUCT(($G$14:$G$71=$A38)*($E$14:$E$71=1)*(L$14:L$71="N/A")*$F$14:$F$71)))</f>
        <v/>
      </c>
      <c r="N38" s="22">
        <f>IF(L38="SI",M38,0)</f>
        <v/>
      </c>
      <c r="O38" s="21" t="n"/>
      <c r="P38" s="22">
        <f>IF(OR($E38=0,O$78=0),0,IF(AND(O38="N/A",$G38&lt;&gt;""),0,$F38+SUMPRODUCT(($G$14:$G$71=$A38)*($E$14:$E$71=1)*(O$14:O$71="N/A")*$F$14:$F$71)))</f>
        <v/>
      </c>
      <c r="Q38" s="22">
        <f>IF(O38="SI",P38,0)</f>
        <v/>
      </c>
      <c r="R38" s="21" t="n"/>
      <c r="S38" s="22">
        <f>IF(OR($E38=0,R$78=0),0,IF(AND(R38="N/A",$G38&lt;&gt;""),0,$F38+SUMPRODUCT(($G$14:$G$71=$A38)*($E$14:$E$71=1)*(R$14:R$71="N/A")*$F$14:$F$71)))</f>
        <v/>
      </c>
      <c r="T38" s="22">
        <f>IF(R38="SI",S38,0)</f>
        <v/>
      </c>
      <c r="U38" s="21" t="n"/>
      <c r="V38" s="22">
        <f>IF(OR($E38=0,U$78=0),0,IF(AND(U38="N/A",$G38&lt;&gt;""),0,$F38+SUMPRODUCT(($G$14:$G$71=$A38)*($E$14:$E$71=1)*(U$14:U$71="N/A")*$F$14:$F$71)))</f>
        <v/>
      </c>
      <c r="W38" s="22">
        <f>IF(U38="SI",V38,0)</f>
        <v/>
      </c>
      <c r="X38" s="21" t="n"/>
      <c r="Y38" s="22">
        <f>IF(OR($E38=0,X$78=0),0,IF(AND(X38="N/A",$G38&lt;&gt;""),0,$F38+SUMPRODUCT(($G$14:$G$71=$A38)*($E$14:$E$71=1)*(X$14:X$71="N/A")*$F$14:$F$71)))</f>
        <v/>
      </c>
      <c r="Z38" s="22">
        <f>IF(X38="SI",Y38,0)</f>
        <v/>
      </c>
      <c r="AA38" s="22">
        <f>SUM(J38,M38,P38,S38,V38,Y38)</f>
        <v/>
      </c>
      <c r="AB38" s="22">
        <f>SUM(K38,N38,Q38,T38,W38,Z38)</f>
        <v/>
      </c>
      <c r="AC38" s="23">
        <f>IF(AA38=0,"",AB38/AA38)</f>
        <v/>
      </c>
      <c r="AD38" s="22">
        <f>CRITERIOS!Q26</f>
        <v/>
      </c>
      <c r="AE38" s="22">
        <f>IF(AND(E38=1,H38&lt;&gt;"X",((I38="N/A")+(L38="N/A")+(O38="N/A")+(R38="N/A")+(U38="N/A")+(X38="N/A"))&gt;0),"REVISAR","")</f>
        <v/>
      </c>
    </row>
    <row r="39">
      <c r="A39" s="22">
        <f>CRITERIOS!B27</f>
        <v/>
      </c>
      <c r="B39" s="22">
        <f>CRITERIOS!C27</f>
        <v/>
      </c>
      <c r="C39" s="8">
        <f>CRITERIOS!D27</f>
        <v/>
      </c>
      <c r="D39" s="22">
        <f>CRITERIOS!E27</f>
        <v/>
      </c>
      <c r="E39" s="22">
        <f>IFERROR(IF(AND(OR(CRITERIOS!F27="Todos",CRITERIOS!F27=$B$4),INDEX(CRITERIOS!H27:J27,MATCH($B$5,VARIABLES!$E$2:$E$4,0))=1),1,0),0)</f>
        <v/>
      </c>
      <c r="F39" s="22">
        <f>IFERROR(IF(E39=1,INDEX(CRITERIOS!K27:M27,MATCH($B$5,VARIABLES!$E$2:$E$4,0)),0),0)</f>
        <v/>
      </c>
      <c r="G39" s="22">
        <f>IF(CRITERIOS!N27="","",CRITERIOS!N27)</f>
        <v/>
      </c>
      <c r="H39" s="22">
        <f>IF(CRITERIOS!O27="","",CRITERIOS!O27)</f>
        <v/>
      </c>
      <c r="I39" s="21" t="n"/>
      <c r="J39" s="22">
        <f>IF(OR($E39=0,I$78=0),0,IF(AND(I39="N/A",$G39&lt;&gt;""),0,$F39+SUMPRODUCT(($G$14:$G$71=$A39)*($E$14:$E$71=1)*(I$14:I$71="N/A")*$F$14:$F$71)))</f>
        <v/>
      </c>
      <c r="K39" s="22">
        <f>IF(I39="SI",J39,0)</f>
        <v/>
      </c>
      <c r="L39" s="21" t="n"/>
      <c r="M39" s="22">
        <f>IF(OR($E39=0,L$78=0),0,IF(AND(L39="N/A",$G39&lt;&gt;""),0,$F39+SUMPRODUCT(($G$14:$G$71=$A39)*($E$14:$E$71=1)*(L$14:L$71="N/A")*$F$14:$F$71)))</f>
        <v/>
      </c>
      <c r="N39" s="22">
        <f>IF(L39="SI",M39,0)</f>
        <v/>
      </c>
      <c r="O39" s="21" t="n"/>
      <c r="P39" s="22">
        <f>IF(OR($E39=0,O$78=0),0,IF(AND(O39="N/A",$G39&lt;&gt;""),0,$F39+SUMPRODUCT(($G$14:$G$71=$A39)*($E$14:$E$71=1)*(O$14:O$71="N/A")*$F$14:$F$71)))</f>
        <v/>
      </c>
      <c r="Q39" s="22">
        <f>IF(O39="SI",P39,0)</f>
        <v/>
      </c>
      <c r="R39" s="21" t="n"/>
      <c r="S39" s="22">
        <f>IF(OR($E39=0,R$78=0),0,IF(AND(R39="N/A",$G39&lt;&gt;""),0,$F39+SUMPRODUCT(($G$14:$G$71=$A39)*($E$14:$E$71=1)*(R$14:R$71="N/A")*$F$14:$F$71)))</f>
        <v/>
      </c>
      <c r="T39" s="22">
        <f>IF(R39="SI",S39,0)</f>
        <v/>
      </c>
      <c r="U39" s="21" t="n"/>
      <c r="V39" s="22">
        <f>IF(OR($E39=0,U$78=0),0,IF(AND(U39="N/A",$G39&lt;&gt;""),0,$F39+SUMPRODUCT(($G$14:$G$71=$A39)*($E$14:$E$71=1)*(U$14:U$71="N/A")*$F$14:$F$71)))</f>
        <v/>
      </c>
      <c r="W39" s="22">
        <f>IF(U39="SI",V39,0)</f>
        <v/>
      </c>
      <c r="X39" s="21" t="n"/>
      <c r="Y39" s="22">
        <f>IF(OR($E39=0,X$78=0),0,IF(AND(X39="N/A",$G39&lt;&gt;""),0,$F39+SUMPRODUCT(($G$14:$G$71=$A39)*($E$14:$E$71=1)*(X$14:X$71="N/A")*$F$14:$F$71)))</f>
        <v/>
      </c>
      <c r="Z39" s="22">
        <f>IF(X39="SI",Y39,0)</f>
        <v/>
      </c>
      <c r="AA39" s="22">
        <f>SUM(J39,M39,P39,S39,V39,Y39)</f>
        <v/>
      </c>
      <c r="AB39" s="22">
        <f>SUM(K39,N39,Q39,T39,W39,Z39)</f>
        <v/>
      </c>
      <c r="AC39" s="23">
        <f>IF(AA39=0,"",AB39/AA39)</f>
        <v/>
      </c>
      <c r="AD39" s="22">
        <f>CRITERIOS!Q27</f>
        <v/>
      </c>
      <c r="AE39" s="22">
        <f>IF(AND(E39=1,H39&lt;&gt;"X",((I39="N/A")+(L39="N/A")+(O39="N/A")+(R39="N/A")+(U39="N/A")+(X39="N/A"))&gt;0),"REVISAR","")</f>
        <v/>
      </c>
    </row>
    <row r="40">
      <c r="A40" s="22">
        <f>CRITERIOS!B28</f>
        <v/>
      </c>
      <c r="B40" s="22">
        <f>CRITERIOS!C28</f>
        <v/>
      </c>
      <c r="C40" s="8">
        <f>CRITERIOS!D28</f>
        <v/>
      </c>
      <c r="D40" s="22">
        <f>CRITERIOS!E28</f>
        <v/>
      </c>
      <c r="E40" s="22">
        <f>IFERROR(IF(AND(OR(CRITERIOS!F28="Todos",CRITERIOS!F28=$B$4),INDEX(CRITERIOS!H28:J28,MATCH($B$5,VARIABLES!$E$2:$E$4,0))=1),1,0),0)</f>
        <v/>
      </c>
      <c r="F40" s="22">
        <f>IFERROR(IF(E40=1,INDEX(CRITERIOS!K28:M28,MATCH($B$5,VARIABLES!$E$2:$E$4,0)),0),0)</f>
        <v/>
      </c>
      <c r="G40" s="22">
        <f>IF(CRITERIOS!N28="","",CRITERIOS!N28)</f>
        <v/>
      </c>
      <c r="H40" s="22">
        <f>IF(CRITERIOS!O28="","",CRITERIOS!O28)</f>
        <v/>
      </c>
      <c r="I40" s="21" t="n"/>
      <c r="J40" s="22">
        <f>IF(OR($E40=0,I$78=0),0,IF(AND(I40="N/A",$G40&lt;&gt;""),0,$F40+SUMPRODUCT(($G$14:$G$71=$A40)*($E$14:$E$71=1)*(I$14:I$71="N/A")*$F$14:$F$71)))</f>
        <v/>
      </c>
      <c r="K40" s="22">
        <f>IF(I40="SI",J40,0)</f>
        <v/>
      </c>
      <c r="L40" s="21" t="n"/>
      <c r="M40" s="22">
        <f>IF(OR($E40=0,L$78=0),0,IF(AND(L40="N/A",$G40&lt;&gt;""),0,$F40+SUMPRODUCT(($G$14:$G$71=$A40)*($E$14:$E$71=1)*(L$14:L$71="N/A")*$F$14:$F$71)))</f>
        <v/>
      </c>
      <c r="N40" s="22">
        <f>IF(L40="SI",M40,0)</f>
        <v/>
      </c>
      <c r="O40" s="21" t="n"/>
      <c r="P40" s="22">
        <f>IF(OR($E40=0,O$78=0),0,IF(AND(O40="N/A",$G40&lt;&gt;""),0,$F40+SUMPRODUCT(($G$14:$G$71=$A40)*($E$14:$E$71=1)*(O$14:O$71="N/A")*$F$14:$F$71)))</f>
        <v/>
      </c>
      <c r="Q40" s="22">
        <f>IF(O40="SI",P40,0)</f>
        <v/>
      </c>
      <c r="R40" s="21" t="n"/>
      <c r="S40" s="22">
        <f>IF(OR($E40=0,R$78=0),0,IF(AND(R40="N/A",$G40&lt;&gt;""),0,$F40+SUMPRODUCT(($G$14:$G$71=$A40)*($E$14:$E$71=1)*(R$14:R$71="N/A")*$F$14:$F$71)))</f>
        <v/>
      </c>
      <c r="T40" s="22">
        <f>IF(R40="SI",S40,0)</f>
        <v/>
      </c>
      <c r="U40" s="21" t="n"/>
      <c r="V40" s="22">
        <f>IF(OR($E40=0,U$78=0),0,IF(AND(U40="N/A",$G40&lt;&gt;""),0,$F40+SUMPRODUCT(($G$14:$G$71=$A40)*($E$14:$E$71=1)*(U$14:U$71="N/A")*$F$14:$F$71)))</f>
        <v/>
      </c>
      <c r="W40" s="22">
        <f>IF(U40="SI",V40,0)</f>
        <v/>
      </c>
      <c r="X40" s="21" t="n"/>
      <c r="Y40" s="22">
        <f>IF(OR($E40=0,X$78=0),0,IF(AND(X40="N/A",$G40&lt;&gt;""),0,$F40+SUMPRODUCT(($G$14:$G$71=$A40)*($E$14:$E$71=1)*(X$14:X$71="N/A")*$F$14:$F$71)))</f>
        <v/>
      </c>
      <c r="Z40" s="22">
        <f>IF(X40="SI",Y40,0)</f>
        <v/>
      </c>
      <c r="AA40" s="22">
        <f>SUM(J40,M40,P40,S40,V40,Y40)</f>
        <v/>
      </c>
      <c r="AB40" s="22">
        <f>SUM(K40,N40,Q40,T40,W40,Z40)</f>
        <v/>
      </c>
      <c r="AC40" s="23">
        <f>IF(AA40=0,"",AB40/AA40)</f>
        <v/>
      </c>
      <c r="AD40" s="22">
        <f>CRITERIOS!Q28</f>
        <v/>
      </c>
      <c r="AE40" s="22">
        <f>IF(AND(E40=1,H40&lt;&gt;"X",((I40="N/A")+(L40="N/A")+(O40="N/A")+(R40="N/A")+(U40="N/A")+(X40="N/A"))&gt;0),"REVISAR","")</f>
        <v/>
      </c>
    </row>
    <row r="41">
      <c r="A41" s="22">
        <f>CRITERIOS!B29</f>
        <v/>
      </c>
      <c r="B41" s="22">
        <f>CRITERIOS!C29</f>
        <v/>
      </c>
      <c r="C41" s="8">
        <f>CRITERIOS!D29</f>
        <v/>
      </c>
      <c r="D41" s="22">
        <f>CRITERIOS!E29</f>
        <v/>
      </c>
      <c r="E41" s="22">
        <f>IFERROR(IF(AND(OR(CRITERIOS!F29="Todos",CRITERIOS!F29=$B$4),INDEX(CRITERIOS!H29:J29,MATCH($B$5,VARIABLES!$E$2:$E$4,0))=1),1,0),0)</f>
        <v/>
      </c>
      <c r="F41" s="22">
        <f>IFERROR(IF(E41=1,INDEX(CRITERIOS!K29:M29,MATCH($B$5,VARIABLES!$E$2:$E$4,0)),0),0)</f>
        <v/>
      </c>
      <c r="G41" s="22">
        <f>IF(CRITERIOS!N29="","",CRITERIOS!N29)</f>
        <v/>
      </c>
      <c r="H41" s="22">
        <f>IF(CRITERIOS!O29="","",CRITERIOS!O29)</f>
        <v/>
      </c>
      <c r="I41" s="21" t="n"/>
      <c r="J41" s="22">
        <f>IF(OR($E41=0,I$78=0),0,IF(AND(I41="N/A",$G41&lt;&gt;""),0,$F41+SUMPRODUCT(($G$14:$G$71=$A41)*($E$14:$E$71=1)*(I$14:I$71="N/A")*$F$14:$F$71)))</f>
        <v/>
      </c>
      <c r="K41" s="22">
        <f>IF(I41="SI",J41,0)</f>
        <v/>
      </c>
      <c r="L41" s="21" t="n"/>
      <c r="M41" s="22">
        <f>IF(OR($E41=0,L$78=0),0,IF(AND(L41="N/A",$G41&lt;&gt;""),0,$F41+SUMPRODUCT(($G$14:$G$71=$A41)*($E$14:$E$71=1)*(L$14:L$71="N/A")*$F$14:$F$71)))</f>
        <v/>
      </c>
      <c r="N41" s="22">
        <f>IF(L41="SI",M41,0)</f>
        <v/>
      </c>
      <c r="O41" s="21" t="n"/>
      <c r="P41" s="22">
        <f>IF(OR($E41=0,O$78=0),0,IF(AND(O41="N/A",$G41&lt;&gt;""),0,$F41+SUMPRODUCT(($G$14:$G$71=$A41)*($E$14:$E$71=1)*(O$14:O$71="N/A")*$F$14:$F$71)))</f>
        <v/>
      </c>
      <c r="Q41" s="22">
        <f>IF(O41="SI",P41,0)</f>
        <v/>
      </c>
      <c r="R41" s="21" t="n"/>
      <c r="S41" s="22">
        <f>IF(OR($E41=0,R$78=0),0,IF(AND(R41="N/A",$G41&lt;&gt;""),0,$F41+SUMPRODUCT(($G$14:$G$71=$A41)*($E$14:$E$71=1)*(R$14:R$71="N/A")*$F$14:$F$71)))</f>
        <v/>
      </c>
      <c r="T41" s="22">
        <f>IF(R41="SI",S41,0)</f>
        <v/>
      </c>
      <c r="U41" s="21" t="n"/>
      <c r="V41" s="22">
        <f>IF(OR($E41=0,U$78=0),0,IF(AND(U41="N/A",$G41&lt;&gt;""),0,$F41+SUMPRODUCT(($G$14:$G$71=$A41)*($E$14:$E$71=1)*(U$14:U$71="N/A")*$F$14:$F$71)))</f>
        <v/>
      </c>
      <c r="W41" s="22">
        <f>IF(U41="SI",V41,0)</f>
        <v/>
      </c>
      <c r="X41" s="21" t="n"/>
      <c r="Y41" s="22">
        <f>IF(OR($E41=0,X$78=0),0,IF(AND(X41="N/A",$G41&lt;&gt;""),0,$F41+SUMPRODUCT(($G$14:$G$71=$A41)*($E$14:$E$71=1)*(X$14:X$71="N/A")*$F$14:$F$71)))</f>
        <v/>
      </c>
      <c r="Z41" s="22">
        <f>IF(X41="SI",Y41,0)</f>
        <v/>
      </c>
      <c r="AA41" s="22">
        <f>SUM(J41,M41,P41,S41,V41,Y41)</f>
        <v/>
      </c>
      <c r="AB41" s="22">
        <f>SUM(K41,N41,Q41,T41,W41,Z41)</f>
        <v/>
      </c>
      <c r="AC41" s="23">
        <f>IF(AA41=0,"",AB41/AA41)</f>
        <v/>
      </c>
      <c r="AD41" s="22">
        <f>CRITERIOS!Q29</f>
        <v/>
      </c>
      <c r="AE41" s="22">
        <f>IF(AND(E41=1,H41&lt;&gt;"X",((I41="N/A")+(L41="N/A")+(O41="N/A")+(R41="N/A")+(U41="N/A")+(X41="N/A"))&gt;0),"REVISAR","")</f>
        <v/>
      </c>
    </row>
    <row r="42">
      <c r="A42" s="24">
        <f>CRITERIOS!B30</f>
        <v/>
      </c>
      <c r="B42" s="24">
        <f>CRITERIOS!C30</f>
        <v/>
      </c>
      <c r="C42" s="25">
        <f>CRITERIOS!D30</f>
        <v/>
      </c>
      <c r="D42" s="24">
        <f>CRITERIOS!E30</f>
        <v/>
      </c>
      <c r="E42" s="24">
        <f>IFERROR(IF(AND(OR(CRITERIOS!F30="Todos",CRITERIOS!F30=$B$4),INDEX(CRITERIOS!H30:J30,MATCH($B$5,VARIABLES!$E$2:$E$4,0))=1),1,0),0)</f>
        <v/>
      </c>
      <c r="F42" s="24">
        <f>IFERROR(IF(E42=1,INDEX(CRITERIOS!K30:M30,MATCH($B$5,VARIABLES!$E$2:$E$4,0)),0),0)</f>
        <v/>
      </c>
      <c r="G42" s="24">
        <f>IF(CRITERIOS!N30="","",CRITERIOS!N30)</f>
        <v/>
      </c>
      <c r="H42" s="24">
        <f>IF(CRITERIOS!O30="","",CRITERIOS!O30)</f>
        <v/>
      </c>
      <c r="I42" s="21" t="n"/>
      <c r="J42" s="22">
        <f>IF(OR($E42=0,I$78=0),0,IF(AND(I42="N/A",$G42&lt;&gt;""),0,$F42+SUMPRODUCT(($G$14:$G$71=$A42)*($E$14:$E$71=1)*(I$14:I$71="N/A")*$F$14:$F$71)))</f>
        <v/>
      </c>
      <c r="K42" s="22">
        <f>IF(I42="SI",J42,0)</f>
        <v/>
      </c>
      <c r="L42" s="21" t="n"/>
      <c r="M42" s="22">
        <f>IF(OR($E42=0,L$78=0),0,IF(AND(L42="N/A",$G42&lt;&gt;""),0,$F42+SUMPRODUCT(($G$14:$G$71=$A42)*($E$14:$E$71=1)*(L$14:L$71="N/A")*$F$14:$F$71)))</f>
        <v/>
      </c>
      <c r="N42" s="22">
        <f>IF(L42="SI",M42,0)</f>
        <v/>
      </c>
      <c r="O42" s="21" t="n"/>
      <c r="P42" s="22">
        <f>IF(OR($E42=0,O$78=0),0,IF(AND(O42="N/A",$G42&lt;&gt;""),0,$F42+SUMPRODUCT(($G$14:$G$71=$A42)*($E$14:$E$71=1)*(O$14:O$71="N/A")*$F$14:$F$71)))</f>
        <v/>
      </c>
      <c r="Q42" s="22">
        <f>IF(O42="SI",P42,0)</f>
        <v/>
      </c>
      <c r="R42" s="21" t="n"/>
      <c r="S42" s="22">
        <f>IF(OR($E42=0,R$78=0),0,IF(AND(R42="N/A",$G42&lt;&gt;""),0,$F42+SUMPRODUCT(($G$14:$G$71=$A42)*($E$14:$E$71=1)*(R$14:R$71="N/A")*$F$14:$F$71)))</f>
        <v/>
      </c>
      <c r="T42" s="22">
        <f>IF(R42="SI",S42,0)</f>
        <v/>
      </c>
      <c r="U42" s="21" t="n"/>
      <c r="V42" s="22">
        <f>IF(OR($E42=0,U$78=0),0,IF(AND(U42="N/A",$G42&lt;&gt;""),0,$F42+SUMPRODUCT(($G$14:$G$71=$A42)*($E$14:$E$71=1)*(U$14:U$71="N/A")*$F$14:$F$71)))</f>
        <v/>
      </c>
      <c r="W42" s="22">
        <f>IF(U42="SI",V42,0)</f>
        <v/>
      </c>
      <c r="X42" s="21" t="n"/>
      <c r="Y42" s="22">
        <f>IF(OR($E42=0,X$78=0),0,IF(AND(X42="N/A",$G42&lt;&gt;""),0,$F42+SUMPRODUCT(($G$14:$G$71=$A42)*($E$14:$E$71=1)*(X$14:X$71="N/A")*$F$14:$F$71)))</f>
        <v/>
      </c>
      <c r="Z42" s="22">
        <f>IF(X42="SI",Y42,0)</f>
        <v/>
      </c>
      <c r="AA42" s="22">
        <f>SUM(J42,M42,P42,S42,V42,Y42)</f>
        <v/>
      </c>
      <c r="AB42" s="22">
        <f>SUM(K42,N42,Q42,T42,W42,Z42)</f>
        <v/>
      </c>
      <c r="AC42" s="23">
        <f>IF(AA42=0,"",AB42/AA42)</f>
        <v/>
      </c>
      <c r="AD42" s="22">
        <f>CRITERIOS!Q30</f>
        <v/>
      </c>
      <c r="AE42" s="22">
        <f>IF(AND(E42=1,H42&lt;&gt;"X",((I42="N/A")+(L42="N/A")+(O42="N/A")+(R42="N/A")+(U42="N/A")+(X42="N/A"))&gt;0),"REVISAR","")</f>
        <v/>
      </c>
    </row>
    <row r="43">
      <c r="A43" s="22">
        <f>CRITERIOS!B31</f>
        <v/>
      </c>
      <c r="B43" s="22">
        <f>CRITERIOS!C31</f>
        <v/>
      </c>
      <c r="C43" s="8">
        <f>CRITERIOS!D31</f>
        <v/>
      </c>
      <c r="D43" s="22">
        <f>CRITERIOS!E31</f>
        <v/>
      </c>
      <c r="E43" s="22">
        <f>IFERROR(IF(AND(OR(CRITERIOS!F31="Todos",CRITERIOS!F31=$B$4),INDEX(CRITERIOS!H31:J31,MATCH($B$5,VARIABLES!$E$2:$E$4,0))=1),1,0),0)</f>
        <v/>
      </c>
      <c r="F43" s="22">
        <f>IFERROR(IF(E43=1,INDEX(CRITERIOS!K31:M31,MATCH($B$5,VARIABLES!$E$2:$E$4,0)),0),0)</f>
        <v/>
      </c>
      <c r="G43" s="22">
        <f>IF(CRITERIOS!N31="","",CRITERIOS!N31)</f>
        <v/>
      </c>
      <c r="H43" s="22">
        <f>IF(CRITERIOS!O31="","",CRITERIOS!O31)</f>
        <v/>
      </c>
      <c r="I43" s="21" t="n"/>
      <c r="J43" s="22">
        <f>IF(OR($E43=0,I$78=0),0,IF(AND(I43="N/A",$G43&lt;&gt;""),0,$F43+SUMPRODUCT(($G$14:$G$71=$A43)*($E$14:$E$71=1)*(I$14:I$71="N/A")*$F$14:$F$71)))</f>
        <v/>
      </c>
      <c r="K43" s="22">
        <f>IF(I43="SI",J43,0)</f>
        <v/>
      </c>
      <c r="L43" s="21" t="n"/>
      <c r="M43" s="22">
        <f>IF(OR($E43=0,L$78=0),0,IF(AND(L43="N/A",$G43&lt;&gt;""),0,$F43+SUMPRODUCT(($G$14:$G$71=$A43)*($E$14:$E$71=1)*(L$14:L$71="N/A")*$F$14:$F$71)))</f>
        <v/>
      </c>
      <c r="N43" s="22">
        <f>IF(L43="SI",M43,0)</f>
        <v/>
      </c>
      <c r="O43" s="21" t="n"/>
      <c r="P43" s="22">
        <f>IF(OR($E43=0,O$78=0),0,IF(AND(O43="N/A",$G43&lt;&gt;""),0,$F43+SUMPRODUCT(($G$14:$G$71=$A43)*($E$14:$E$71=1)*(O$14:O$71="N/A")*$F$14:$F$71)))</f>
        <v/>
      </c>
      <c r="Q43" s="22">
        <f>IF(O43="SI",P43,0)</f>
        <v/>
      </c>
      <c r="R43" s="21" t="n"/>
      <c r="S43" s="22">
        <f>IF(OR($E43=0,R$78=0),0,IF(AND(R43="N/A",$G43&lt;&gt;""),0,$F43+SUMPRODUCT(($G$14:$G$71=$A43)*($E$14:$E$71=1)*(R$14:R$71="N/A")*$F$14:$F$71)))</f>
        <v/>
      </c>
      <c r="T43" s="22">
        <f>IF(R43="SI",S43,0)</f>
        <v/>
      </c>
      <c r="U43" s="21" t="n"/>
      <c r="V43" s="22">
        <f>IF(OR($E43=0,U$78=0),0,IF(AND(U43="N/A",$G43&lt;&gt;""),0,$F43+SUMPRODUCT(($G$14:$G$71=$A43)*($E$14:$E$71=1)*(U$14:U$71="N/A")*$F$14:$F$71)))</f>
        <v/>
      </c>
      <c r="W43" s="22">
        <f>IF(U43="SI",V43,0)</f>
        <v/>
      </c>
      <c r="X43" s="21" t="n"/>
      <c r="Y43" s="22">
        <f>IF(OR($E43=0,X$78=0),0,IF(AND(X43="N/A",$G43&lt;&gt;""),0,$F43+SUMPRODUCT(($G$14:$G$71=$A43)*($E$14:$E$71=1)*(X$14:X$71="N/A")*$F$14:$F$71)))</f>
        <v/>
      </c>
      <c r="Z43" s="22">
        <f>IF(X43="SI",Y43,0)</f>
        <v/>
      </c>
      <c r="AA43" s="22">
        <f>SUM(J43,M43,P43,S43,V43,Y43)</f>
        <v/>
      </c>
      <c r="AB43" s="22">
        <f>SUM(K43,N43,Q43,T43,W43,Z43)</f>
        <v/>
      </c>
      <c r="AC43" s="23">
        <f>IF(AA43=0,"",AB43/AA43)</f>
        <v/>
      </c>
      <c r="AD43" s="22">
        <f>CRITERIOS!Q31</f>
        <v/>
      </c>
      <c r="AE43" s="22">
        <f>IF(AND(E43=1,H43&lt;&gt;"X",((I43="N/A")+(L43="N/A")+(O43="N/A")+(R43="N/A")+(U43="N/A")+(X43="N/A"))&gt;0),"REVISAR","")</f>
        <v/>
      </c>
    </row>
    <row r="44">
      <c r="A44" s="24">
        <f>CRITERIOS!B32</f>
        <v/>
      </c>
      <c r="B44" s="24">
        <f>CRITERIOS!C32</f>
        <v/>
      </c>
      <c r="C44" s="25">
        <f>CRITERIOS!D32</f>
        <v/>
      </c>
      <c r="D44" s="24">
        <f>CRITERIOS!E32</f>
        <v/>
      </c>
      <c r="E44" s="24">
        <f>IFERROR(IF(AND(OR(CRITERIOS!F32="Todos",CRITERIOS!F32=$B$4),INDEX(CRITERIOS!H32:J32,MATCH($B$5,VARIABLES!$E$2:$E$4,0))=1),1,0),0)</f>
        <v/>
      </c>
      <c r="F44" s="24">
        <f>IFERROR(IF(E44=1,INDEX(CRITERIOS!K32:M32,MATCH($B$5,VARIABLES!$E$2:$E$4,0)),0),0)</f>
        <v/>
      </c>
      <c r="G44" s="24">
        <f>IF(CRITERIOS!N32="","",CRITERIOS!N32)</f>
        <v/>
      </c>
      <c r="H44" s="24">
        <f>IF(CRITERIOS!O32="","",CRITERIOS!O32)</f>
        <v/>
      </c>
      <c r="I44" s="21" t="n"/>
      <c r="J44" s="22">
        <f>IF(OR($E44=0,I$78=0),0,IF(AND(I44="N/A",$G44&lt;&gt;""),0,$F44+SUMPRODUCT(($G$14:$G$71=$A44)*($E$14:$E$71=1)*(I$14:I$71="N/A")*$F$14:$F$71)))</f>
        <v/>
      </c>
      <c r="K44" s="22">
        <f>IF(I44="SI",J44,0)</f>
        <v/>
      </c>
      <c r="L44" s="21" t="n"/>
      <c r="M44" s="22">
        <f>IF(OR($E44=0,L$78=0),0,IF(AND(L44="N/A",$G44&lt;&gt;""),0,$F44+SUMPRODUCT(($G$14:$G$71=$A44)*($E$14:$E$71=1)*(L$14:L$71="N/A")*$F$14:$F$71)))</f>
        <v/>
      </c>
      <c r="N44" s="22">
        <f>IF(L44="SI",M44,0)</f>
        <v/>
      </c>
      <c r="O44" s="21" t="n"/>
      <c r="P44" s="22">
        <f>IF(OR($E44=0,O$78=0),0,IF(AND(O44="N/A",$G44&lt;&gt;""),0,$F44+SUMPRODUCT(($G$14:$G$71=$A44)*($E$14:$E$71=1)*(O$14:O$71="N/A")*$F$14:$F$71)))</f>
        <v/>
      </c>
      <c r="Q44" s="22">
        <f>IF(O44="SI",P44,0)</f>
        <v/>
      </c>
      <c r="R44" s="21" t="n"/>
      <c r="S44" s="22">
        <f>IF(OR($E44=0,R$78=0),0,IF(AND(R44="N/A",$G44&lt;&gt;""),0,$F44+SUMPRODUCT(($G$14:$G$71=$A44)*($E$14:$E$71=1)*(R$14:R$71="N/A")*$F$14:$F$71)))</f>
        <v/>
      </c>
      <c r="T44" s="22">
        <f>IF(R44="SI",S44,0)</f>
        <v/>
      </c>
      <c r="U44" s="21" t="n"/>
      <c r="V44" s="22">
        <f>IF(OR($E44=0,U$78=0),0,IF(AND(U44="N/A",$G44&lt;&gt;""),0,$F44+SUMPRODUCT(($G$14:$G$71=$A44)*($E$14:$E$71=1)*(U$14:U$71="N/A")*$F$14:$F$71)))</f>
        <v/>
      </c>
      <c r="W44" s="22">
        <f>IF(U44="SI",V44,0)</f>
        <v/>
      </c>
      <c r="X44" s="21" t="n"/>
      <c r="Y44" s="22">
        <f>IF(OR($E44=0,X$78=0),0,IF(AND(X44="N/A",$G44&lt;&gt;""),0,$F44+SUMPRODUCT(($G$14:$G$71=$A44)*($E$14:$E$71=1)*(X$14:X$71="N/A")*$F$14:$F$71)))</f>
        <v/>
      </c>
      <c r="Z44" s="22">
        <f>IF(X44="SI",Y44,0)</f>
        <v/>
      </c>
      <c r="AA44" s="22">
        <f>SUM(J44,M44,P44,S44,V44,Y44)</f>
        <v/>
      </c>
      <c r="AB44" s="22">
        <f>SUM(K44,N44,Q44,T44,W44,Z44)</f>
        <v/>
      </c>
      <c r="AC44" s="23">
        <f>IF(AA44=0,"",AB44/AA44)</f>
        <v/>
      </c>
      <c r="AD44" s="22">
        <f>CRITERIOS!Q32</f>
        <v/>
      </c>
      <c r="AE44" s="22">
        <f>IF(AND(E44=1,H44&lt;&gt;"X",((I44="N/A")+(L44="N/A")+(O44="N/A")+(R44="N/A")+(U44="N/A")+(X44="N/A"))&gt;0),"REVISAR","")</f>
        <v/>
      </c>
    </row>
    <row r="45">
      <c r="A45" s="22">
        <f>CRITERIOS!B33</f>
        <v/>
      </c>
      <c r="B45" s="22">
        <f>CRITERIOS!C33</f>
        <v/>
      </c>
      <c r="C45" s="8">
        <f>CRITERIOS!D33</f>
        <v/>
      </c>
      <c r="D45" s="22">
        <f>CRITERIOS!E33</f>
        <v/>
      </c>
      <c r="E45" s="22">
        <f>IFERROR(IF(AND(OR(CRITERIOS!F33="Todos",CRITERIOS!F33=$B$4),INDEX(CRITERIOS!H33:J33,MATCH($B$5,VARIABLES!$E$2:$E$4,0))=1),1,0),0)</f>
        <v/>
      </c>
      <c r="F45" s="22">
        <f>IFERROR(IF(E45=1,INDEX(CRITERIOS!K33:M33,MATCH($B$5,VARIABLES!$E$2:$E$4,0)),0),0)</f>
        <v/>
      </c>
      <c r="G45" s="22">
        <f>IF(CRITERIOS!N33="","",CRITERIOS!N33)</f>
        <v/>
      </c>
      <c r="H45" s="22">
        <f>IF(CRITERIOS!O33="","",CRITERIOS!O33)</f>
        <v/>
      </c>
      <c r="I45" s="21" t="n"/>
      <c r="J45" s="22">
        <f>IF(OR($E45=0,I$78=0),0,IF(AND(I45="N/A",$G45&lt;&gt;""),0,$F45+SUMPRODUCT(($G$14:$G$71=$A45)*($E$14:$E$71=1)*(I$14:I$71="N/A")*$F$14:$F$71)))</f>
        <v/>
      </c>
      <c r="K45" s="22">
        <f>IF(I45="SI",J45,0)</f>
        <v/>
      </c>
      <c r="L45" s="21" t="n"/>
      <c r="M45" s="22">
        <f>IF(OR($E45=0,L$78=0),0,IF(AND(L45="N/A",$G45&lt;&gt;""),0,$F45+SUMPRODUCT(($G$14:$G$71=$A45)*($E$14:$E$71=1)*(L$14:L$71="N/A")*$F$14:$F$71)))</f>
        <v/>
      </c>
      <c r="N45" s="22">
        <f>IF(L45="SI",M45,0)</f>
        <v/>
      </c>
      <c r="O45" s="21" t="n"/>
      <c r="P45" s="22">
        <f>IF(OR($E45=0,O$78=0),0,IF(AND(O45="N/A",$G45&lt;&gt;""),0,$F45+SUMPRODUCT(($G$14:$G$71=$A45)*($E$14:$E$71=1)*(O$14:O$71="N/A")*$F$14:$F$71)))</f>
        <v/>
      </c>
      <c r="Q45" s="22">
        <f>IF(O45="SI",P45,0)</f>
        <v/>
      </c>
      <c r="R45" s="21" t="n"/>
      <c r="S45" s="22">
        <f>IF(OR($E45=0,R$78=0),0,IF(AND(R45="N/A",$G45&lt;&gt;""),0,$F45+SUMPRODUCT(($G$14:$G$71=$A45)*($E$14:$E$71=1)*(R$14:R$71="N/A")*$F$14:$F$71)))</f>
        <v/>
      </c>
      <c r="T45" s="22">
        <f>IF(R45="SI",S45,0)</f>
        <v/>
      </c>
      <c r="U45" s="21" t="n"/>
      <c r="V45" s="22">
        <f>IF(OR($E45=0,U$78=0),0,IF(AND(U45="N/A",$G45&lt;&gt;""),0,$F45+SUMPRODUCT(($G$14:$G$71=$A45)*($E$14:$E$71=1)*(U$14:U$71="N/A")*$F$14:$F$71)))</f>
        <v/>
      </c>
      <c r="W45" s="22">
        <f>IF(U45="SI",V45,0)</f>
        <v/>
      </c>
      <c r="X45" s="21" t="n"/>
      <c r="Y45" s="22">
        <f>IF(OR($E45=0,X$78=0),0,IF(AND(X45="N/A",$G45&lt;&gt;""),0,$F45+SUMPRODUCT(($G$14:$G$71=$A45)*($E$14:$E$71=1)*(X$14:X$71="N/A")*$F$14:$F$71)))</f>
        <v/>
      </c>
      <c r="Z45" s="22">
        <f>IF(X45="SI",Y45,0)</f>
        <v/>
      </c>
      <c r="AA45" s="22">
        <f>SUM(J45,M45,P45,S45,V45,Y45)</f>
        <v/>
      </c>
      <c r="AB45" s="22">
        <f>SUM(K45,N45,Q45,T45,W45,Z45)</f>
        <v/>
      </c>
      <c r="AC45" s="23">
        <f>IF(AA45=0,"",AB45/AA45)</f>
        <v/>
      </c>
      <c r="AD45" s="22">
        <f>CRITERIOS!Q33</f>
        <v/>
      </c>
      <c r="AE45" s="22">
        <f>IF(AND(E45=1,H45&lt;&gt;"X",((I45="N/A")+(L45="N/A")+(O45="N/A")+(R45="N/A")+(U45="N/A")+(X45="N/A"))&gt;0),"REVISAR","")</f>
        <v/>
      </c>
    </row>
    <row r="46">
      <c r="A46" s="24">
        <f>CRITERIOS!B34</f>
        <v/>
      </c>
      <c r="B46" s="24">
        <f>CRITERIOS!C34</f>
        <v/>
      </c>
      <c r="C46" s="25">
        <f>CRITERIOS!D34</f>
        <v/>
      </c>
      <c r="D46" s="24">
        <f>CRITERIOS!E34</f>
        <v/>
      </c>
      <c r="E46" s="24">
        <f>IFERROR(IF(AND(OR(CRITERIOS!F34="Todos",CRITERIOS!F34=$B$4),INDEX(CRITERIOS!H34:J34,MATCH($B$5,VARIABLES!$E$2:$E$4,0))=1),1,0),0)</f>
        <v/>
      </c>
      <c r="F46" s="24">
        <f>IFERROR(IF(E46=1,INDEX(CRITERIOS!K34:M34,MATCH($B$5,VARIABLES!$E$2:$E$4,0)),0),0)</f>
        <v/>
      </c>
      <c r="G46" s="24">
        <f>IF(CRITERIOS!N34="","",CRITERIOS!N34)</f>
        <v/>
      </c>
      <c r="H46" s="24">
        <f>IF(CRITERIOS!O34="","",CRITERIOS!O34)</f>
        <v/>
      </c>
      <c r="I46" s="21" t="n"/>
      <c r="J46" s="22">
        <f>IF(OR($E46=0,I$78=0),0,IF(AND(I46="N/A",$G46&lt;&gt;""),0,$F46+SUMPRODUCT(($G$14:$G$71=$A46)*($E$14:$E$71=1)*(I$14:I$71="N/A")*$F$14:$F$71)))</f>
        <v/>
      </c>
      <c r="K46" s="22">
        <f>IF(I46="SI",J46,0)</f>
        <v/>
      </c>
      <c r="L46" s="21" t="n"/>
      <c r="M46" s="22">
        <f>IF(OR($E46=0,L$78=0),0,IF(AND(L46="N/A",$G46&lt;&gt;""),0,$F46+SUMPRODUCT(($G$14:$G$71=$A46)*($E$14:$E$71=1)*(L$14:L$71="N/A")*$F$14:$F$71)))</f>
        <v/>
      </c>
      <c r="N46" s="22">
        <f>IF(L46="SI",M46,0)</f>
        <v/>
      </c>
      <c r="O46" s="21" t="n"/>
      <c r="P46" s="22">
        <f>IF(OR($E46=0,O$78=0),0,IF(AND(O46="N/A",$G46&lt;&gt;""),0,$F46+SUMPRODUCT(($G$14:$G$71=$A46)*($E$14:$E$71=1)*(O$14:O$71="N/A")*$F$14:$F$71)))</f>
        <v/>
      </c>
      <c r="Q46" s="22">
        <f>IF(O46="SI",P46,0)</f>
        <v/>
      </c>
      <c r="R46" s="21" t="n"/>
      <c r="S46" s="22">
        <f>IF(OR($E46=0,R$78=0),0,IF(AND(R46="N/A",$G46&lt;&gt;""),0,$F46+SUMPRODUCT(($G$14:$G$71=$A46)*($E$14:$E$71=1)*(R$14:R$71="N/A")*$F$14:$F$71)))</f>
        <v/>
      </c>
      <c r="T46" s="22">
        <f>IF(R46="SI",S46,0)</f>
        <v/>
      </c>
      <c r="U46" s="21" t="n"/>
      <c r="V46" s="22">
        <f>IF(OR($E46=0,U$78=0),0,IF(AND(U46="N/A",$G46&lt;&gt;""),0,$F46+SUMPRODUCT(($G$14:$G$71=$A46)*($E$14:$E$71=1)*(U$14:U$71="N/A")*$F$14:$F$71)))</f>
        <v/>
      </c>
      <c r="W46" s="22">
        <f>IF(U46="SI",V46,0)</f>
        <v/>
      </c>
      <c r="X46" s="21" t="n"/>
      <c r="Y46" s="22">
        <f>IF(OR($E46=0,X$78=0),0,IF(AND(X46="N/A",$G46&lt;&gt;""),0,$F46+SUMPRODUCT(($G$14:$G$71=$A46)*($E$14:$E$71=1)*(X$14:X$71="N/A")*$F$14:$F$71)))</f>
        <v/>
      </c>
      <c r="Z46" s="22">
        <f>IF(X46="SI",Y46,0)</f>
        <v/>
      </c>
      <c r="AA46" s="22">
        <f>SUM(J46,M46,P46,S46,V46,Y46)</f>
        <v/>
      </c>
      <c r="AB46" s="22">
        <f>SUM(K46,N46,Q46,T46,W46,Z46)</f>
        <v/>
      </c>
      <c r="AC46" s="23">
        <f>IF(AA46=0,"",AB46/AA46)</f>
        <v/>
      </c>
      <c r="AD46" s="22">
        <f>CRITERIOS!Q34</f>
        <v/>
      </c>
      <c r="AE46" s="22">
        <f>IF(AND(E46=1,H46&lt;&gt;"X",((I46="N/A")+(L46="N/A")+(O46="N/A")+(R46="N/A")+(U46="N/A")+(X46="N/A"))&gt;0),"REVISAR","")</f>
        <v/>
      </c>
    </row>
    <row r="47">
      <c r="A47" s="22">
        <f>CRITERIOS!B35</f>
        <v/>
      </c>
      <c r="B47" s="22">
        <f>CRITERIOS!C35</f>
        <v/>
      </c>
      <c r="C47" s="8">
        <f>CRITERIOS!D35</f>
        <v/>
      </c>
      <c r="D47" s="22">
        <f>CRITERIOS!E35</f>
        <v/>
      </c>
      <c r="E47" s="22">
        <f>IFERROR(IF(AND(OR(CRITERIOS!F35="Todos",CRITERIOS!F35=$B$4),INDEX(CRITERIOS!H35:J35,MATCH($B$5,VARIABLES!$E$2:$E$4,0))=1),1,0),0)</f>
        <v/>
      </c>
      <c r="F47" s="22">
        <f>IFERROR(IF(E47=1,INDEX(CRITERIOS!K35:M35,MATCH($B$5,VARIABLES!$E$2:$E$4,0)),0),0)</f>
        <v/>
      </c>
      <c r="G47" s="22">
        <f>IF(CRITERIOS!N35="","",CRITERIOS!N35)</f>
        <v/>
      </c>
      <c r="H47" s="22">
        <f>IF(CRITERIOS!O35="","",CRITERIOS!O35)</f>
        <v/>
      </c>
      <c r="I47" s="21" t="n"/>
      <c r="J47" s="22">
        <f>IF(OR($E47=0,I$78=0),0,IF(AND(I47="N/A",$G47&lt;&gt;""),0,$F47+SUMPRODUCT(($G$14:$G$71=$A47)*($E$14:$E$71=1)*(I$14:I$71="N/A")*$F$14:$F$71)))</f>
        <v/>
      </c>
      <c r="K47" s="22">
        <f>IF(I47="SI",J47,0)</f>
        <v/>
      </c>
      <c r="L47" s="21" t="n"/>
      <c r="M47" s="22">
        <f>IF(OR($E47=0,L$78=0),0,IF(AND(L47="N/A",$G47&lt;&gt;""),0,$F47+SUMPRODUCT(($G$14:$G$71=$A47)*($E$14:$E$71=1)*(L$14:L$71="N/A")*$F$14:$F$71)))</f>
        <v/>
      </c>
      <c r="N47" s="22">
        <f>IF(L47="SI",M47,0)</f>
        <v/>
      </c>
      <c r="O47" s="21" t="n"/>
      <c r="P47" s="22">
        <f>IF(OR($E47=0,O$78=0),0,IF(AND(O47="N/A",$G47&lt;&gt;""),0,$F47+SUMPRODUCT(($G$14:$G$71=$A47)*($E$14:$E$71=1)*(O$14:O$71="N/A")*$F$14:$F$71)))</f>
        <v/>
      </c>
      <c r="Q47" s="22">
        <f>IF(O47="SI",P47,0)</f>
        <v/>
      </c>
      <c r="R47" s="21" t="n"/>
      <c r="S47" s="22">
        <f>IF(OR($E47=0,R$78=0),0,IF(AND(R47="N/A",$G47&lt;&gt;""),0,$F47+SUMPRODUCT(($G$14:$G$71=$A47)*($E$14:$E$71=1)*(R$14:R$71="N/A")*$F$14:$F$71)))</f>
        <v/>
      </c>
      <c r="T47" s="22">
        <f>IF(R47="SI",S47,0)</f>
        <v/>
      </c>
      <c r="U47" s="21" t="n"/>
      <c r="V47" s="22">
        <f>IF(OR($E47=0,U$78=0),0,IF(AND(U47="N/A",$G47&lt;&gt;""),0,$F47+SUMPRODUCT(($G$14:$G$71=$A47)*($E$14:$E$71=1)*(U$14:U$71="N/A")*$F$14:$F$71)))</f>
        <v/>
      </c>
      <c r="W47" s="22">
        <f>IF(U47="SI",V47,0)</f>
        <v/>
      </c>
      <c r="X47" s="21" t="n"/>
      <c r="Y47" s="22">
        <f>IF(OR($E47=0,X$78=0),0,IF(AND(X47="N/A",$G47&lt;&gt;""),0,$F47+SUMPRODUCT(($G$14:$G$71=$A47)*($E$14:$E$71=1)*(X$14:X$71="N/A")*$F$14:$F$71)))</f>
        <v/>
      </c>
      <c r="Z47" s="22">
        <f>IF(X47="SI",Y47,0)</f>
        <v/>
      </c>
      <c r="AA47" s="22">
        <f>SUM(J47,M47,P47,S47,V47,Y47)</f>
        <v/>
      </c>
      <c r="AB47" s="22">
        <f>SUM(K47,N47,Q47,T47,W47,Z47)</f>
        <v/>
      </c>
      <c r="AC47" s="23">
        <f>IF(AA47=0,"",AB47/AA47)</f>
        <v/>
      </c>
      <c r="AD47" s="22">
        <f>CRITERIOS!Q35</f>
        <v/>
      </c>
      <c r="AE47" s="22">
        <f>IF(AND(E47=1,H47&lt;&gt;"X",((I47="N/A")+(L47="N/A")+(O47="N/A")+(R47="N/A")+(U47="N/A")+(X47="N/A"))&gt;0),"REVISAR","")</f>
        <v/>
      </c>
    </row>
    <row r="48">
      <c r="A48" s="24">
        <f>CRITERIOS!B36</f>
        <v/>
      </c>
      <c r="B48" s="24">
        <f>CRITERIOS!C36</f>
        <v/>
      </c>
      <c r="C48" s="25">
        <f>CRITERIOS!D36</f>
        <v/>
      </c>
      <c r="D48" s="24">
        <f>CRITERIOS!E36</f>
        <v/>
      </c>
      <c r="E48" s="24">
        <f>IFERROR(IF(AND(OR(CRITERIOS!F36="Todos",CRITERIOS!F36=$B$4),INDEX(CRITERIOS!H36:J36,MATCH($B$5,VARIABLES!$E$2:$E$4,0))=1),1,0),0)</f>
        <v/>
      </c>
      <c r="F48" s="24">
        <f>IFERROR(IF(E48=1,INDEX(CRITERIOS!K36:M36,MATCH($B$5,VARIABLES!$E$2:$E$4,0)),0),0)</f>
        <v/>
      </c>
      <c r="G48" s="24">
        <f>IF(CRITERIOS!N36="","",CRITERIOS!N36)</f>
        <v/>
      </c>
      <c r="H48" s="24">
        <f>IF(CRITERIOS!O36="","",CRITERIOS!O36)</f>
        <v/>
      </c>
      <c r="I48" s="21" t="n"/>
      <c r="J48" s="22">
        <f>IF(OR($E48=0,I$78=0),0,IF(AND(I48="N/A",$G48&lt;&gt;""),0,$F48+SUMPRODUCT(($G$14:$G$71=$A48)*($E$14:$E$71=1)*(I$14:I$71="N/A")*$F$14:$F$71)))</f>
        <v/>
      </c>
      <c r="K48" s="22">
        <f>IF(I48="SI",J48,0)</f>
        <v/>
      </c>
      <c r="L48" s="21" t="n"/>
      <c r="M48" s="22">
        <f>IF(OR($E48=0,L$78=0),0,IF(AND(L48="N/A",$G48&lt;&gt;""),0,$F48+SUMPRODUCT(($G$14:$G$71=$A48)*($E$14:$E$71=1)*(L$14:L$71="N/A")*$F$14:$F$71)))</f>
        <v/>
      </c>
      <c r="N48" s="22">
        <f>IF(L48="SI",M48,0)</f>
        <v/>
      </c>
      <c r="O48" s="21" t="n"/>
      <c r="P48" s="22">
        <f>IF(OR($E48=0,O$78=0),0,IF(AND(O48="N/A",$G48&lt;&gt;""),0,$F48+SUMPRODUCT(($G$14:$G$71=$A48)*($E$14:$E$71=1)*(O$14:O$71="N/A")*$F$14:$F$71)))</f>
        <v/>
      </c>
      <c r="Q48" s="22">
        <f>IF(O48="SI",P48,0)</f>
        <v/>
      </c>
      <c r="R48" s="21" t="n"/>
      <c r="S48" s="22">
        <f>IF(OR($E48=0,R$78=0),0,IF(AND(R48="N/A",$G48&lt;&gt;""),0,$F48+SUMPRODUCT(($G$14:$G$71=$A48)*($E$14:$E$71=1)*(R$14:R$71="N/A")*$F$14:$F$71)))</f>
        <v/>
      </c>
      <c r="T48" s="22">
        <f>IF(R48="SI",S48,0)</f>
        <v/>
      </c>
      <c r="U48" s="21" t="n"/>
      <c r="V48" s="22">
        <f>IF(OR($E48=0,U$78=0),0,IF(AND(U48="N/A",$G48&lt;&gt;""),0,$F48+SUMPRODUCT(($G$14:$G$71=$A48)*($E$14:$E$71=1)*(U$14:U$71="N/A")*$F$14:$F$71)))</f>
        <v/>
      </c>
      <c r="W48" s="22">
        <f>IF(U48="SI",V48,0)</f>
        <v/>
      </c>
      <c r="X48" s="21" t="n"/>
      <c r="Y48" s="22">
        <f>IF(OR($E48=0,X$78=0),0,IF(AND(X48="N/A",$G48&lt;&gt;""),0,$F48+SUMPRODUCT(($G$14:$G$71=$A48)*($E$14:$E$71=1)*(X$14:X$71="N/A")*$F$14:$F$71)))</f>
        <v/>
      </c>
      <c r="Z48" s="22">
        <f>IF(X48="SI",Y48,0)</f>
        <v/>
      </c>
      <c r="AA48" s="22">
        <f>SUM(J48,M48,P48,S48,V48,Y48)</f>
        <v/>
      </c>
      <c r="AB48" s="22">
        <f>SUM(K48,N48,Q48,T48,W48,Z48)</f>
        <v/>
      </c>
      <c r="AC48" s="23">
        <f>IF(AA48=0,"",AB48/AA48)</f>
        <v/>
      </c>
      <c r="AD48" s="22">
        <f>CRITERIOS!Q36</f>
        <v/>
      </c>
      <c r="AE48" s="22">
        <f>IF(AND(E48=1,H48&lt;&gt;"X",((I48="N/A")+(L48="N/A")+(O48="N/A")+(R48="N/A")+(U48="N/A")+(X48="N/A"))&gt;0),"REVISAR","")</f>
        <v/>
      </c>
    </row>
    <row r="49">
      <c r="A49" s="24">
        <f>CRITERIOS!B37</f>
        <v/>
      </c>
      <c r="B49" s="24">
        <f>CRITERIOS!C37</f>
        <v/>
      </c>
      <c r="C49" s="25">
        <f>CRITERIOS!D37</f>
        <v/>
      </c>
      <c r="D49" s="24">
        <f>CRITERIOS!E37</f>
        <v/>
      </c>
      <c r="E49" s="24">
        <f>IFERROR(IF(AND(OR(CRITERIOS!F37="Todos",CRITERIOS!F37=$B$4),INDEX(CRITERIOS!H37:J37,MATCH($B$5,VARIABLES!$E$2:$E$4,0))=1),1,0),0)</f>
        <v/>
      </c>
      <c r="F49" s="24">
        <f>IFERROR(IF(E49=1,INDEX(CRITERIOS!K37:M37,MATCH($B$5,VARIABLES!$E$2:$E$4,0)),0),0)</f>
        <v/>
      </c>
      <c r="G49" s="24">
        <f>IF(CRITERIOS!N37="","",CRITERIOS!N37)</f>
        <v/>
      </c>
      <c r="H49" s="24">
        <f>IF(CRITERIOS!O37="","",CRITERIOS!O37)</f>
        <v/>
      </c>
      <c r="I49" s="21" t="n"/>
      <c r="J49" s="22">
        <f>IF(OR($E49=0,I$78=0),0,IF(AND(I49="N/A",$G49&lt;&gt;""),0,$F49+SUMPRODUCT(($G$14:$G$71=$A49)*($E$14:$E$71=1)*(I$14:I$71="N/A")*$F$14:$F$71)))</f>
        <v/>
      </c>
      <c r="K49" s="22">
        <f>IF(I49="SI",J49,0)</f>
        <v/>
      </c>
      <c r="L49" s="21" t="n"/>
      <c r="M49" s="22">
        <f>IF(OR($E49=0,L$78=0),0,IF(AND(L49="N/A",$G49&lt;&gt;""),0,$F49+SUMPRODUCT(($G$14:$G$71=$A49)*($E$14:$E$71=1)*(L$14:L$71="N/A")*$F$14:$F$71)))</f>
        <v/>
      </c>
      <c r="N49" s="22">
        <f>IF(L49="SI",M49,0)</f>
        <v/>
      </c>
      <c r="O49" s="21" t="n"/>
      <c r="P49" s="22">
        <f>IF(OR($E49=0,O$78=0),0,IF(AND(O49="N/A",$G49&lt;&gt;""),0,$F49+SUMPRODUCT(($G$14:$G$71=$A49)*($E$14:$E$71=1)*(O$14:O$71="N/A")*$F$14:$F$71)))</f>
        <v/>
      </c>
      <c r="Q49" s="22">
        <f>IF(O49="SI",P49,0)</f>
        <v/>
      </c>
      <c r="R49" s="21" t="n"/>
      <c r="S49" s="22">
        <f>IF(OR($E49=0,R$78=0),0,IF(AND(R49="N/A",$G49&lt;&gt;""),0,$F49+SUMPRODUCT(($G$14:$G$71=$A49)*($E$14:$E$71=1)*(R$14:R$71="N/A")*$F$14:$F$71)))</f>
        <v/>
      </c>
      <c r="T49" s="22">
        <f>IF(R49="SI",S49,0)</f>
        <v/>
      </c>
      <c r="U49" s="21" t="n"/>
      <c r="V49" s="22">
        <f>IF(OR($E49=0,U$78=0),0,IF(AND(U49="N/A",$G49&lt;&gt;""),0,$F49+SUMPRODUCT(($G$14:$G$71=$A49)*($E$14:$E$71=1)*(U$14:U$71="N/A")*$F$14:$F$71)))</f>
        <v/>
      </c>
      <c r="W49" s="22">
        <f>IF(U49="SI",V49,0)</f>
        <v/>
      </c>
      <c r="X49" s="21" t="n"/>
      <c r="Y49" s="22">
        <f>IF(OR($E49=0,X$78=0),0,IF(AND(X49="N/A",$G49&lt;&gt;""),0,$F49+SUMPRODUCT(($G$14:$G$71=$A49)*($E$14:$E$71=1)*(X$14:X$71="N/A")*$F$14:$F$71)))</f>
        <v/>
      </c>
      <c r="Z49" s="22">
        <f>IF(X49="SI",Y49,0)</f>
        <v/>
      </c>
      <c r="AA49" s="22">
        <f>SUM(J49,M49,P49,S49,V49,Y49)</f>
        <v/>
      </c>
      <c r="AB49" s="22">
        <f>SUM(K49,N49,Q49,T49,W49,Z49)</f>
        <v/>
      </c>
      <c r="AC49" s="23">
        <f>IF(AA49=0,"",AB49/AA49)</f>
        <v/>
      </c>
      <c r="AD49" s="22">
        <f>CRITERIOS!Q37</f>
        <v/>
      </c>
      <c r="AE49" s="22">
        <f>IF(AND(E49=1,H49&lt;&gt;"X",((I49="N/A")+(L49="N/A")+(O49="N/A")+(R49="N/A")+(U49="N/A")+(X49="N/A"))&gt;0),"REVISAR","")</f>
        <v/>
      </c>
    </row>
    <row r="50">
      <c r="A50" s="24">
        <f>CRITERIOS!B38</f>
        <v/>
      </c>
      <c r="B50" s="24">
        <f>CRITERIOS!C38</f>
        <v/>
      </c>
      <c r="C50" s="25">
        <f>CRITERIOS!D38</f>
        <v/>
      </c>
      <c r="D50" s="24">
        <f>CRITERIOS!E38</f>
        <v/>
      </c>
      <c r="E50" s="24">
        <f>IFERROR(IF(AND(OR(CRITERIOS!F38="Todos",CRITERIOS!F38=$B$4),INDEX(CRITERIOS!H38:J38,MATCH($B$5,VARIABLES!$E$2:$E$4,0))=1),1,0),0)</f>
        <v/>
      </c>
      <c r="F50" s="24">
        <f>IFERROR(IF(E50=1,INDEX(CRITERIOS!K38:M38,MATCH($B$5,VARIABLES!$E$2:$E$4,0)),0),0)</f>
        <v/>
      </c>
      <c r="G50" s="24">
        <f>IF(CRITERIOS!N38="","",CRITERIOS!N38)</f>
        <v/>
      </c>
      <c r="H50" s="24">
        <f>IF(CRITERIOS!O38="","",CRITERIOS!O38)</f>
        <v/>
      </c>
      <c r="I50" s="21" t="n"/>
      <c r="J50" s="22">
        <f>IF(OR($E50=0,I$78=0),0,IF(AND(I50="N/A",$G50&lt;&gt;""),0,$F50+SUMPRODUCT(($G$14:$G$71=$A50)*($E$14:$E$71=1)*(I$14:I$71="N/A")*$F$14:$F$71)))</f>
        <v/>
      </c>
      <c r="K50" s="22">
        <f>IF(I50="SI",J50,0)</f>
        <v/>
      </c>
      <c r="L50" s="21" t="n"/>
      <c r="M50" s="22">
        <f>IF(OR($E50=0,L$78=0),0,IF(AND(L50="N/A",$G50&lt;&gt;""),0,$F50+SUMPRODUCT(($G$14:$G$71=$A50)*($E$14:$E$71=1)*(L$14:L$71="N/A")*$F$14:$F$71)))</f>
        <v/>
      </c>
      <c r="N50" s="22">
        <f>IF(L50="SI",M50,0)</f>
        <v/>
      </c>
      <c r="O50" s="21" t="n"/>
      <c r="P50" s="22">
        <f>IF(OR($E50=0,O$78=0),0,IF(AND(O50="N/A",$G50&lt;&gt;""),0,$F50+SUMPRODUCT(($G$14:$G$71=$A50)*($E$14:$E$71=1)*(O$14:O$71="N/A")*$F$14:$F$71)))</f>
        <v/>
      </c>
      <c r="Q50" s="22">
        <f>IF(O50="SI",P50,0)</f>
        <v/>
      </c>
      <c r="R50" s="21" t="n"/>
      <c r="S50" s="22">
        <f>IF(OR($E50=0,R$78=0),0,IF(AND(R50="N/A",$G50&lt;&gt;""),0,$F50+SUMPRODUCT(($G$14:$G$71=$A50)*($E$14:$E$71=1)*(R$14:R$71="N/A")*$F$14:$F$71)))</f>
        <v/>
      </c>
      <c r="T50" s="22">
        <f>IF(R50="SI",S50,0)</f>
        <v/>
      </c>
      <c r="U50" s="21" t="n"/>
      <c r="V50" s="22">
        <f>IF(OR($E50=0,U$78=0),0,IF(AND(U50="N/A",$G50&lt;&gt;""),0,$F50+SUMPRODUCT(($G$14:$G$71=$A50)*($E$14:$E$71=1)*(U$14:U$71="N/A")*$F$14:$F$71)))</f>
        <v/>
      </c>
      <c r="W50" s="22">
        <f>IF(U50="SI",V50,0)</f>
        <v/>
      </c>
      <c r="X50" s="21" t="n"/>
      <c r="Y50" s="22">
        <f>IF(OR($E50=0,X$78=0),0,IF(AND(X50="N/A",$G50&lt;&gt;""),0,$F50+SUMPRODUCT(($G$14:$G$71=$A50)*($E$14:$E$71=1)*(X$14:X$71="N/A")*$F$14:$F$71)))</f>
        <v/>
      </c>
      <c r="Z50" s="22">
        <f>IF(X50="SI",Y50,0)</f>
        <v/>
      </c>
      <c r="AA50" s="22">
        <f>SUM(J50,M50,P50,S50,V50,Y50)</f>
        <v/>
      </c>
      <c r="AB50" s="22">
        <f>SUM(K50,N50,Q50,T50,W50,Z50)</f>
        <v/>
      </c>
      <c r="AC50" s="23">
        <f>IF(AA50=0,"",AB50/AA50)</f>
        <v/>
      </c>
      <c r="AD50" s="22">
        <f>CRITERIOS!Q38</f>
        <v/>
      </c>
      <c r="AE50" s="22">
        <f>IF(AND(E50=1,H50&lt;&gt;"X",((I50="N/A")+(L50="N/A")+(O50="N/A")+(R50="N/A")+(U50="N/A")+(X50="N/A"))&gt;0),"REVISAR","")</f>
        <v/>
      </c>
    </row>
    <row r="51">
      <c r="A51" s="24">
        <f>CRITERIOS!B39</f>
        <v/>
      </c>
      <c r="B51" s="24">
        <f>CRITERIOS!C39</f>
        <v/>
      </c>
      <c r="C51" s="25">
        <f>CRITERIOS!D39</f>
        <v/>
      </c>
      <c r="D51" s="24">
        <f>CRITERIOS!E39</f>
        <v/>
      </c>
      <c r="E51" s="24">
        <f>IFERROR(IF(AND(OR(CRITERIOS!F39="Todos",CRITERIOS!F39=$B$4),INDEX(CRITERIOS!H39:J39,MATCH($B$5,VARIABLES!$E$2:$E$4,0))=1),1,0),0)</f>
        <v/>
      </c>
      <c r="F51" s="24">
        <f>IFERROR(IF(E51=1,INDEX(CRITERIOS!K39:M39,MATCH($B$5,VARIABLES!$E$2:$E$4,0)),0),0)</f>
        <v/>
      </c>
      <c r="G51" s="24">
        <f>IF(CRITERIOS!N39="","",CRITERIOS!N39)</f>
        <v/>
      </c>
      <c r="H51" s="24">
        <f>IF(CRITERIOS!O39="","",CRITERIOS!O39)</f>
        <v/>
      </c>
      <c r="I51" s="21" t="n"/>
      <c r="J51" s="22">
        <f>IF(OR($E51=0,I$78=0),0,IF(AND(I51="N/A",$G51&lt;&gt;""),0,$F51+SUMPRODUCT(($G$14:$G$71=$A51)*($E$14:$E$71=1)*(I$14:I$71="N/A")*$F$14:$F$71)))</f>
        <v/>
      </c>
      <c r="K51" s="22">
        <f>IF(I51="SI",J51,0)</f>
        <v/>
      </c>
      <c r="L51" s="21" t="n"/>
      <c r="M51" s="22">
        <f>IF(OR($E51=0,L$78=0),0,IF(AND(L51="N/A",$G51&lt;&gt;""),0,$F51+SUMPRODUCT(($G$14:$G$71=$A51)*($E$14:$E$71=1)*(L$14:L$71="N/A")*$F$14:$F$71)))</f>
        <v/>
      </c>
      <c r="N51" s="22">
        <f>IF(L51="SI",M51,0)</f>
        <v/>
      </c>
      <c r="O51" s="21" t="n"/>
      <c r="P51" s="22">
        <f>IF(OR($E51=0,O$78=0),0,IF(AND(O51="N/A",$G51&lt;&gt;""),0,$F51+SUMPRODUCT(($G$14:$G$71=$A51)*($E$14:$E$71=1)*(O$14:O$71="N/A")*$F$14:$F$71)))</f>
        <v/>
      </c>
      <c r="Q51" s="22">
        <f>IF(O51="SI",P51,0)</f>
        <v/>
      </c>
      <c r="R51" s="21" t="n"/>
      <c r="S51" s="22">
        <f>IF(OR($E51=0,R$78=0),0,IF(AND(R51="N/A",$G51&lt;&gt;""),0,$F51+SUMPRODUCT(($G$14:$G$71=$A51)*($E$14:$E$71=1)*(R$14:R$71="N/A")*$F$14:$F$71)))</f>
        <v/>
      </c>
      <c r="T51" s="22">
        <f>IF(R51="SI",S51,0)</f>
        <v/>
      </c>
      <c r="U51" s="21" t="n"/>
      <c r="V51" s="22">
        <f>IF(OR($E51=0,U$78=0),0,IF(AND(U51="N/A",$G51&lt;&gt;""),0,$F51+SUMPRODUCT(($G$14:$G$71=$A51)*($E$14:$E$71=1)*(U$14:U$71="N/A")*$F$14:$F$71)))</f>
        <v/>
      </c>
      <c r="W51" s="22">
        <f>IF(U51="SI",V51,0)</f>
        <v/>
      </c>
      <c r="X51" s="21" t="n"/>
      <c r="Y51" s="22">
        <f>IF(OR($E51=0,X$78=0),0,IF(AND(X51="N/A",$G51&lt;&gt;""),0,$F51+SUMPRODUCT(($G$14:$G$71=$A51)*($E$14:$E$71=1)*(X$14:X$71="N/A")*$F$14:$F$71)))</f>
        <v/>
      </c>
      <c r="Z51" s="22">
        <f>IF(X51="SI",Y51,0)</f>
        <v/>
      </c>
      <c r="AA51" s="22">
        <f>SUM(J51,M51,P51,S51,V51,Y51)</f>
        <v/>
      </c>
      <c r="AB51" s="22">
        <f>SUM(K51,N51,Q51,T51,W51,Z51)</f>
        <v/>
      </c>
      <c r="AC51" s="23">
        <f>IF(AA51=0,"",AB51/AA51)</f>
        <v/>
      </c>
      <c r="AD51" s="22">
        <f>CRITERIOS!Q39</f>
        <v/>
      </c>
      <c r="AE51" s="22">
        <f>IF(AND(E51=1,H51&lt;&gt;"X",((I51="N/A")+(L51="N/A")+(O51="N/A")+(R51="N/A")+(U51="N/A")+(X51="N/A"))&gt;0),"REVISAR","")</f>
        <v/>
      </c>
    </row>
    <row r="52">
      <c r="A52" s="24">
        <f>CRITERIOS!B40</f>
        <v/>
      </c>
      <c r="B52" s="24">
        <f>CRITERIOS!C40</f>
        <v/>
      </c>
      <c r="C52" s="25">
        <f>CRITERIOS!D40</f>
        <v/>
      </c>
      <c r="D52" s="24">
        <f>CRITERIOS!E40</f>
        <v/>
      </c>
      <c r="E52" s="24">
        <f>IFERROR(IF(AND(OR(CRITERIOS!F40="Todos",CRITERIOS!F40=$B$4),INDEX(CRITERIOS!H40:J40,MATCH($B$5,VARIABLES!$E$2:$E$4,0))=1),1,0),0)</f>
        <v/>
      </c>
      <c r="F52" s="24">
        <f>IFERROR(IF(E52=1,INDEX(CRITERIOS!K40:M40,MATCH($B$5,VARIABLES!$E$2:$E$4,0)),0),0)</f>
        <v/>
      </c>
      <c r="G52" s="24">
        <f>IF(CRITERIOS!N40="","",CRITERIOS!N40)</f>
        <v/>
      </c>
      <c r="H52" s="24">
        <f>IF(CRITERIOS!O40="","",CRITERIOS!O40)</f>
        <v/>
      </c>
      <c r="I52" s="21" t="n"/>
      <c r="J52" s="22">
        <f>IF(OR($E52=0,I$78=0),0,IF(AND(I52="N/A",$G52&lt;&gt;""),0,$F52+SUMPRODUCT(($G$14:$G$71=$A52)*($E$14:$E$71=1)*(I$14:I$71="N/A")*$F$14:$F$71)))</f>
        <v/>
      </c>
      <c r="K52" s="22">
        <f>IF(I52="SI",J52,0)</f>
        <v/>
      </c>
      <c r="L52" s="21" t="n"/>
      <c r="M52" s="22">
        <f>IF(OR($E52=0,L$78=0),0,IF(AND(L52="N/A",$G52&lt;&gt;""),0,$F52+SUMPRODUCT(($G$14:$G$71=$A52)*($E$14:$E$71=1)*(L$14:L$71="N/A")*$F$14:$F$71)))</f>
        <v/>
      </c>
      <c r="N52" s="22">
        <f>IF(L52="SI",M52,0)</f>
        <v/>
      </c>
      <c r="O52" s="21" t="n"/>
      <c r="P52" s="22">
        <f>IF(OR($E52=0,O$78=0),0,IF(AND(O52="N/A",$G52&lt;&gt;""),0,$F52+SUMPRODUCT(($G$14:$G$71=$A52)*($E$14:$E$71=1)*(O$14:O$71="N/A")*$F$14:$F$71)))</f>
        <v/>
      </c>
      <c r="Q52" s="22">
        <f>IF(O52="SI",P52,0)</f>
        <v/>
      </c>
      <c r="R52" s="21" t="n"/>
      <c r="S52" s="22">
        <f>IF(OR($E52=0,R$78=0),0,IF(AND(R52="N/A",$G52&lt;&gt;""),0,$F52+SUMPRODUCT(($G$14:$G$71=$A52)*($E$14:$E$71=1)*(R$14:R$71="N/A")*$F$14:$F$71)))</f>
        <v/>
      </c>
      <c r="T52" s="22">
        <f>IF(R52="SI",S52,0)</f>
        <v/>
      </c>
      <c r="U52" s="21" t="n"/>
      <c r="V52" s="22">
        <f>IF(OR($E52=0,U$78=0),0,IF(AND(U52="N/A",$G52&lt;&gt;""),0,$F52+SUMPRODUCT(($G$14:$G$71=$A52)*($E$14:$E$71=1)*(U$14:U$71="N/A")*$F$14:$F$71)))</f>
        <v/>
      </c>
      <c r="W52" s="22">
        <f>IF(U52="SI",V52,0)</f>
        <v/>
      </c>
      <c r="X52" s="21" t="n"/>
      <c r="Y52" s="22">
        <f>IF(OR($E52=0,X$78=0),0,IF(AND(X52="N/A",$G52&lt;&gt;""),0,$F52+SUMPRODUCT(($G$14:$G$71=$A52)*($E$14:$E$71=1)*(X$14:X$71="N/A")*$F$14:$F$71)))</f>
        <v/>
      </c>
      <c r="Z52" s="22">
        <f>IF(X52="SI",Y52,0)</f>
        <v/>
      </c>
      <c r="AA52" s="22">
        <f>SUM(J52,M52,P52,S52,V52,Y52)</f>
        <v/>
      </c>
      <c r="AB52" s="22">
        <f>SUM(K52,N52,Q52,T52,W52,Z52)</f>
        <v/>
      </c>
      <c r="AC52" s="23">
        <f>IF(AA52=0,"",AB52/AA52)</f>
        <v/>
      </c>
      <c r="AD52" s="22">
        <f>CRITERIOS!Q40</f>
        <v/>
      </c>
      <c r="AE52" s="22">
        <f>IF(AND(E52=1,H52&lt;&gt;"X",((I52="N/A")+(L52="N/A")+(O52="N/A")+(R52="N/A")+(U52="N/A")+(X52="N/A"))&gt;0),"REVISAR","")</f>
        <v/>
      </c>
    </row>
    <row r="53">
      <c r="A53" s="22">
        <f>CRITERIOS!B41</f>
        <v/>
      </c>
      <c r="B53" s="22">
        <f>CRITERIOS!C41</f>
        <v/>
      </c>
      <c r="C53" s="8">
        <f>CRITERIOS!D41</f>
        <v/>
      </c>
      <c r="D53" s="22">
        <f>CRITERIOS!E41</f>
        <v/>
      </c>
      <c r="E53" s="22">
        <f>IFERROR(IF(AND(OR(CRITERIOS!F41="Todos",CRITERIOS!F41=$B$4),INDEX(CRITERIOS!H41:J41,MATCH($B$5,VARIABLES!$E$2:$E$4,0))=1),1,0),0)</f>
        <v/>
      </c>
      <c r="F53" s="22">
        <f>IFERROR(IF(E53=1,INDEX(CRITERIOS!K41:M41,MATCH($B$5,VARIABLES!$E$2:$E$4,0)),0),0)</f>
        <v/>
      </c>
      <c r="G53" s="22">
        <f>IF(CRITERIOS!N41="","",CRITERIOS!N41)</f>
        <v/>
      </c>
      <c r="H53" s="22">
        <f>IF(CRITERIOS!O41="","",CRITERIOS!O41)</f>
        <v/>
      </c>
      <c r="I53" s="21" t="n"/>
      <c r="J53" s="22">
        <f>IF(OR($E53=0,I$78=0),0,IF(AND(I53="N/A",$G53&lt;&gt;""),0,$F53+SUMPRODUCT(($G$14:$G$71=$A53)*($E$14:$E$71=1)*(I$14:I$71="N/A")*$F$14:$F$71)))</f>
        <v/>
      </c>
      <c r="K53" s="22">
        <f>IF(I53="SI",J53,0)</f>
        <v/>
      </c>
      <c r="L53" s="21" t="n"/>
      <c r="M53" s="22">
        <f>IF(OR($E53=0,L$78=0),0,IF(AND(L53="N/A",$G53&lt;&gt;""),0,$F53+SUMPRODUCT(($G$14:$G$71=$A53)*($E$14:$E$71=1)*(L$14:L$71="N/A")*$F$14:$F$71)))</f>
        <v/>
      </c>
      <c r="N53" s="22">
        <f>IF(L53="SI",M53,0)</f>
        <v/>
      </c>
      <c r="O53" s="21" t="n"/>
      <c r="P53" s="22">
        <f>IF(OR($E53=0,O$78=0),0,IF(AND(O53="N/A",$G53&lt;&gt;""),0,$F53+SUMPRODUCT(($G$14:$G$71=$A53)*($E$14:$E$71=1)*(O$14:O$71="N/A")*$F$14:$F$71)))</f>
        <v/>
      </c>
      <c r="Q53" s="22">
        <f>IF(O53="SI",P53,0)</f>
        <v/>
      </c>
      <c r="R53" s="21" t="n"/>
      <c r="S53" s="22">
        <f>IF(OR($E53=0,R$78=0),0,IF(AND(R53="N/A",$G53&lt;&gt;""),0,$F53+SUMPRODUCT(($G$14:$G$71=$A53)*($E$14:$E$71=1)*(R$14:R$71="N/A")*$F$14:$F$71)))</f>
        <v/>
      </c>
      <c r="T53" s="22">
        <f>IF(R53="SI",S53,0)</f>
        <v/>
      </c>
      <c r="U53" s="21" t="n"/>
      <c r="V53" s="22">
        <f>IF(OR($E53=0,U$78=0),0,IF(AND(U53="N/A",$G53&lt;&gt;""),0,$F53+SUMPRODUCT(($G$14:$G$71=$A53)*($E$14:$E$71=1)*(U$14:U$71="N/A")*$F$14:$F$71)))</f>
        <v/>
      </c>
      <c r="W53" s="22">
        <f>IF(U53="SI",V53,0)</f>
        <v/>
      </c>
      <c r="X53" s="21" t="n"/>
      <c r="Y53" s="22">
        <f>IF(OR($E53=0,X$78=0),0,IF(AND(X53="N/A",$G53&lt;&gt;""),0,$F53+SUMPRODUCT(($G$14:$G$71=$A53)*($E$14:$E$71=1)*(X$14:X$71="N/A")*$F$14:$F$71)))</f>
        <v/>
      </c>
      <c r="Z53" s="22">
        <f>IF(X53="SI",Y53,0)</f>
        <v/>
      </c>
      <c r="AA53" s="22">
        <f>SUM(J53,M53,P53,S53,V53,Y53)</f>
        <v/>
      </c>
      <c r="AB53" s="22">
        <f>SUM(K53,N53,Q53,T53,W53,Z53)</f>
        <v/>
      </c>
      <c r="AC53" s="23">
        <f>IF(AA53=0,"",AB53/AA53)</f>
        <v/>
      </c>
      <c r="AD53" s="22">
        <f>CRITERIOS!Q41</f>
        <v/>
      </c>
      <c r="AE53" s="22">
        <f>IF(AND(E53=1,H53&lt;&gt;"X",((I53="N/A")+(L53="N/A")+(O53="N/A")+(R53="N/A")+(U53="N/A")+(X53="N/A"))&gt;0),"REVISAR","")</f>
        <v/>
      </c>
    </row>
    <row r="54">
      <c r="A54" s="22">
        <f>CRITERIOS!B42</f>
        <v/>
      </c>
      <c r="B54" s="22">
        <f>CRITERIOS!C42</f>
        <v/>
      </c>
      <c r="C54" s="8">
        <f>CRITERIOS!D42</f>
        <v/>
      </c>
      <c r="D54" s="22">
        <f>CRITERIOS!E42</f>
        <v/>
      </c>
      <c r="E54" s="22">
        <f>IFERROR(IF(AND(OR(CRITERIOS!F42="Todos",CRITERIOS!F42=$B$4),INDEX(CRITERIOS!H42:J42,MATCH($B$5,VARIABLES!$E$2:$E$4,0))=1),1,0),0)</f>
        <v/>
      </c>
      <c r="F54" s="22">
        <f>IFERROR(IF(E54=1,INDEX(CRITERIOS!K42:M42,MATCH($B$5,VARIABLES!$E$2:$E$4,0)),0),0)</f>
        <v/>
      </c>
      <c r="G54" s="22">
        <f>IF(CRITERIOS!N42="","",CRITERIOS!N42)</f>
        <v/>
      </c>
      <c r="H54" s="22">
        <f>IF(CRITERIOS!O42="","",CRITERIOS!O42)</f>
        <v/>
      </c>
      <c r="I54" s="21" t="n"/>
      <c r="J54" s="22">
        <f>IF(OR($E54=0,I$78=0),0,IF(AND(I54="N/A",$G54&lt;&gt;""),0,$F54+SUMPRODUCT(($G$14:$G$71=$A54)*($E$14:$E$71=1)*(I$14:I$71="N/A")*$F$14:$F$71)))</f>
        <v/>
      </c>
      <c r="K54" s="22">
        <f>IF(I54="SI",J54,0)</f>
        <v/>
      </c>
      <c r="L54" s="21" t="n"/>
      <c r="M54" s="22">
        <f>IF(OR($E54=0,L$78=0),0,IF(AND(L54="N/A",$G54&lt;&gt;""),0,$F54+SUMPRODUCT(($G$14:$G$71=$A54)*($E$14:$E$71=1)*(L$14:L$71="N/A")*$F$14:$F$71)))</f>
        <v/>
      </c>
      <c r="N54" s="22">
        <f>IF(L54="SI",M54,0)</f>
        <v/>
      </c>
      <c r="O54" s="21" t="n"/>
      <c r="P54" s="22">
        <f>IF(OR($E54=0,O$78=0),0,IF(AND(O54="N/A",$G54&lt;&gt;""),0,$F54+SUMPRODUCT(($G$14:$G$71=$A54)*($E$14:$E$71=1)*(O$14:O$71="N/A")*$F$14:$F$71)))</f>
        <v/>
      </c>
      <c r="Q54" s="22">
        <f>IF(O54="SI",P54,0)</f>
        <v/>
      </c>
      <c r="R54" s="21" t="n"/>
      <c r="S54" s="22">
        <f>IF(OR($E54=0,R$78=0),0,IF(AND(R54="N/A",$G54&lt;&gt;""),0,$F54+SUMPRODUCT(($G$14:$G$71=$A54)*($E$14:$E$71=1)*(R$14:R$71="N/A")*$F$14:$F$71)))</f>
        <v/>
      </c>
      <c r="T54" s="22">
        <f>IF(R54="SI",S54,0)</f>
        <v/>
      </c>
      <c r="U54" s="21" t="n"/>
      <c r="V54" s="22">
        <f>IF(OR($E54=0,U$78=0),0,IF(AND(U54="N/A",$G54&lt;&gt;""),0,$F54+SUMPRODUCT(($G$14:$G$71=$A54)*($E$14:$E$71=1)*(U$14:U$71="N/A")*$F$14:$F$71)))</f>
        <v/>
      </c>
      <c r="W54" s="22">
        <f>IF(U54="SI",V54,0)</f>
        <v/>
      </c>
      <c r="X54" s="21" t="n"/>
      <c r="Y54" s="22">
        <f>IF(OR($E54=0,X$78=0),0,IF(AND(X54="N/A",$G54&lt;&gt;""),0,$F54+SUMPRODUCT(($G$14:$G$71=$A54)*($E$14:$E$71=1)*(X$14:X$71="N/A")*$F$14:$F$71)))</f>
        <v/>
      </c>
      <c r="Z54" s="22">
        <f>IF(X54="SI",Y54,0)</f>
        <v/>
      </c>
      <c r="AA54" s="22">
        <f>SUM(J54,M54,P54,S54,V54,Y54)</f>
        <v/>
      </c>
      <c r="AB54" s="22">
        <f>SUM(K54,N54,Q54,T54,W54,Z54)</f>
        <v/>
      </c>
      <c r="AC54" s="23">
        <f>IF(AA54=0,"",AB54/AA54)</f>
        <v/>
      </c>
      <c r="AD54" s="22">
        <f>CRITERIOS!Q42</f>
        <v/>
      </c>
      <c r="AE54" s="22">
        <f>IF(AND(E54=1,H54&lt;&gt;"X",((I54="N/A")+(L54="N/A")+(O54="N/A")+(R54="N/A")+(U54="N/A")+(X54="N/A"))&gt;0),"REVISAR","")</f>
        <v/>
      </c>
    </row>
    <row r="55">
      <c r="A55" s="24">
        <f>CRITERIOS!B43</f>
        <v/>
      </c>
      <c r="B55" s="24">
        <f>CRITERIOS!C43</f>
        <v/>
      </c>
      <c r="C55" s="25">
        <f>CRITERIOS!D43</f>
        <v/>
      </c>
      <c r="D55" s="24">
        <f>CRITERIOS!E43</f>
        <v/>
      </c>
      <c r="E55" s="24">
        <f>IFERROR(IF(AND(OR(CRITERIOS!F43="Todos",CRITERIOS!F43=$B$4),INDEX(CRITERIOS!H43:J43,MATCH($B$5,VARIABLES!$E$2:$E$4,0))=1),1,0),0)</f>
        <v/>
      </c>
      <c r="F55" s="24">
        <f>IFERROR(IF(E55=1,INDEX(CRITERIOS!K43:M43,MATCH($B$5,VARIABLES!$E$2:$E$4,0)),0),0)</f>
        <v/>
      </c>
      <c r="G55" s="24">
        <f>IF(CRITERIOS!N43="","",CRITERIOS!N43)</f>
        <v/>
      </c>
      <c r="H55" s="24">
        <f>IF(CRITERIOS!O43="","",CRITERIOS!O43)</f>
        <v/>
      </c>
      <c r="I55" s="21" t="n"/>
      <c r="J55" s="22">
        <f>IF(OR($E55=0,I$78=0),0,IF(AND(I55="N/A",$G55&lt;&gt;""),0,$F55+SUMPRODUCT(($G$14:$G$71=$A55)*($E$14:$E$71=1)*(I$14:I$71="N/A")*$F$14:$F$71)))</f>
        <v/>
      </c>
      <c r="K55" s="22">
        <f>IF(I55="SI",J55,0)</f>
        <v/>
      </c>
      <c r="L55" s="21" t="n"/>
      <c r="M55" s="22">
        <f>IF(OR($E55=0,L$78=0),0,IF(AND(L55="N/A",$G55&lt;&gt;""),0,$F55+SUMPRODUCT(($G$14:$G$71=$A55)*($E$14:$E$71=1)*(L$14:L$71="N/A")*$F$14:$F$71)))</f>
        <v/>
      </c>
      <c r="N55" s="22">
        <f>IF(L55="SI",M55,0)</f>
        <v/>
      </c>
      <c r="O55" s="21" t="n"/>
      <c r="P55" s="22">
        <f>IF(OR($E55=0,O$78=0),0,IF(AND(O55="N/A",$G55&lt;&gt;""),0,$F55+SUMPRODUCT(($G$14:$G$71=$A55)*($E$14:$E$71=1)*(O$14:O$71="N/A")*$F$14:$F$71)))</f>
        <v/>
      </c>
      <c r="Q55" s="22">
        <f>IF(O55="SI",P55,0)</f>
        <v/>
      </c>
      <c r="R55" s="21" t="n"/>
      <c r="S55" s="22">
        <f>IF(OR($E55=0,R$78=0),0,IF(AND(R55="N/A",$G55&lt;&gt;""),0,$F55+SUMPRODUCT(($G$14:$G$71=$A55)*($E$14:$E$71=1)*(R$14:R$71="N/A")*$F$14:$F$71)))</f>
        <v/>
      </c>
      <c r="T55" s="22">
        <f>IF(R55="SI",S55,0)</f>
        <v/>
      </c>
      <c r="U55" s="21" t="n"/>
      <c r="V55" s="22">
        <f>IF(OR($E55=0,U$78=0),0,IF(AND(U55="N/A",$G55&lt;&gt;""),0,$F55+SUMPRODUCT(($G$14:$G$71=$A55)*($E$14:$E$71=1)*(U$14:U$71="N/A")*$F$14:$F$71)))</f>
        <v/>
      </c>
      <c r="W55" s="22">
        <f>IF(U55="SI",V55,0)</f>
        <v/>
      </c>
      <c r="X55" s="21" t="n"/>
      <c r="Y55" s="22">
        <f>IF(OR($E55=0,X$78=0),0,IF(AND(X55="N/A",$G55&lt;&gt;""),0,$F55+SUMPRODUCT(($G$14:$G$71=$A55)*($E$14:$E$71=1)*(X$14:X$71="N/A")*$F$14:$F$71)))</f>
        <v/>
      </c>
      <c r="Z55" s="22">
        <f>IF(X55="SI",Y55,0)</f>
        <v/>
      </c>
      <c r="AA55" s="22">
        <f>SUM(J55,M55,P55,S55,V55,Y55)</f>
        <v/>
      </c>
      <c r="AB55" s="22">
        <f>SUM(K55,N55,Q55,T55,W55,Z55)</f>
        <v/>
      </c>
      <c r="AC55" s="23">
        <f>IF(AA55=0,"",AB55/AA55)</f>
        <v/>
      </c>
      <c r="AD55" s="22">
        <f>CRITERIOS!Q43</f>
        <v/>
      </c>
      <c r="AE55" s="22">
        <f>IF(AND(E55=1,H55&lt;&gt;"X",((I55="N/A")+(L55="N/A")+(O55="N/A")+(R55="N/A")+(U55="N/A")+(X55="N/A"))&gt;0),"REVISAR","")</f>
        <v/>
      </c>
    </row>
    <row r="56">
      <c r="A56" s="24">
        <f>CRITERIOS!B44</f>
        <v/>
      </c>
      <c r="B56" s="24">
        <f>CRITERIOS!C44</f>
        <v/>
      </c>
      <c r="C56" s="25">
        <f>CRITERIOS!D44</f>
        <v/>
      </c>
      <c r="D56" s="24">
        <f>CRITERIOS!E44</f>
        <v/>
      </c>
      <c r="E56" s="24">
        <f>IFERROR(IF(AND(OR(CRITERIOS!F44="Todos",CRITERIOS!F44=$B$4),INDEX(CRITERIOS!H44:J44,MATCH($B$5,VARIABLES!$E$2:$E$4,0))=1),1,0),0)</f>
        <v/>
      </c>
      <c r="F56" s="24">
        <f>IFERROR(IF(E56=1,INDEX(CRITERIOS!K44:M44,MATCH($B$5,VARIABLES!$E$2:$E$4,0)),0),0)</f>
        <v/>
      </c>
      <c r="G56" s="24">
        <f>IF(CRITERIOS!N44="","",CRITERIOS!N44)</f>
        <v/>
      </c>
      <c r="H56" s="24">
        <f>IF(CRITERIOS!O44="","",CRITERIOS!O44)</f>
        <v/>
      </c>
      <c r="I56" s="21" t="n"/>
      <c r="J56" s="22">
        <f>IF(OR($E56=0,I$78=0),0,IF(AND(I56="N/A",$G56&lt;&gt;""),0,$F56+SUMPRODUCT(($G$14:$G$71=$A56)*($E$14:$E$71=1)*(I$14:I$71="N/A")*$F$14:$F$71)))</f>
        <v/>
      </c>
      <c r="K56" s="22">
        <f>IF(I56="SI",J56,0)</f>
        <v/>
      </c>
      <c r="L56" s="21" t="n"/>
      <c r="M56" s="22">
        <f>IF(OR($E56=0,L$78=0),0,IF(AND(L56="N/A",$G56&lt;&gt;""),0,$F56+SUMPRODUCT(($G$14:$G$71=$A56)*($E$14:$E$71=1)*(L$14:L$71="N/A")*$F$14:$F$71)))</f>
        <v/>
      </c>
      <c r="N56" s="22">
        <f>IF(L56="SI",M56,0)</f>
        <v/>
      </c>
      <c r="O56" s="21" t="n"/>
      <c r="P56" s="22">
        <f>IF(OR($E56=0,O$78=0),0,IF(AND(O56="N/A",$G56&lt;&gt;""),0,$F56+SUMPRODUCT(($G$14:$G$71=$A56)*($E$14:$E$71=1)*(O$14:O$71="N/A")*$F$14:$F$71)))</f>
        <v/>
      </c>
      <c r="Q56" s="22">
        <f>IF(O56="SI",P56,0)</f>
        <v/>
      </c>
      <c r="R56" s="21" t="n"/>
      <c r="S56" s="22">
        <f>IF(OR($E56=0,R$78=0),0,IF(AND(R56="N/A",$G56&lt;&gt;""),0,$F56+SUMPRODUCT(($G$14:$G$71=$A56)*($E$14:$E$71=1)*(R$14:R$71="N/A")*$F$14:$F$71)))</f>
        <v/>
      </c>
      <c r="T56" s="22">
        <f>IF(R56="SI",S56,0)</f>
        <v/>
      </c>
      <c r="U56" s="21" t="n"/>
      <c r="V56" s="22">
        <f>IF(OR($E56=0,U$78=0),0,IF(AND(U56="N/A",$G56&lt;&gt;""),0,$F56+SUMPRODUCT(($G$14:$G$71=$A56)*($E$14:$E$71=1)*(U$14:U$71="N/A")*$F$14:$F$71)))</f>
        <v/>
      </c>
      <c r="W56" s="22">
        <f>IF(U56="SI",V56,0)</f>
        <v/>
      </c>
      <c r="X56" s="21" t="n"/>
      <c r="Y56" s="22">
        <f>IF(OR($E56=0,X$78=0),0,IF(AND(X56="N/A",$G56&lt;&gt;""),0,$F56+SUMPRODUCT(($G$14:$G$71=$A56)*($E$14:$E$71=1)*(X$14:X$71="N/A")*$F$14:$F$71)))</f>
        <v/>
      </c>
      <c r="Z56" s="22">
        <f>IF(X56="SI",Y56,0)</f>
        <v/>
      </c>
      <c r="AA56" s="22">
        <f>SUM(J56,M56,P56,S56,V56,Y56)</f>
        <v/>
      </c>
      <c r="AB56" s="22">
        <f>SUM(K56,N56,Q56,T56,W56,Z56)</f>
        <v/>
      </c>
      <c r="AC56" s="23">
        <f>IF(AA56=0,"",AB56/AA56)</f>
        <v/>
      </c>
      <c r="AD56" s="22">
        <f>CRITERIOS!Q44</f>
        <v/>
      </c>
      <c r="AE56" s="22">
        <f>IF(AND(E56=1,H56&lt;&gt;"X",((I56="N/A")+(L56="N/A")+(O56="N/A")+(R56="N/A")+(U56="N/A")+(X56="N/A"))&gt;0),"REVISAR","")</f>
        <v/>
      </c>
    </row>
    <row r="57">
      <c r="A57" s="24">
        <f>CRITERIOS!B45</f>
        <v/>
      </c>
      <c r="B57" s="24">
        <f>CRITERIOS!C45</f>
        <v/>
      </c>
      <c r="C57" s="25">
        <f>CRITERIOS!D45</f>
        <v/>
      </c>
      <c r="D57" s="24">
        <f>CRITERIOS!E45</f>
        <v/>
      </c>
      <c r="E57" s="24">
        <f>IFERROR(IF(AND(OR(CRITERIOS!F45="Todos",CRITERIOS!F45=$B$4),INDEX(CRITERIOS!H45:J45,MATCH($B$5,VARIABLES!$E$2:$E$4,0))=1),1,0),0)</f>
        <v/>
      </c>
      <c r="F57" s="24">
        <f>IFERROR(IF(E57=1,INDEX(CRITERIOS!K45:M45,MATCH($B$5,VARIABLES!$E$2:$E$4,0)),0),0)</f>
        <v/>
      </c>
      <c r="G57" s="24">
        <f>IF(CRITERIOS!N45="","",CRITERIOS!N45)</f>
        <v/>
      </c>
      <c r="H57" s="24">
        <f>IF(CRITERIOS!O45="","",CRITERIOS!O45)</f>
        <v/>
      </c>
      <c r="I57" s="21" t="n"/>
      <c r="J57" s="22">
        <f>IF(OR($E57=0,I$78=0),0,IF(AND(I57="N/A",$G57&lt;&gt;""),0,$F57+SUMPRODUCT(($G$14:$G$71=$A57)*($E$14:$E$71=1)*(I$14:I$71="N/A")*$F$14:$F$71)))</f>
        <v/>
      </c>
      <c r="K57" s="22">
        <f>IF(I57="SI",J57,0)</f>
        <v/>
      </c>
      <c r="L57" s="21" t="n"/>
      <c r="M57" s="22">
        <f>IF(OR($E57=0,L$78=0),0,IF(AND(L57="N/A",$G57&lt;&gt;""),0,$F57+SUMPRODUCT(($G$14:$G$71=$A57)*($E$14:$E$71=1)*(L$14:L$71="N/A")*$F$14:$F$71)))</f>
        <v/>
      </c>
      <c r="N57" s="22">
        <f>IF(L57="SI",M57,0)</f>
        <v/>
      </c>
      <c r="O57" s="21" t="n"/>
      <c r="P57" s="22">
        <f>IF(OR($E57=0,O$78=0),0,IF(AND(O57="N/A",$G57&lt;&gt;""),0,$F57+SUMPRODUCT(($G$14:$G$71=$A57)*($E$14:$E$71=1)*(O$14:O$71="N/A")*$F$14:$F$71)))</f>
        <v/>
      </c>
      <c r="Q57" s="22">
        <f>IF(O57="SI",P57,0)</f>
        <v/>
      </c>
      <c r="R57" s="21" t="n"/>
      <c r="S57" s="22">
        <f>IF(OR($E57=0,R$78=0),0,IF(AND(R57="N/A",$G57&lt;&gt;""),0,$F57+SUMPRODUCT(($G$14:$G$71=$A57)*($E$14:$E$71=1)*(R$14:R$71="N/A")*$F$14:$F$71)))</f>
        <v/>
      </c>
      <c r="T57" s="22">
        <f>IF(R57="SI",S57,0)</f>
        <v/>
      </c>
      <c r="U57" s="21" t="n"/>
      <c r="V57" s="22">
        <f>IF(OR($E57=0,U$78=0),0,IF(AND(U57="N/A",$G57&lt;&gt;""),0,$F57+SUMPRODUCT(($G$14:$G$71=$A57)*($E$14:$E$71=1)*(U$14:U$71="N/A")*$F$14:$F$71)))</f>
        <v/>
      </c>
      <c r="W57" s="22">
        <f>IF(U57="SI",V57,0)</f>
        <v/>
      </c>
      <c r="X57" s="21" t="n"/>
      <c r="Y57" s="22">
        <f>IF(OR($E57=0,X$78=0),0,IF(AND(X57="N/A",$G57&lt;&gt;""),0,$F57+SUMPRODUCT(($G$14:$G$71=$A57)*($E$14:$E$71=1)*(X$14:X$71="N/A")*$F$14:$F$71)))</f>
        <v/>
      </c>
      <c r="Z57" s="22">
        <f>IF(X57="SI",Y57,0)</f>
        <v/>
      </c>
      <c r="AA57" s="22">
        <f>SUM(J57,M57,P57,S57,V57,Y57)</f>
        <v/>
      </c>
      <c r="AB57" s="22">
        <f>SUM(K57,N57,Q57,T57,W57,Z57)</f>
        <v/>
      </c>
      <c r="AC57" s="23">
        <f>IF(AA57=0,"",AB57/AA57)</f>
        <v/>
      </c>
      <c r="AD57" s="22">
        <f>CRITERIOS!Q45</f>
        <v/>
      </c>
      <c r="AE57" s="22">
        <f>IF(AND(E57=1,H57&lt;&gt;"X",((I57="N/A")+(L57="N/A")+(O57="N/A")+(R57="N/A")+(U57="N/A")+(X57="N/A"))&gt;0),"REVISAR","")</f>
        <v/>
      </c>
    </row>
    <row r="58">
      <c r="A58" s="24">
        <f>CRITERIOS!B46</f>
        <v/>
      </c>
      <c r="B58" s="24">
        <f>CRITERIOS!C46</f>
        <v/>
      </c>
      <c r="C58" s="25">
        <f>CRITERIOS!D46</f>
        <v/>
      </c>
      <c r="D58" s="24">
        <f>CRITERIOS!E46</f>
        <v/>
      </c>
      <c r="E58" s="24">
        <f>IFERROR(IF(AND(OR(CRITERIOS!F46="Todos",CRITERIOS!F46=$B$4),INDEX(CRITERIOS!H46:J46,MATCH($B$5,VARIABLES!$E$2:$E$4,0))=1),1,0),0)</f>
        <v/>
      </c>
      <c r="F58" s="24">
        <f>IFERROR(IF(E58=1,INDEX(CRITERIOS!K46:M46,MATCH($B$5,VARIABLES!$E$2:$E$4,0)),0),0)</f>
        <v/>
      </c>
      <c r="G58" s="24">
        <f>IF(CRITERIOS!N46="","",CRITERIOS!N46)</f>
        <v/>
      </c>
      <c r="H58" s="24">
        <f>IF(CRITERIOS!O46="","",CRITERIOS!O46)</f>
        <v/>
      </c>
      <c r="I58" s="21" t="n"/>
      <c r="J58" s="22">
        <f>IF(OR($E58=0,I$78=0),0,IF(AND(I58="N/A",$G58&lt;&gt;""),0,$F58+SUMPRODUCT(($G$14:$G$71=$A58)*($E$14:$E$71=1)*(I$14:I$71="N/A")*$F$14:$F$71)))</f>
        <v/>
      </c>
      <c r="K58" s="22">
        <f>IF(I58="SI",J58,0)</f>
        <v/>
      </c>
      <c r="L58" s="21" t="n"/>
      <c r="M58" s="22">
        <f>IF(OR($E58=0,L$78=0),0,IF(AND(L58="N/A",$G58&lt;&gt;""),0,$F58+SUMPRODUCT(($G$14:$G$71=$A58)*($E$14:$E$71=1)*(L$14:L$71="N/A")*$F$14:$F$71)))</f>
        <v/>
      </c>
      <c r="N58" s="22">
        <f>IF(L58="SI",M58,0)</f>
        <v/>
      </c>
      <c r="O58" s="21" t="n"/>
      <c r="P58" s="22">
        <f>IF(OR($E58=0,O$78=0),0,IF(AND(O58="N/A",$G58&lt;&gt;""),0,$F58+SUMPRODUCT(($G$14:$G$71=$A58)*($E$14:$E$71=1)*(O$14:O$71="N/A")*$F$14:$F$71)))</f>
        <v/>
      </c>
      <c r="Q58" s="22">
        <f>IF(O58="SI",P58,0)</f>
        <v/>
      </c>
      <c r="R58" s="21" t="n"/>
      <c r="S58" s="22">
        <f>IF(OR($E58=0,R$78=0),0,IF(AND(R58="N/A",$G58&lt;&gt;""),0,$F58+SUMPRODUCT(($G$14:$G$71=$A58)*($E$14:$E$71=1)*(R$14:R$71="N/A")*$F$14:$F$71)))</f>
        <v/>
      </c>
      <c r="T58" s="22">
        <f>IF(R58="SI",S58,0)</f>
        <v/>
      </c>
      <c r="U58" s="21" t="n"/>
      <c r="V58" s="22">
        <f>IF(OR($E58=0,U$78=0),0,IF(AND(U58="N/A",$G58&lt;&gt;""),0,$F58+SUMPRODUCT(($G$14:$G$71=$A58)*($E$14:$E$71=1)*(U$14:U$71="N/A")*$F$14:$F$71)))</f>
        <v/>
      </c>
      <c r="W58" s="22">
        <f>IF(U58="SI",V58,0)</f>
        <v/>
      </c>
      <c r="X58" s="21" t="n"/>
      <c r="Y58" s="22">
        <f>IF(OR($E58=0,X$78=0),0,IF(AND(X58="N/A",$G58&lt;&gt;""),0,$F58+SUMPRODUCT(($G$14:$G$71=$A58)*($E$14:$E$71=1)*(X$14:X$71="N/A")*$F$14:$F$71)))</f>
        <v/>
      </c>
      <c r="Z58" s="22">
        <f>IF(X58="SI",Y58,0)</f>
        <v/>
      </c>
      <c r="AA58" s="22">
        <f>SUM(J58,M58,P58,S58,V58,Y58)</f>
        <v/>
      </c>
      <c r="AB58" s="22">
        <f>SUM(K58,N58,Q58,T58,W58,Z58)</f>
        <v/>
      </c>
      <c r="AC58" s="23">
        <f>IF(AA58=0,"",AB58/AA58)</f>
        <v/>
      </c>
      <c r="AD58" s="22">
        <f>CRITERIOS!Q46</f>
        <v/>
      </c>
      <c r="AE58" s="22">
        <f>IF(AND(E58=1,H58&lt;&gt;"X",((I58="N/A")+(L58="N/A")+(O58="N/A")+(R58="N/A")+(U58="N/A")+(X58="N/A"))&gt;0),"REVISAR","")</f>
        <v/>
      </c>
    </row>
    <row r="59">
      <c r="A59" s="24">
        <f>CRITERIOS!B47</f>
        <v/>
      </c>
      <c r="B59" s="24">
        <f>CRITERIOS!C47</f>
        <v/>
      </c>
      <c r="C59" s="25">
        <f>CRITERIOS!D47</f>
        <v/>
      </c>
      <c r="D59" s="24">
        <f>CRITERIOS!E47</f>
        <v/>
      </c>
      <c r="E59" s="24">
        <f>IFERROR(IF(AND(OR(CRITERIOS!F47="Todos",CRITERIOS!F47=$B$4),INDEX(CRITERIOS!H47:J47,MATCH($B$5,VARIABLES!$E$2:$E$4,0))=1),1,0),0)</f>
        <v/>
      </c>
      <c r="F59" s="24">
        <f>IFERROR(IF(E59=1,INDEX(CRITERIOS!K47:M47,MATCH($B$5,VARIABLES!$E$2:$E$4,0)),0),0)</f>
        <v/>
      </c>
      <c r="G59" s="24">
        <f>IF(CRITERIOS!N47="","",CRITERIOS!N47)</f>
        <v/>
      </c>
      <c r="H59" s="24">
        <f>IF(CRITERIOS!O47="","",CRITERIOS!O47)</f>
        <v/>
      </c>
      <c r="I59" s="21" t="n"/>
      <c r="J59" s="22">
        <f>IF(OR($E59=0,I$78=0),0,IF(AND(I59="N/A",$G59&lt;&gt;""),0,$F59+SUMPRODUCT(($G$14:$G$71=$A59)*($E$14:$E$71=1)*(I$14:I$71="N/A")*$F$14:$F$71)))</f>
        <v/>
      </c>
      <c r="K59" s="22">
        <f>IF(I59="SI",J59,0)</f>
        <v/>
      </c>
      <c r="L59" s="21" t="n"/>
      <c r="M59" s="22">
        <f>IF(OR($E59=0,L$78=0),0,IF(AND(L59="N/A",$G59&lt;&gt;""),0,$F59+SUMPRODUCT(($G$14:$G$71=$A59)*($E$14:$E$71=1)*(L$14:L$71="N/A")*$F$14:$F$71)))</f>
        <v/>
      </c>
      <c r="N59" s="22">
        <f>IF(L59="SI",M59,0)</f>
        <v/>
      </c>
      <c r="O59" s="21" t="n"/>
      <c r="P59" s="22">
        <f>IF(OR($E59=0,O$78=0),0,IF(AND(O59="N/A",$G59&lt;&gt;""),0,$F59+SUMPRODUCT(($G$14:$G$71=$A59)*($E$14:$E$71=1)*(O$14:O$71="N/A")*$F$14:$F$71)))</f>
        <v/>
      </c>
      <c r="Q59" s="22">
        <f>IF(O59="SI",P59,0)</f>
        <v/>
      </c>
      <c r="R59" s="21" t="n"/>
      <c r="S59" s="22">
        <f>IF(OR($E59=0,R$78=0),0,IF(AND(R59="N/A",$G59&lt;&gt;""),0,$F59+SUMPRODUCT(($G$14:$G$71=$A59)*($E$14:$E$71=1)*(R$14:R$71="N/A")*$F$14:$F$71)))</f>
        <v/>
      </c>
      <c r="T59" s="22">
        <f>IF(R59="SI",S59,0)</f>
        <v/>
      </c>
      <c r="U59" s="21" t="n"/>
      <c r="V59" s="22">
        <f>IF(OR($E59=0,U$78=0),0,IF(AND(U59="N/A",$G59&lt;&gt;""),0,$F59+SUMPRODUCT(($G$14:$G$71=$A59)*($E$14:$E$71=1)*(U$14:U$71="N/A")*$F$14:$F$71)))</f>
        <v/>
      </c>
      <c r="W59" s="22">
        <f>IF(U59="SI",V59,0)</f>
        <v/>
      </c>
      <c r="X59" s="21" t="n"/>
      <c r="Y59" s="22">
        <f>IF(OR($E59=0,X$78=0),0,IF(AND(X59="N/A",$G59&lt;&gt;""),0,$F59+SUMPRODUCT(($G$14:$G$71=$A59)*($E$14:$E$71=1)*(X$14:X$71="N/A")*$F$14:$F$71)))</f>
        <v/>
      </c>
      <c r="Z59" s="22">
        <f>IF(X59="SI",Y59,0)</f>
        <v/>
      </c>
      <c r="AA59" s="22">
        <f>SUM(J59,M59,P59,S59,V59,Y59)</f>
        <v/>
      </c>
      <c r="AB59" s="22">
        <f>SUM(K59,N59,Q59,T59,W59,Z59)</f>
        <v/>
      </c>
      <c r="AC59" s="23">
        <f>IF(AA59=0,"",AB59/AA59)</f>
        <v/>
      </c>
      <c r="AD59" s="22">
        <f>CRITERIOS!Q47</f>
        <v/>
      </c>
      <c r="AE59" s="22">
        <f>IF(AND(E59=1,H59&lt;&gt;"X",((I59="N/A")+(L59="N/A")+(O59="N/A")+(R59="N/A")+(U59="N/A")+(X59="N/A"))&gt;0),"REVISAR","")</f>
        <v/>
      </c>
    </row>
    <row r="60">
      <c r="A60" s="24">
        <f>CRITERIOS!B48</f>
        <v/>
      </c>
      <c r="B60" s="24">
        <f>CRITERIOS!C48</f>
        <v/>
      </c>
      <c r="C60" s="25">
        <f>CRITERIOS!D48</f>
        <v/>
      </c>
      <c r="D60" s="24">
        <f>CRITERIOS!E48</f>
        <v/>
      </c>
      <c r="E60" s="24">
        <f>IFERROR(IF(AND(OR(CRITERIOS!F48="Todos",CRITERIOS!F48=$B$4),INDEX(CRITERIOS!H48:J48,MATCH($B$5,VARIABLES!$E$2:$E$4,0))=1),1,0),0)</f>
        <v/>
      </c>
      <c r="F60" s="24">
        <f>IFERROR(IF(E60=1,INDEX(CRITERIOS!K48:M48,MATCH($B$5,VARIABLES!$E$2:$E$4,0)),0),0)</f>
        <v/>
      </c>
      <c r="G60" s="24">
        <f>IF(CRITERIOS!N48="","",CRITERIOS!N48)</f>
        <v/>
      </c>
      <c r="H60" s="24">
        <f>IF(CRITERIOS!O48="","",CRITERIOS!O48)</f>
        <v/>
      </c>
      <c r="I60" s="21" t="n"/>
      <c r="J60" s="22">
        <f>IF(OR($E60=0,I$78=0),0,IF(AND(I60="N/A",$G60&lt;&gt;""),0,$F60+SUMPRODUCT(($G$14:$G$71=$A60)*($E$14:$E$71=1)*(I$14:I$71="N/A")*$F$14:$F$71)))</f>
        <v/>
      </c>
      <c r="K60" s="22">
        <f>IF(I60="SI",J60,0)</f>
        <v/>
      </c>
      <c r="L60" s="21" t="n"/>
      <c r="M60" s="22">
        <f>IF(OR($E60=0,L$78=0),0,IF(AND(L60="N/A",$G60&lt;&gt;""),0,$F60+SUMPRODUCT(($G$14:$G$71=$A60)*($E$14:$E$71=1)*(L$14:L$71="N/A")*$F$14:$F$71)))</f>
        <v/>
      </c>
      <c r="N60" s="22">
        <f>IF(L60="SI",M60,0)</f>
        <v/>
      </c>
      <c r="O60" s="21" t="n"/>
      <c r="P60" s="22">
        <f>IF(OR($E60=0,O$78=0),0,IF(AND(O60="N/A",$G60&lt;&gt;""),0,$F60+SUMPRODUCT(($G$14:$G$71=$A60)*($E$14:$E$71=1)*(O$14:O$71="N/A")*$F$14:$F$71)))</f>
        <v/>
      </c>
      <c r="Q60" s="22">
        <f>IF(O60="SI",P60,0)</f>
        <v/>
      </c>
      <c r="R60" s="21" t="n"/>
      <c r="S60" s="22">
        <f>IF(OR($E60=0,R$78=0),0,IF(AND(R60="N/A",$G60&lt;&gt;""),0,$F60+SUMPRODUCT(($G$14:$G$71=$A60)*($E$14:$E$71=1)*(R$14:R$71="N/A")*$F$14:$F$71)))</f>
        <v/>
      </c>
      <c r="T60" s="22">
        <f>IF(R60="SI",S60,0)</f>
        <v/>
      </c>
      <c r="U60" s="21" t="n"/>
      <c r="V60" s="22">
        <f>IF(OR($E60=0,U$78=0),0,IF(AND(U60="N/A",$G60&lt;&gt;""),0,$F60+SUMPRODUCT(($G$14:$G$71=$A60)*($E$14:$E$71=1)*(U$14:U$71="N/A")*$F$14:$F$71)))</f>
        <v/>
      </c>
      <c r="W60" s="22">
        <f>IF(U60="SI",V60,0)</f>
        <v/>
      </c>
      <c r="X60" s="21" t="n"/>
      <c r="Y60" s="22">
        <f>IF(OR($E60=0,X$78=0),0,IF(AND(X60="N/A",$G60&lt;&gt;""),0,$F60+SUMPRODUCT(($G$14:$G$71=$A60)*($E$14:$E$71=1)*(X$14:X$71="N/A")*$F$14:$F$71)))</f>
        <v/>
      </c>
      <c r="Z60" s="22">
        <f>IF(X60="SI",Y60,0)</f>
        <v/>
      </c>
      <c r="AA60" s="22">
        <f>SUM(J60,M60,P60,S60,V60,Y60)</f>
        <v/>
      </c>
      <c r="AB60" s="22">
        <f>SUM(K60,N60,Q60,T60,W60,Z60)</f>
        <v/>
      </c>
      <c r="AC60" s="23">
        <f>IF(AA60=0,"",AB60/AA60)</f>
        <v/>
      </c>
      <c r="AD60" s="22">
        <f>CRITERIOS!Q48</f>
        <v/>
      </c>
      <c r="AE60" s="22">
        <f>IF(AND(E60=1,H60&lt;&gt;"X",((I60="N/A")+(L60="N/A")+(O60="N/A")+(R60="N/A")+(U60="N/A")+(X60="N/A"))&gt;0),"REVISAR","")</f>
        <v/>
      </c>
    </row>
    <row r="61">
      <c r="A61" s="22">
        <f>CRITERIOS!B49</f>
        <v/>
      </c>
      <c r="B61" s="22">
        <f>CRITERIOS!C49</f>
        <v/>
      </c>
      <c r="C61" s="8">
        <f>CRITERIOS!D49</f>
        <v/>
      </c>
      <c r="D61" s="22">
        <f>CRITERIOS!E49</f>
        <v/>
      </c>
      <c r="E61" s="22">
        <f>IFERROR(IF(AND(OR(CRITERIOS!F49="Todos",CRITERIOS!F49=$B$4),INDEX(CRITERIOS!H49:J49,MATCH($B$5,VARIABLES!$E$2:$E$4,0))=1),1,0),0)</f>
        <v/>
      </c>
      <c r="F61" s="22">
        <f>IFERROR(IF(E61=1,INDEX(CRITERIOS!K49:M49,MATCH($B$5,VARIABLES!$E$2:$E$4,0)),0),0)</f>
        <v/>
      </c>
      <c r="G61" s="22">
        <f>IF(CRITERIOS!N49="","",CRITERIOS!N49)</f>
        <v/>
      </c>
      <c r="H61" s="22">
        <f>IF(CRITERIOS!O49="","",CRITERIOS!O49)</f>
        <v/>
      </c>
      <c r="I61" s="21" t="n"/>
      <c r="J61" s="22">
        <f>IF(OR($E61=0,I$78=0),0,IF(AND(I61="N/A",$G61&lt;&gt;""),0,$F61+SUMPRODUCT(($G$14:$G$71=$A61)*($E$14:$E$71=1)*(I$14:I$71="N/A")*$F$14:$F$71)))</f>
        <v/>
      </c>
      <c r="K61" s="22">
        <f>IF(I61="SI",J61,0)</f>
        <v/>
      </c>
      <c r="L61" s="21" t="n"/>
      <c r="M61" s="22">
        <f>IF(OR($E61=0,L$78=0),0,IF(AND(L61="N/A",$G61&lt;&gt;""),0,$F61+SUMPRODUCT(($G$14:$G$71=$A61)*($E$14:$E$71=1)*(L$14:L$71="N/A")*$F$14:$F$71)))</f>
        <v/>
      </c>
      <c r="N61" s="22">
        <f>IF(L61="SI",M61,0)</f>
        <v/>
      </c>
      <c r="O61" s="21" t="n"/>
      <c r="P61" s="22">
        <f>IF(OR($E61=0,O$78=0),0,IF(AND(O61="N/A",$G61&lt;&gt;""),0,$F61+SUMPRODUCT(($G$14:$G$71=$A61)*($E$14:$E$71=1)*(O$14:O$71="N/A")*$F$14:$F$71)))</f>
        <v/>
      </c>
      <c r="Q61" s="22">
        <f>IF(O61="SI",P61,0)</f>
        <v/>
      </c>
      <c r="R61" s="21" t="n"/>
      <c r="S61" s="22">
        <f>IF(OR($E61=0,R$78=0),0,IF(AND(R61="N/A",$G61&lt;&gt;""),0,$F61+SUMPRODUCT(($G$14:$G$71=$A61)*($E$14:$E$71=1)*(R$14:R$71="N/A")*$F$14:$F$71)))</f>
        <v/>
      </c>
      <c r="T61" s="22">
        <f>IF(R61="SI",S61,0)</f>
        <v/>
      </c>
      <c r="U61" s="21" t="n"/>
      <c r="V61" s="22">
        <f>IF(OR($E61=0,U$78=0),0,IF(AND(U61="N/A",$G61&lt;&gt;""),0,$F61+SUMPRODUCT(($G$14:$G$71=$A61)*($E$14:$E$71=1)*(U$14:U$71="N/A")*$F$14:$F$71)))</f>
        <v/>
      </c>
      <c r="W61" s="22">
        <f>IF(U61="SI",V61,0)</f>
        <v/>
      </c>
      <c r="X61" s="21" t="n"/>
      <c r="Y61" s="22">
        <f>IF(OR($E61=0,X$78=0),0,IF(AND(X61="N/A",$G61&lt;&gt;""),0,$F61+SUMPRODUCT(($G$14:$G$71=$A61)*($E$14:$E$71=1)*(X$14:X$71="N/A")*$F$14:$F$71)))</f>
        <v/>
      </c>
      <c r="Z61" s="22">
        <f>IF(X61="SI",Y61,0)</f>
        <v/>
      </c>
      <c r="AA61" s="22">
        <f>SUM(J61,M61,P61,S61,V61,Y61)</f>
        <v/>
      </c>
      <c r="AB61" s="22">
        <f>SUM(K61,N61,Q61,T61,W61,Z61)</f>
        <v/>
      </c>
      <c r="AC61" s="23">
        <f>IF(AA61=0,"",AB61/AA61)</f>
        <v/>
      </c>
      <c r="AD61" s="22">
        <f>CRITERIOS!Q49</f>
        <v/>
      </c>
      <c r="AE61" s="22">
        <f>IF(AND(E61=1,H61&lt;&gt;"X",((I61="N/A")+(L61="N/A")+(O61="N/A")+(R61="N/A")+(U61="N/A")+(X61="N/A"))&gt;0),"REVISAR","")</f>
        <v/>
      </c>
    </row>
    <row r="62">
      <c r="A62" s="24">
        <f>CRITERIOS!B50</f>
        <v/>
      </c>
      <c r="B62" s="24">
        <f>CRITERIOS!C50</f>
        <v/>
      </c>
      <c r="C62" s="25">
        <f>CRITERIOS!D50</f>
        <v/>
      </c>
      <c r="D62" s="24">
        <f>CRITERIOS!E50</f>
        <v/>
      </c>
      <c r="E62" s="24">
        <f>IFERROR(IF(AND(OR(CRITERIOS!F50="Todos",CRITERIOS!F50=$B$4),INDEX(CRITERIOS!H50:J50,MATCH($B$5,VARIABLES!$E$2:$E$4,0))=1),1,0),0)</f>
        <v/>
      </c>
      <c r="F62" s="24">
        <f>IFERROR(IF(E62=1,INDEX(CRITERIOS!K50:M50,MATCH($B$5,VARIABLES!$E$2:$E$4,0)),0),0)</f>
        <v/>
      </c>
      <c r="G62" s="24">
        <f>IF(CRITERIOS!N50="","",CRITERIOS!N50)</f>
        <v/>
      </c>
      <c r="H62" s="24">
        <f>IF(CRITERIOS!O50="","",CRITERIOS!O50)</f>
        <v/>
      </c>
      <c r="I62" s="21" t="n"/>
      <c r="J62" s="22">
        <f>IF(OR($E62=0,I$78=0),0,IF(AND(I62="N/A",$G62&lt;&gt;""),0,$F62+SUMPRODUCT(($G$14:$G$71=$A62)*($E$14:$E$71=1)*(I$14:I$71="N/A")*$F$14:$F$71)))</f>
        <v/>
      </c>
      <c r="K62" s="22">
        <f>IF(I62="SI",J62,0)</f>
        <v/>
      </c>
      <c r="L62" s="21" t="n"/>
      <c r="M62" s="22">
        <f>IF(OR($E62=0,L$78=0),0,IF(AND(L62="N/A",$G62&lt;&gt;""),0,$F62+SUMPRODUCT(($G$14:$G$71=$A62)*($E$14:$E$71=1)*(L$14:L$71="N/A")*$F$14:$F$71)))</f>
        <v/>
      </c>
      <c r="N62" s="22">
        <f>IF(L62="SI",M62,0)</f>
        <v/>
      </c>
      <c r="O62" s="21" t="n"/>
      <c r="P62" s="22">
        <f>IF(OR($E62=0,O$78=0),0,IF(AND(O62="N/A",$G62&lt;&gt;""),0,$F62+SUMPRODUCT(($G$14:$G$71=$A62)*($E$14:$E$71=1)*(O$14:O$71="N/A")*$F$14:$F$71)))</f>
        <v/>
      </c>
      <c r="Q62" s="22">
        <f>IF(O62="SI",P62,0)</f>
        <v/>
      </c>
      <c r="R62" s="21" t="n"/>
      <c r="S62" s="22">
        <f>IF(OR($E62=0,R$78=0),0,IF(AND(R62="N/A",$G62&lt;&gt;""),0,$F62+SUMPRODUCT(($G$14:$G$71=$A62)*($E$14:$E$71=1)*(R$14:R$71="N/A")*$F$14:$F$71)))</f>
        <v/>
      </c>
      <c r="T62" s="22">
        <f>IF(R62="SI",S62,0)</f>
        <v/>
      </c>
      <c r="U62" s="21" t="n"/>
      <c r="V62" s="22">
        <f>IF(OR($E62=0,U$78=0),0,IF(AND(U62="N/A",$G62&lt;&gt;""),0,$F62+SUMPRODUCT(($G$14:$G$71=$A62)*($E$14:$E$71=1)*(U$14:U$71="N/A")*$F$14:$F$71)))</f>
        <v/>
      </c>
      <c r="W62" s="22">
        <f>IF(U62="SI",V62,0)</f>
        <v/>
      </c>
      <c r="X62" s="21" t="n"/>
      <c r="Y62" s="22">
        <f>IF(OR($E62=0,X$78=0),0,IF(AND(X62="N/A",$G62&lt;&gt;""),0,$F62+SUMPRODUCT(($G$14:$G$71=$A62)*($E$14:$E$71=1)*(X$14:X$71="N/A")*$F$14:$F$71)))</f>
        <v/>
      </c>
      <c r="Z62" s="22">
        <f>IF(X62="SI",Y62,0)</f>
        <v/>
      </c>
      <c r="AA62" s="22">
        <f>SUM(J62,M62,P62,S62,V62,Y62)</f>
        <v/>
      </c>
      <c r="AB62" s="22">
        <f>SUM(K62,N62,Q62,T62,W62,Z62)</f>
        <v/>
      </c>
      <c r="AC62" s="23">
        <f>IF(AA62=0,"",AB62/AA62)</f>
        <v/>
      </c>
      <c r="AD62" s="22">
        <f>CRITERIOS!Q50</f>
        <v/>
      </c>
      <c r="AE62" s="22">
        <f>IF(AND(E62=1,H62&lt;&gt;"X",((I62="N/A")+(L62="N/A")+(O62="N/A")+(R62="N/A")+(U62="N/A")+(X62="N/A"))&gt;0),"REVISAR","")</f>
        <v/>
      </c>
    </row>
    <row r="63">
      <c r="A63" s="24">
        <f>CRITERIOS!B51</f>
        <v/>
      </c>
      <c r="B63" s="24">
        <f>CRITERIOS!C51</f>
        <v/>
      </c>
      <c r="C63" s="25">
        <f>CRITERIOS!D51</f>
        <v/>
      </c>
      <c r="D63" s="24">
        <f>CRITERIOS!E51</f>
        <v/>
      </c>
      <c r="E63" s="24">
        <f>IFERROR(IF(AND(OR(CRITERIOS!F51="Todos",CRITERIOS!F51=$B$4),INDEX(CRITERIOS!H51:J51,MATCH($B$5,VARIABLES!$E$2:$E$4,0))=1),1,0),0)</f>
        <v/>
      </c>
      <c r="F63" s="24">
        <f>IFERROR(IF(E63=1,INDEX(CRITERIOS!K51:M51,MATCH($B$5,VARIABLES!$E$2:$E$4,0)),0),0)</f>
        <v/>
      </c>
      <c r="G63" s="24">
        <f>IF(CRITERIOS!N51="","",CRITERIOS!N51)</f>
        <v/>
      </c>
      <c r="H63" s="24">
        <f>IF(CRITERIOS!O51="","",CRITERIOS!O51)</f>
        <v/>
      </c>
      <c r="I63" s="21" t="n"/>
      <c r="J63" s="22">
        <f>IF(OR($E63=0,I$78=0),0,IF(AND(I63="N/A",$G63&lt;&gt;""),0,$F63+SUMPRODUCT(($G$14:$G$71=$A63)*($E$14:$E$71=1)*(I$14:I$71="N/A")*$F$14:$F$71)))</f>
        <v/>
      </c>
      <c r="K63" s="22">
        <f>IF(I63="SI",J63,0)</f>
        <v/>
      </c>
      <c r="L63" s="21" t="n"/>
      <c r="M63" s="22">
        <f>IF(OR($E63=0,L$78=0),0,IF(AND(L63="N/A",$G63&lt;&gt;""),0,$F63+SUMPRODUCT(($G$14:$G$71=$A63)*($E$14:$E$71=1)*(L$14:L$71="N/A")*$F$14:$F$71)))</f>
        <v/>
      </c>
      <c r="N63" s="22">
        <f>IF(L63="SI",M63,0)</f>
        <v/>
      </c>
      <c r="O63" s="21" t="n"/>
      <c r="P63" s="22">
        <f>IF(OR($E63=0,O$78=0),0,IF(AND(O63="N/A",$G63&lt;&gt;""),0,$F63+SUMPRODUCT(($G$14:$G$71=$A63)*($E$14:$E$71=1)*(O$14:O$71="N/A")*$F$14:$F$71)))</f>
        <v/>
      </c>
      <c r="Q63" s="22">
        <f>IF(O63="SI",P63,0)</f>
        <v/>
      </c>
      <c r="R63" s="21" t="n"/>
      <c r="S63" s="22">
        <f>IF(OR($E63=0,R$78=0),0,IF(AND(R63="N/A",$G63&lt;&gt;""),0,$F63+SUMPRODUCT(($G$14:$G$71=$A63)*($E$14:$E$71=1)*(R$14:R$71="N/A")*$F$14:$F$71)))</f>
        <v/>
      </c>
      <c r="T63" s="22">
        <f>IF(R63="SI",S63,0)</f>
        <v/>
      </c>
      <c r="U63" s="21" t="n"/>
      <c r="V63" s="22">
        <f>IF(OR($E63=0,U$78=0),0,IF(AND(U63="N/A",$G63&lt;&gt;""),0,$F63+SUMPRODUCT(($G$14:$G$71=$A63)*($E$14:$E$71=1)*(U$14:U$71="N/A")*$F$14:$F$71)))</f>
        <v/>
      </c>
      <c r="W63" s="22">
        <f>IF(U63="SI",V63,0)</f>
        <v/>
      </c>
      <c r="X63" s="21" t="n"/>
      <c r="Y63" s="22">
        <f>IF(OR($E63=0,X$78=0),0,IF(AND(X63="N/A",$G63&lt;&gt;""),0,$F63+SUMPRODUCT(($G$14:$G$71=$A63)*($E$14:$E$71=1)*(X$14:X$71="N/A")*$F$14:$F$71)))</f>
        <v/>
      </c>
      <c r="Z63" s="22">
        <f>IF(X63="SI",Y63,0)</f>
        <v/>
      </c>
      <c r="AA63" s="22">
        <f>SUM(J63,M63,P63,S63,V63,Y63)</f>
        <v/>
      </c>
      <c r="AB63" s="22">
        <f>SUM(K63,N63,Q63,T63,W63,Z63)</f>
        <v/>
      </c>
      <c r="AC63" s="23">
        <f>IF(AA63=0,"",AB63/AA63)</f>
        <v/>
      </c>
      <c r="AD63" s="22">
        <f>CRITERIOS!Q51</f>
        <v/>
      </c>
      <c r="AE63" s="22">
        <f>IF(AND(E63=1,H63&lt;&gt;"X",((I63="N/A")+(L63="N/A")+(O63="N/A")+(R63="N/A")+(U63="N/A")+(X63="N/A"))&gt;0),"REVISAR","")</f>
        <v/>
      </c>
    </row>
    <row r="64">
      <c r="A64" s="22">
        <f>CRITERIOS!B52</f>
        <v/>
      </c>
      <c r="B64" s="22">
        <f>CRITERIOS!C52</f>
        <v/>
      </c>
      <c r="C64" s="8">
        <f>CRITERIOS!D52</f>
        <v/>
      </c>
      <c r="D64" s="22">
        <f>CRITERIOS!E52</f>
        <v/>
      </c>
      <c r="E64" s="22">
        <f>IFERROR(IF(AND(OR(CRITERIOS!F52="Todos",CRITERIOS!F52=$B$4),INDEX(CRITERIOS!H52:J52,MATCH($B$5,VARIABLES!$E$2:$E$4,0))=1),1,0),0)</f>
        <v/>
      </c>
      <c r="F64" s="22">
        <f>IFERROR(IF(E64=1,INDEX(CRITERIOS!K52:M52,MATCH($B$5,VARIABLES!$E$2:$E$4,0)),0),0)</f>
        <v/>
      </c>
      <c r="G64" s="22">
        <f>IF(CRITERIOS!N52="","",CRITERIOS!N52)</f>
        <v/>
      </c>
      <c r="H64" s="22">
        <f>IF(CRITERIOS!O52="","",CRITERIOS!O52)</f>
        <v/>
      </c>
      <c r="I64" s="21" t="n"/>
      <c r="J64" s="22">
        <f>IF(OR($E64=0,I$78=0),0,IF(AND(I64="N/A",$G64&lt;&gt;""),0,$F64+SUMPRODUCT(($G$14:$G$71=$A64)*($E$14:$E$71=1)*(I$14:I$71="N/A")*$F$14:$F$71)))</f>
        <v/>
      </c>
      <c r="K64" s="22">
        <f>IF(I64="SI",J64,0)</f>
        <v/>
      </c>
      <c r="L64" s="21" t="n"/>
      <c r="M64" s="22">
        <f>IF(OR($E64=0,L$78=0),0,IF(AND(L64="N/A",$G64&lt;&gt;""),0,$F64+SUMPRODUCT(($G$14:$G$71=$A64)*($E$14:$E$71=1)*(L$14:L$71="N/A")*$F$14:$F$71)))</f>
        <v/>
      </c>
      <c r="N64" s="22">
        <f>IF(L64="SI",M64,0)</f>
        <v/>
      </c>
      <c r="O64" s="21" t="n"/>
      <c r="P64" s="22">
        <f>IF(OR($E64=0,O$78=0),0,IF(AND(O64="N/A",$G64&lt;&gt;""),0,$F64+SUMPRODUCT(($G$14:$G$71=$A64)*($E$14:$E$71=1)*(O$14:O$71="N/A")*$F$14:$F$71)))</f>
        <v/>
      </c>
      <c r="Q64" s="22">
        <f>IF(O64="SI",P64,0)</f>
        <v/>
      </c>
      <c r="R64" s="21" t="n"/>
      <c r="S64" s="22">
        <f>IF(OR($E64=0,R$78=0),0,IF(AND(R64="N/A",$G64&lt;&gt;""),0,$F64+SUMPRODUCT(($G$14:$G$71=$A64)*($E$14:$E$71=1)*(R$14:R$71="N/A")*$F$14:$F$71)))</f>
        <v/>
      </c>
      <c r="T64" s="22">
        <f>IF(R64="SI",S64,0)</f>
        <v/>
      </c>
      <c r="U64" s="21" t="n"/>
      <c r="V64" s="22">
        <f>IF(OR($E64=0,U$78=0),0,IF(AND(U64="N/A",$G64&lt;&gt;""),0,$F64+SUMPRODUCT(($G$14:$G$71=$A64)*($E$14:$E$71=1)*(U$14:U$71="N/A")*$F$14:$F$71)))</f>
        <v/>
      </c>
      <c r="W64" s="22">
        <f>IF(U64="SI",V64,0)</f>
        <v/>
      </c>
      <c r="X64" s="21" t="n"/>
      <c r="Y64" s="22">
        <f>IF(OR($E64=0,X$78=0),0,IF(AND(X64="N/A",$G64&lt;&gt;""),0,$F64+SUMPRODUCT(($G$14:$G$71=$A64)*($E$14:$E$71=1)*(X$14:X$71="N/A")*$F$14:$F$71)))</f>
        <v/>
      </c>
      <c r="Z64" s="22">
        <f>IF(X64="SI",Y64,0)</f>
        <v/>
      </c>
      <c r="AA64" s="22">
        <f>SUM(J64,M64,P64,S64,V64,Y64)</f>
        <v/>
      </c>
      <c r="AB64" s="22">
        <f>SUM(K64,N64,Q64,T64,W64,Z64)</f>
        <v/>
      </c>
      <c r="AC64" s="23">
        <f>IF(AA64=0,"",AB64/AA64)</f>
        <v/>
      </c>
      <c r="AD64" s="22">
        <f>CRITERIOS!Q52</f>
        <v/>
      </c>
      <c r="AE64" s="22">
        <f>IF(AND(E64=1,H64&lt;&gt;"X",((I64="N/A")+(L64="N/A")+(O64="N/A")+(R64="N/A")+(U64="N/A")+(X64="N/A"))&gt;0),"REVISAR","")</f>
        <v/>
      </c>
    </row>
    <row r="65">
      <c r="A65" s="24">
        <f>CRITERIOS!B53</f>
        <v/>
      </c>
      <c r="B65" s="24">
        <f>CRITERIOS!C53</f>
        <v/>
      </c>
      <c r="C65" s="25">
        <f>CRITERIOS!D53</f>
        <v/>
      </c>
      <c r="D65" s="24">
        <f>CRITERIOS!E53</f>
        <v/>
      </c>
      <c r="E65" s="24">
        <f>IFERROR(IF(AND(OR(CRITERIOS!F53="Todos",CRITERIOS!F53=$B$4),INDEX(CRITERIOS!H53:J53,MATCH($B$5,VARIABLES!$E$2:$E$4,0))=1),1,0),0)</f>
        <v/>
      </c>
      <c r="F65" s="24">
        <f>IFERROR(IF(E65=1,INDEX(CRITERIOS!K53:M53,MATCH($B$5,VARIABLES!$E$2:$E$4,0)),0),0)</f>
        <v/>
      </c>
      <c r="G65" s="24">
        <f>IF(CRITERIOS!N53="","",CRITERIOS!N53)</f>
        <v/>
      </c>
      <c r="H65" s="24">
        <f>IF(CRITERIOS!O53="","",CRITERIOS!O53)</f>
        <v/>
      </c>
      <c r="I65" s="21" t="n"/>
      <c r="J65" s="22">
        <f>IF(OR($E65=0,I$78=0),0,IF(AND(I65="N/A",$G65&lt;&gt;""),0,$F65+SUMPRODUCT(($G$14:$G$71=$A65)*($E$14:$E$71=1)*(I$14:I$71="N/A")*$F$14:$F$71)))</f>
        <v/>
      </c>
      <c r="K65" s="22">
        <f>IF(I65="SI",J65,0)</f>
        <v/>
      </c>
      <c r="L65" s="21" t="n"/>
      <c r="M65" s="22">
        <f>IF(OR($E65=0,L$78=0),0,IF(AND(L65="N/A",$G65&lt;&gt;""),0,$F65+SUMPRODUCT(($G$14:$G$71=$A65)*($E$14:$E$71=1)*(L$14:L$71="N/A")*$F$14:$F$71)))</f>
        <v/>
      </c>
      <c r="N65" s="22">
        <f>IF(L65="SI",M65,0)</f>
        <v/>
      </c>
      <c r="O65" s="21" t="n"/>
      <c r="P65" s="22">
        <f>IF(OR($E65=0,O$78=0),0,IF(AND(O65="N/A",$G65&lt;&gt;""),0,$F65+SUMPRODUCT(($G$14:$G$71=$A65)*($E$14:$E$71=1)*(O$14:O$71="N/A")*$F$14:$F$71)))</f>
        <v/>
      </c>
      <c r="Q65" s="22">
        <f>IF(O65="SI",P65,0)</f>
        <v/>
      </c>
      <c r="R65" s="21" t="n"/>
      <c r="S65" s="22">
        <f>IF(OR($E65=0,R$78=0),0,IF(AND(R65="N/A",$G65&lt;&gt;""),0,$F65+SUMPRODUCT(($G$14:$G$71=$A65)*($E$14:$E$71=1)*(R$14:R$71="N/A")*$F$14:$F$71)))</f>
        <v/>
      </c>
      <c r="T65" s="22">
        <f>IF(R65="SI",S65,0)</f>
        <v/>
      </c>
      <c r="U65" s="21" t="n"/>
      <c r="V65" s="22">
        <f>IF(OR($E65=0,U$78=0),0,IF(AND(U65="N/A",$G65&lt;&gt;""),0,$F65+SUMPRODUCT(($G$14:$G$71=$A65)*($E$14:$E$71=1)*(U$14:U$71="N/A")*$F$14:$F$71)))</f>
        <v/>
      </c>
      <c r="W65" s="22">
        <f>IF(U65="SI",V65,0)</f>
        <v/>
      </c>
      <c r="X65" s="21" t="n"/>
      <c r="Y65" s="22">
        <f>IF(OR($E65=0,X$78=0),0,IF(AND(X65="N/A",$G65&lt;&gt;""),0,$F65+SUMPRODUCT(($G$14:$G$71=$A65)*($E$14:$E$71=1)*(X$14:X$71="N/A")*$F$14:$F$71)))</f>
        <v/>
      </c>
      <c r="Z65" s="22">
        <f>IF(X65="SI",Y65,0)</f>
        <v/>
      </c>
      <c r="AA65" s="22">
        <f>SUM(J65,M65,P65,S65,V65,Y65)</f>
        <v/>
      </c>
      <c r="AB65" s="22">
        <f>SUM(K65,N65,Q65,T65,W65,Z65)</f>
        <v/>
      </c>
      <c r="AC65" s="23">
        <f>IF(AA65=0,"",AB65/AA65)</f>
        <v/>
      </c>
      <c r="AD65" s="22">
        <f>CRITERIOS!Q53</f>
        <v/>
      </c>
      <c r="AE65" s="22">
        <f>IF(AND(E65=1,H65&lt;&gt;"X",((I65="N/A")+(L65="N/A")+(O65="N/A")+(R65="N/A")+(U65="N/A")+(X65="N/A"))&gt;0),"REVISAR","")</f>
        <v/>
      </c>
    </row>
    <row r="66">
      <c r="A66" s="24">
        <f>CRITERIOS!B54</f>
        <v/>
      </c>
      <c r="B66" s="24">
        <f>CRITERIOS!C54</f>
        <v/>
      </c>
      <c r="C66" s="25">
        <f>CRITERIOS!D54</f>
        <v/>
      </c>
      <c r="D66" s="24">
        <f>CRITERIOS!E54</f>
        <v/>
      </c>
      <c r="E66" s="24">
        <f>IFERROR(IF(AND(OR(CRITERIOS!F54="Todos",CRITERIOS!F54=$B$4),INDEX(CRITERIOS!H54:J54,MATCH($B$5,VARIABLES!$E$2:$E$4,0))=1),1,0),0)</f>
        <v/>
      </c>
      <c r="F66" s="24">
        <f>IFERROR(IF(E66=1,INDEX(CRITERIOS!K54:M54,MATCH($B$5,VARIABLES!$E$2:$E$4,0)),0),0)</f>
        <v/>
      </c>
      <c r="G66" s="24">
        <f>IF(CRITERIOS!N54="","",CRITERIOS!N54)</f>
        <v/>
      </c>
      <c r="H66" s="24">
        <f>IF(CRITERIOS!O54="","",CRITERIOS!O54)</f>
        <v/>
      </c>
      <c r="I66" s="21" t="n"/>
      <c r="J66" s="22">
        <f>IF(OR($E66=0,I$78=0),0,IF(AND(I66="N/A",$G66&lt;&gt;""),0,$F66+SUMPRODUCT(($G$14:$G$71=$A66)*($E$14:$E$71=1)*(I$14:I$71="N/A")*$F$14:$F$71)))</f>
        <v/>
      </c>
      <c r="K66" s="22">
        <f>IF(I66="SI",J66,0)</f>
        <v/>
      </c>
      <c r="L66" s="21" t="n"/>
      <c r="M66" s="22">
        <f>IF(OR($E66=0,L$78=0),0,IF(AND(L66="N/A",$G66&lt;&gt;""),0,$F66+SUMPRODUCT(($G$14:$G$71=$A66)*($E$14:$E$71=1)*(L$14:L$71="N/A")*$F$14:$F$71)))</f>
        <v/>
      </c>
      <c r="N66" s="22">
        <f>IF(L66="SI",M66,0)</f>
        <v/>
      </c>
      <c r="O66" s="21" t="n"/>
      <c r="P66" s="22">
        <f>IF(OR($E66=0,O$78=0),0,IF(AND(O66="N/A",$G66&lt;&gt;""),0,$F66+SUMPRODUCT(($G$14:$G$71=$A66)*($E$14:$E$71=1)*(O$14:O$71="N/A")*$F$14:$F$71)))</f>
        <v/>
      </c>
      <c r="Q66" s="22">
        <f>IF(O66="SI",P66,0)</f>
        <v/>
      </c>
      <c r="R66" s="21" t="n"/>
      <c r="S66" s="22">
        <f>IF(OR($E66=0,R$78=0),0,IF(AND(R66="N/A",$G66&lt;&gt;""),0,$F66+SUMPRODUCT(($G$14:$G$71=$A66)*($E$14:$E$71=1)*(R$14:R$71="N/A")*$F$14:$F$71)))</f>
        <v/>
      </c>
      <c r="T66" s="22">
        <f>IF(R66="SI",S66,0)</f>
        <v/>
      </c>
      <c r="U66" s="21" t="n"/>
      <c r="V66" s="22">
        <f>IF(OR($E66=0,U$78=0),0,IF(AND(U66="N/A",$G66&lt;&gt;""),0,$F66+SUMPRODUCT(($G$14:$G$71=$A66)*($E$14:$E$71=1)*(U$14:U$71="N/A")*$F$14:$F$71)))</f>
        <v/>
      </c>
      <c r="W66" s="22">
        <f>IF(U66="SI",V66,0)</f>
        <v/>
      </c>
      <c r="X66" s="21" t="n"/>
      <c r="Y66" s="22">
        <f>IF(OR($E66=0,X$78=0),0,IF(AND(X66="N/A",$G66&lt;&gt;""),0,$F66+SUMPRODUCT(($G$14:$G$71=$A66)*($E$14:$E$71=1)*(X$14:X$71="N/A")*$F$14:$F$71)))</f>
        <v/>
      </c>
      <c r="Z66" s="22">
        <f>IF(X66="SI",Y66,0)</f>
        <v/>
      </c>
      <c r="AA66" s="22">
        <f>SUM(J66,M66,P66,S66,V66,Y66)</f>
        <v/>
      </c>
      <c r="AB66" s="22">
        <f>SUM(K66,N66,Q66,T66,W66,Z66)</f>
        <v/>
      </c>
      <c r="AC66" s="23">
        <f>IF(AA66=0,"",AB66/AA66)</f>
        <v/>
      </c>
      <c r="AD66" s="22">
        <f>CRITERIOS!Q54</f>
        <v/>
      </c>
      <c r="AE66" s="22">
        <f>IF(AND(E66=1,H66&lt;&gt;"X",((I66="N/A")+(L66="N/A")+(O66="N/A")+(R66="N/A")+(U66="N/A")+(X66="N/A"))&gt;0),"REVISAR","")</f>
        <v/>
      </c>
    </row>
    <row r="67">
      <c r="A67" s="24">
        <f>CRITERIOS!B55</f>
        <v/>
      </c>
      <c r="B67" s="24">
        <f>CRITERIOS!C55</f>
        <v/>
      </c>
      <c r="C67" s="25">
        <f>CRITERIOS!D55</f>
        <v/>
      </c>
      <c r="D67" s="24">
        <f>CRITERIOS!E55</f>
        <v/>
      </c>
      <c r="E67" s="24">
        <f>IFERROR(IF(AND(OR(CRITERIOS!F55="Todos",CRITERIOS!F55=$B$4),INDEX(CRITERIOS!H55:J55,MATCH($B$5,VARIABLES!$E$2:$E$4,0))=1),1,0),0)</f>
        <v/>
      </c>
      <c r="F67" s="24">
        <f>IFERROR(IF(E67=1,INDEX(CRITERIOS!K55:M55,MATCH($B$5,VARIABLES!$E$2:$E$4,0)),0),0)</f>
        <v/>
      </c>
      <c r="G67" s="24">
        <f>IF(CRITERIOS!N55="","",CRITERIOS!N55)</f>
        <v/>
      </c>
      <c r="H67" s="24">
        <f>IF(CRITERIOS!O55="","",CRITERIOS!O55)</f>
        <v/>
      </c>
      <c r="I67" s="21" t="n"/>
      <c r="J67" s="22">
        <f>IF(OR($E67=0,I$78=0),0,IF(AND(I67="N/A",$G67&lt;&gt;""),0,$F67+SUMPRODUCT(($G$14:$G$71=$A67)*($E$14:$E$71=1)*(I$14:I$71="N/A")*$F$14:$F$71)))</f>
        <v/>
      </c>
      <c r="K67" s="22">
        <f>IF(I67="SI",J67,0)</f>
        <v/>
      </c>
      <c r="L67" s="21" t="n"/>
      <c r="M67" s="22">
        <f>IF(OR($E67=0,L$78=0),0,IF(AND(L67="N/A",$G67&lt;&gt;""),0,$F67+SUMPRODUCT(($G$14:$G$71=$A67)*($E$14:$E$71=1)*(L$14:L$71="N/A")*$F$14:$F$71)))</f>
        <v/>
      </c>
      <c r="N67" s="22">
        <f>IF(L67="SI",M67,0)</f>
        <v/>
      </c>
      <c r="O67" s="21" t="n"/>
      <c r="P67" s="22">
        <f>IF(OR($E67=0,O$78=0),0,IF(AND(O67="N/A",$G67&lt;&gt;""),0,$F67+SUMPRODUCT(($G$14:$G$71=$A67)*($E$14:$E$71=1)*(O$14:O$71="N/A")*$F$14:$F$71)))</f>
        <v/>
      </c>
      <c r="Q67" s="22">
        <f>IF(O67="SI",P67,0)</f>
        <v/>
      </c>
      <c r="R67" s="21" t="n"/>
      <c r="S67" s="22">
        <f>IF(OR($E67=0,R$78=0),0,IF(AND(R67="N/A",$G67&lt;&gt;""),0,$F67+SUMPRODUCT(($G$14:$G$71=$A67)*($E$14:$E$71=1)*(R$14:R$71="N/A")*$F$14:$F$71)))</f>
        <v/>
      </c>
      <c r="T67" s="22">
        <f>IF(R67="SI",S67,0)</f>
        <v/>
      </c>
      <c r="U67" s="21" t="n"/>
      <c r="V67" s="22">
        <f>IF(OR($E67=0,U$78=0),0,IF(AND(U67="N/A",$G67&lt;&gt;""),0,$F67+SUMPRODUCT(($G$14:$G$71=$A67)*($E$14:$E$71=1)*(U$14:U$71="N/A")*$F$14:$F$71)))</f>
        <v/>
      </c>
      <c r="W67" s="22">
        <f>IF(U67="SI",V67,0)</f>
        <v/>
      </c>
      <c r="X67" s="21" t="n"/>
      <c r="Y67" s="22">
        <f>IF(OR($E67=0,X$78=0),0,IF(AND(X67="N/A",$G67&lt;&gt;""),0,$F67+SUMPRODUCT(($G$14:$G$71=$A67)*($E$14:$E$71=1)*(X$14:X$71="N/A")*$F$14:$F$71)))</f>
        <v/>
      </c>
      <c r="Z67" s="22">
        <f>IF(X67="SI",Y67,0)</f>
        <v/>
      </c>
      <c r="AA67" s="22">
        <f>SUM(J67,M67,P67,S67,V67,Y67)</f>
        <v/>
      </c>
      <c r="AB67" s="22">
        <f>SUM(K67,N67,Q67,T67,W67,Z67)</f>
        <v/>
      </c>
      <c r="AC67" s="23">
        <f>IF(AA67=0,"",AB67/AA67)</f>
        <v/>
      </c>
      <c r="AD67" s="22">
        <f>CRITERIOS!Q55</f>
        <v/>
      </c>
      <c r="AE67" s="22">
        <f>IF(AND(E67=1,H67&lt;&gt;"X",((I67="N/A")+(L67="N/A")+(O67="N/A")+(R67="N/A")+(U67="N/A")+(X67="N/A"))&gt;0),"REVISAR","")</f>
        <v/>
      </c>
    </row>
    <row r="68">
      <c r="A68" s="24">
        <f>CRITERIOS!B56</f>
        <v/>
      </c>
      <c r="B68" s="24">
        <f>CRITERIOS!C56</f>
        <v/>
      </c>
      <c r="C68" s="25">
        <f>CRITERIOS!D56</f>
        <v/>
      </c>
      <c r="D68" s="24">
        <f>CRITERIOS!E56</f>
        <v/>
      </c>
      <c r="E68" s="24">
        <f>IFERROR(IF(AND(OR(CRITERIOS!F56="Todos",CRITERIOS!F56=$B$4),INDEX(CRITERIOS!H56:J56,MATCH($B$5,VARIABLES!$E$2:$E$4,0))=1),1,0),0)</f>
        <v/>
      </c>
      <c r="F68" s="24">
        <f>IFERROR(IF(E68=1,INDEX(CRITERIOS!K56:M56,MATCH($B$5,VARIABLES!$E$2:$E$4,0)),0),0)</f>
        <v/>
      </c>
      <c r="G68" s="24">
        <f>IF(CRITERIOS!N56="","",CRITERIOS!N56)</f>
        <v/>
      </c>
      <c r="H68" s="24">
        <f>IF(CRITERIOS!O56="","",CRITERIOS!O56)</f>
        <v/>
      </c>
      <c r="I68" s="21" t="n"/>
      <c r="J68" s="22">
        <f>IF(OR($E68=0,I$78=0),0,IF(AND(I68="N/A",$G68&lt;&gt;""),0,$F68+SUMPRODUCT(($G$14:$G$71=$A68)*($E$14:$E$71=1)*(I$14:I$71="N/A")*$F$14:$F$71)))</f>
        <v/>
      </c>
      <c r="K68" s="22">
        <f>IF(I68="SI",J68,0)</f>
        <v/>
      </c>
      <c r="L68" s="21" t="n"/>
      <c r="M68" s="22">
        <f>IF(OR($E68=0,L$78=0),0,IF(AND(L68="N/A",$G68&lt;&gt;""),0,$F68+SUMPRODUCT(($G$14:$G$71=$A68)*($E$14:$E$71=1)*(L$14:L$71="N/A")*$F$14:$F$71)))</f>
        <v/>
      </c>
      <c r="N68" s="22">
        <f>IF(L68="SI",M68,0)</f>
        <v/>
      </c>
      <c r="O68" s="21" t="n"/>
      <c r="P68" s="22">
        <f>IF(OR($E68=0,O$78=0),0,IF(AND(O68="N/A",$G68&lt;&gt;""),0,$F68+SUMPRODUCT(($G$14:$G$71=$A68)*($E$14:$E$71=1)*(O$14:O$71="N/A")*$F$14:$F$71)))</f>
        <v/>
      </c>
      <c r="Q68" s="22">
        <f>IF(O68="SI",P68,0)</f>
        <v/>
      </c>
      <c r="R68" s="21" t="n"/>
      <c r="S68" s="22">
        <f>IF(OR($E68=0,R$78=0),0,IF(AND(R68="N/A",$G68&lt;&gt;""),0,$F68+SUMPRODUCT(($G$14:$G$71=$A68)*($E$14:$E$71=1)*(R$14:R$71="N/A")*$F$14:$F$71)))</f>
        <v/>
      </c>
      <c r="T68" s="22">
        <f>IF(R68="SI",S68,0)</f>
        <v/>
      </c>
      <c r="U68" s="21" t="n"/>
      <c r="V68" s="22">
        <f>IF(OR($E68=0,U$78=0),0,IF(AND(U68="N/A",$G68&lt;&gt;""),0,$F68+SUMPRODUCT(($G$14:$G$71=$A68)*($E$14:$E$71=1)*(U$14:U$71="N/A")*$F$14:$F$71)))</f>
        <v/>
      </c>
      <c r="W68" s="22">
        <f>IF(U68="SI",V68,0)</f>
        <v/>
      </c>
      <c r="X68" s="21" t="n"/>
      <c r="Y68" s="22">
        <f>IF(OR($E68=0,X$78=0),0,IF(AND(X68="N/A",$G68&lt;&gt;""),0,$F68+SUMPRODUCT(($G$14:$G$71=$A68)*($E$14:$E$71=1)*(X$14:X$71="N/A")*$F$14:$F$71)))</f>
        <v/>
      </c>
      <c r="Z68" s="22">
        <f>IF(X68="SI",Y68,0)</f>
        <v/>
      </c>
      <c r="AA68" s="22">
        <f>SUM(J68,M68,P68,S68,V68,Y68)</f>
        <v/>
      </c>
      <c r="AB68" s="22">
        <f>SUM(K68,N68,Q68,T68,W68,Z68)</f>
        <v/>
      </c>
      <c r="AC68" s="23">
        <f>IF(AA68=0,"",AB68/AA68)</f>
        <v/>
      </c>
      <c r="AD68" s="22">
        <f>CRITERIOS!Q56</f>
        <v/>
      </c>
      <c r="AE68" s="22">
        <f>IF(AND(E68=1,H68&lt;&gt;"X",((I68="N/A")+(L68="N/A")+(O68="N/A")+(R68="N/A")+(U68="N/A")+(X68="N/A"))&gt;0),"REVISAR","")</f>
        <v/>
      </c>
    </row>
    <row r="69">
      <c r="A69" s="22">
        <f>CRITERIOS!B57</f>
        <v/>
      </c>
      <c r="B69" s="22">
        <f>CRITERIOS!C57</f>
        <v/>
      </c>
      <c r="C69" s="8">
        <f>CRITERIOS!D57</f>
        <v/>
      </c>
      <c r="D69" s="22">
        <f>CRITERIOS!E57</f>
        <v/>
      </c>
      <c r="E69" s="22">
        <f>IFERROR(IF(AND(OR(CRITERIOS!F57="Todos",CRITERIOS!F57=$B$4),INDEX(CRITERIOS!H57:J57,MATCH($B$5,VARIABLES!$E$2:$E$4,0))=1),1,0),0)</f>
        <v/>
      </c>
      <c r="F69" s="22">
        <f>IFERROR(IF(E69=1,INDEX(CRITERIOS!K57:M57,MATCH($B$5,VARIABLES!$E$2:$E$4,0)),0),0)</f>
        <v/>
      </c>
      <c r="G69" s="22">
        <f>IF(CRITERIOS!N57="","",CRITERIOS!N57)</f>
        <v/>
      </c>
      <c r="H69" s="22">
        <f>IF(CRITERIOS!O57="","",CRITERIOS!O57)</f>
        <v/>
      </c>
      <c r="I69" s="21" t="n"/>
      <c r="J69" s="22">
        <f>IF(OR($E69=0,I$78=0),0,IF(AND(I69="N/A",$G69&lt;&gt;""),0,$F69+SUMPRODUCT(($G$14:$G$71=$A69)*($E$14:$E$71=1)*(I$14:I$71="N/A")*$F$14:$F$71)))</f>
        <v/>
      </c>
      <c r="K69" s="22">
        <f>IF(I69="SI",J69,0)</f>
        <v/>
      </c>
      <c r="L69" s="21" t="n"/>
      <c r="M69" s="22">
        <f>IF(OR($E69=0,L$78=0),0,IF(AND(L69="N/A",$G69&lt;&gt;""),0,$F69+SUMPRODUCT(($G$14:$G$71=$A69)*($E$14:$E$71=1)*(L$14:L$71="N/A")*$F$14:$F$71)))</f>
        <v/>
      </c>
      <c r="N69" s="22">
        <f>IF(L69="SI",M69,0)</f>
        <v/>
      </c>
      <c r="O69" s="21" t="n"/>
      <c r="P69" s="22">
        <f>IF(OR($E69=0,O$78=0),0,IF(AND(O69="N/A",$G69&lt;&gt;""),0,$F69+SUMPRODUCT(($G$14:$G$71=$A69)*($E$14:$E$71=1)*(O$14:O$71="N/A")*$F$14:$F$71)))</f>
        <v/>
      </c>
      <c r="Q69" s="22">
        <f>IF(O69="SI",P69,0)</f>
        <v/>
      </c>
      <c r="R69" s="21" t="n"/>
      <c r="S69" s="22">
        <f>IF(OR($E69=0,R$78=0),0,IF(AND(R69="N/A",$G69&lt;&gt;""),0,$F69+SUMPRODUCT(($G$14:$G$71=$A69)*($E$14:$E$71=1)*(R$14:R$71="N/A")*$F$14:$F$71)))</f>
        <v/>
      </c>
      <c r="T69" s="22">
        <f>IF(R69="SI",S69,0)</f>
        <v/>
      </c>
      <c r="U69" s="21" t="n"/>
      <c r="V69" s="22">
        <f>IF(OR($E69=0,U$78=0),0,IF(AND(U69="N/A",$G69&lt;&gt;""),0,$F69+SUMPRODUCT(($G$14:$G$71=$A69)*($E$14:$E$71=1)*(U$14:U$71="N/A")*$F$14:$F$71)))</f>
        <v/>
      </c>
      <c r="W69" s="22">
        <f>IF(U69="SI",V69,0)</f>
        <v/>
      </c>
      <c r="X69" s="21" t="n"/>
      <c r="Y69" s="22">
        <f>IF(OR($E69=0,X$78=0),0,IF(AND(X69="N/A",$G69&lt;&gt;""),0,$F69+SUMPRODUCT(($G$14:$G$71=$A69)*($E$14:$E$71=1)*(X$14:X$71="N/A")*$F$14:$F$71)))</f>
        <v/>
      </c>
      <c r="Z69" s="22">
        <f>IF(X69="SI",Y69,0)</f>
        <v/>
      </c>
      <c r="AA69" s="22">
        <f>SUM(J69,M69,P69,S69,V69,Y69)</f>
        <v/>
      </c>
      <c r="AB69" s="22">
        <f>SUM(K69,N69,Q69,T69,W69,Z69)</f>
        <v/>
      </c>
      <c r="AC69" s="23">
        <f>IF(AA69=0,"",AB69/AA69)</f>
        <v/>
      </c>
      <c r="AD69" s="22">
        <f>CRITERIOS!Q57</f>
        <v/>
      </c>
      <c r="AE69" s="22">
        <f>IF(AND(E69=1,H69&lt;&gt;"X",((I69="N/A")+(L69="N/A")+(O69="N/A")+(R69="N/A")+(U69="N/A")+(X69="N/A"))&gt;0),"REVISAR","")</f>
        <v/>
      </c>
    </row>
    <row r="70">
      <c r="A70" s="22">
        <f>CRITERIOS!B58</f>
        <v/>
      </c>
      <c r="B70" s="22">
        <f>CRITERIOS!C58</f>
        <v/>
      </c>
      <c r="C70" s="8">
        <f>CRITERIOS!D58</f>
        <v/>
      </c>
      <c r="D70" s="22">
        <f>CRITERIOS!E58</f>
        <v/>
      </c>
      <c r="E70" s="22">
        <f>IFERROR(IF(AND(OR(CRITERIOS!F58="Todos",CRITERIOS!F58=$B$4),INDEX(CRITERIOS!H58:J58,MATCH($B$5,VARIABLES!$E$2:$E$4,0))=1),1,0),0)</f>
        <v/>
      </c>
      <c r="F70" s="22">
        <f>IFERROR(IF(E70=1,INDEX(CRITERIOS!K58:M58,MATCH($B$5,VARIABLES!$E$2:$E$4,0)),0),0)</f>
        <v/>
      </c>
      <c r="G70" s="22">
        <f>IF(CRITERIOS!N58="","",CRITERIOS!N58)</f>
        <v/>
      </c>
      <c r="H70" s="22">
        <f>IF(CRITERIOS!O58="","",CRITERIOS!O58)</f>
        <v/>
      </c>
      <c r="I70" s="21" t="n"/>
      <c r="J70" s="22">
        <f>IF(OR($E70=0,I$78=0),0,IF(AND(I70="N/A",$G70&lt;&gt;""),0,$F70+SUMPRODUCT(($G$14:$G$71=$A70)*($E$14:$E$71=1)*(I$14:I$71="N/A")*$F$14:$F$71)))</f>
        <v/>
      </c>
      <c r="K70" s="22">
        <f>IF(I70="SI",J70,0)</f>
        <v/>
      </c>
      <c r="L70" s="21" t="n"/>
      <c r="M70" s="22">
        <f>IF(OR($E70=0,L$78=0),0,IF(AND(L70="N/A",$G70&lt;&gt;""),0,$F70+SUMPRODUCT(($G$14:$G$71=$A70)*($E$14:$E$71=1)*(L$14:L$71="N/A")*$F$14:$F$71)))</f>
        <v/>
      </c>
      <c r="N70" s="22">
        <f>IF(L70="SI",M70,0)</f>
        <v/>
      </c>
      <c r="O70" s="21" t="n"/>
      <c r="P70" s="22">
        <f>IF(OR($E70=0,O$78=0),0,IF(AND(O70="N/A",$G70&lt;&gt;""),0,$F70+SUMPRODUCT(($G$14:$G$71=$A70)*($E$14:$E$71=1)*(O$14:O$71="N/A")*$F$14:$F$71)))</f>
        <v/>
      </c>
      <c r="Q70" s="22">
        <f>IF(O70="SI",P70,0)</f>
        <v/>
      </c>
      <c r="R70" s="21" t="n"/>
      <c r="S70" s="22">
        <f>IF(OR($E70=0,R$78=0),0,IF(AND(R70="N/A",$G70&lt;&gt;""),0,$F70+SUMPRODUCT(($G$14:$G$71=$A70)*($E$14:$E$71=1)*(R$14:R$71="N/A")*$F$14:$F$71)))</f>
        <v/>
      </c>
      <c r="T70" s="22">
        <f>IF(R70="SI",S70,0)</f>
        <v/>
      </c>
      <c r="U70" s="21" t="n"/>
      <c r="V70" s="22">
        <f>IF(OR($E70=0,U$78=0),0,IF(AND(U70="N/A",$G70&lt;&gt;""),0,$F70+SUMPRODUCT(($G$14:$G$71=$A70)*($E$14:$E$71=1)*(U$14:U$71="N/A")*$F$14:$F$71)))</f>
        <v/>
      </c>
      <c r="W70" s="22">
        <f>IF(U70="SI",V70,0)</f>
        <v/>
      </c>
      <c r="X70" s="21" t="n"/>
      <c r="Y70" s="22">
        <f>IF(OR($E70=0,X$78=0),0,IF(AND(X70="N/A",$G70&lt;&gt;""),0,$F70+SUMPRODUCT(($G$14:$G$71=$A70)*($E$14:$E$71=1)*(X$14:X$71="N/A")*$F$14:$F$71)))</f>
        <v/>
      </c>
      <c r="Z70" s="22">
        <f>IF(X70="SI",Y70,0)</f>
        <v/>
      </c>
      <c r="AA70" s="22">
        <f>SUM(J70,M70,P70,S70,V70,Y70)</f>
        <v/>
      </c>
      <c r="AB70" s="22">
        <f>SUM(K70,N70,Q70,T70,W70,Z70)</f>
        <v/>
      </c>
      <c r="AC70" s="23">
        <f>IF(AA70=0,"",AB70/AA70)</f>
        <v/>
      </c>
      <c r="AD70" s="22">
        <f>CRITERIOS!Q58</f>
        <v/>
      </c>
      <c r="AE70" s="22">
        <f>IF(AND(E70=1,H70&lt;&gt;"X",((I70="N/A")+(L70="N/A")+(O70="N/A")+(R70="N/A")+(U70="N/A")+(X70="N/A"))&gt;0),"REVISAR","")</f>
        <v/>
      </c>
    </row>
    <row r="71">
      <c r="A71" s="24">
        <f>CRITERIOS!B59</f>
        <v/>
      </c>
      <c r="B71" s="24">
        <f>CRITERIOS!C59</f>
        <v/>
      </c>
      <c r="C71" s="25">
        <f>CRITERIOS!D59</f>
        <v/>
      </c>
      <c r="D71" s="24">
        <f>CRITERIOS!E59</f>
        <v/>
      </c>
      <c r="E71" s="24">
        <f>IFERROR(IF(AND(OR(CRITERIOS!F59="Todos",CRITERIOS!F59=$B$4),INDEX(CRITERIOS!H59:J59,MATCH($B$5,VARIABLES!$E$2:$E$4,0))=1),1,0),0)</f>
        <v/>
      </c>
      <c r="F71" s="24">
        <f>IFERROR(IF(E71=1,INDEX(CRITERIOS!K59:M59,MATCH($B$5,VARIABLES!$E$2:$E$4,0)),0),0)</f>
        <v/>
      </c>
      <c r="G71" s="24">
        <f>IF(CRITERIOS!N59="","",CRITERIOS!N59)</f>
        <v/>
      </c>
      <c r="H71" s="24">
        <f>IF(CRITERIOS!O59="","",CRITERIOS!O59)</f>
        <v/>
      </c>
      <c r="I71" s="21" t="n"/>
      <c r="J71" s="22">
        <f>IF(OR($E71=0,I$78=0),0,IF(AND(I71="N/A",$G71&lt;&gt;""),0,$F71+SUMPRODUCT(($G$14:$G$71=$A71)*($E$14:$E$71=1)*(I$14:I$71="N/A")*$F$14:$F$71)))</f>
        <v/>
      </c>
      <c r="K71" s="22">
        <f>IF(I71="SI",J71,0)</f>
        <v/>
      </c>
      <c r="L71" s="21" t="n"/>
      <c r="M71" s="22">
        <f>IF(OR($E71=0,L$78=0),0,IF(AND(L71="N/A",$G71&lt;&gt;""),0,$F71+SUMPRODUCT(($G$14:$G$71=$A71)*($E$14:$E$71=1)*(L$14:L$71="N/A")*$F$14:$F$71)))</f>
        <v/>
      </c>
      <c r="N71" s="22">
        <f>IF(L71="SI",M71,0)</f>
        <v/>
      </c>
      <c r="O71" s="21" t="n"/>
      <c r="P71" s="22">
        <f>IF(OR($E71=0,O$78=0),0,IF(AND(O71="N/A",$G71&lt;&gt;""),0,$F71+SUMPRODUCT(($G$14:$G$71=$A71)*($E$14:$E$71=1)*(O$14:O$71="N/A")*$F$14:$F$71)))</f>
        <v/>
      </c>
      <c r="Q71" s="22">
        <f>IF(O71="SI",P71,0)</f>
        <v/>
      </c>
      <c r="R71" s="21" t="n"/>
      <c r="S71" s="22">
        <f>IF(OR($E71=0,R$78=0),0,IF(AND(R71="N/A",$G71&lt;&gt;""),0,$F71+SUMPRODUCT(($G$14:$G$71=$A71)*($E$14:$E$71=1)*(R$14:R$71="N/A")*$F$14:$F$71)))</f>
        <v/>
      </c>
      <c r="T71" s="22">
        <f>IF(R71="SI",S71,0)</f>
        <v/>
      </c>
      <c r="U71" s="21" t="n"/>
      <c r="V71" s="22">
        <f>IF(OR($E71=0,U$78=0),0,IF(AND(U71="N/A",$G71&lt;&gt;""),0,$F71+SUMPRODUCT(($G$14:$G$71=$A71)*($E$14:$E$71=1)*(U$14:U$71="N/A")*$F$14:$F$71)))</f>
        <v/>
      </c>
      <c r="W71" s="22">
        <f>IF(U71="SI",V71,0)</f>
        <v/>
      </c>
      <c r="X71" s="21" t="n"/>
      <c r="Y71" s="22">
        <f>IF(OR($E71=0,X$78=0),0,IF(AND(X71="N/A",$G71&lt;&gt;""),0,$F71+SUMPRODUCT(($G$14:$G$71=$A71)*($E$14:$E$71=1)*(X$14:X$71="N/A")*$F$14:$F$71)))</f>
        <v/>
      </c>
      <c r="Z71" s="22">
        <f>IF(X71="SI",Y71,0)</f>
        <v/>
      </c>
      <c r="AA71" s="22">
        <f>SUM(J71,M71,P71,S71,V71,Y71)</f>
        <v/>
      </c>
      <c r="AB71" s="22">
        <f>SUM(K71,N71,Q71,T71,W71,Z71)</f>
        <v/>
      </c>
      <c r="AC71" s="23">
        <f>IF(AA71=0,"",AB71/AA71)</f>
        <v/>
      </c>
      <c r="AD71" s="22">
        <f>CRITERIOS!Q59</f>
        <v/>
      </c>
      <c r="AE71" s="22">
        <f>IF(AND(E71=1,H71&lt;&gt;"X",((I71="N/A")+(L71="N/A")+(O71="N/A")+(R71="N/A")+(U71="N/A")+(X71="N/A"))&gt;0),"REVISAR","")</f>
        <v/>
      </c>
    </row>
    <row r="73">
      <c r="C73" s="4" t="inlineStr">
        <is>
          <t>Puntaje de la conversación (/100)</t>
        </is>
      </c>
      <c r="K73" s="26">
        <f>IF(I78=1,SUM(K14:K71),"")</f>
        <v/>
      </c>
      <c r="N73" s="26">
        <f>IF(L78=1,SUM(N14:N71),"")</f>
        <v/>
      </c>
      <c r="Q73" s="26">
        <f>IF(O78=1,SUM(Q14:Q71),"")</f>
        <v/>
      </c>
      <c r="T73" s="26">
        <f>IF(R78=1,SUM(T14:T71),"")</f>
        <v/>
      </c>
      <c r="W73" s="26">
        <f>IF(U78=1,SUM(W14:W71),"")</f>
        <v/>
      </c>
      <c r="Z73" s="26">
        <f>IF(X78=1,SUM(Z14:Z71),"")</f>
        <v/>
      </c>
    </row>
    <row r="74">
      <c r="C74" s="4" t="inlineStr">
        <is>
          <t>Fase I: HD con NO (1 = reprueba)</t>
        </is>
      </c>
      <c r="I74">
        <f>IF(I78=1,IF(COUNTIFS($D$14:$D$71,"Control HD",I14:I71,"NO")&gt;0,1,0),0)</f>
        <v/>
      </c>
      <c r="L74">
        <f>IF(L78=1,IF(COUNTIFS($D$14:$D$71,"Control HD",L14:L71,"NO")&gt;0,1,0),0)</f>
        <v/>
      </c>
      <c r="O74">
        <f>IF(O78=1,IF(COUNTIFS($D$14:$D$71,"Control HD",O14:O71,"NO")&gt;0,1,0),0)</f>
        <v/>
      </c>
      <c r="R74">
        <f>IF(R78=1,IF(COUNTIFS($D$14:$D$71,"Control HD",R14:R71,"NO")&gt;0,1,0),0)</f>
        <v/>
      </c>
      <c r="U74">
        <f>IF(U78=1,IF(COUNTIFS($D$14:$D$71,"Control HD",U14:U71,"NO")&gt;0,1,0),0)</f>
        <v/>
      </c>
      <c r="X74">
        <f>IF(X78=1,IF(COUNTIFS($D$14:$D$71,"Control HD",X14:X71,"NO")&gt;0,1,0),0)</f>
        <v/>
      </c>
    </row>
    <row r="75">
      <c r="C75" s="4" t="inlineStr">
        <is>
          <t>ECU con error (1 = sí)</t>
        </is>
      </c>
      <c r="I75">
        <f>IF(I78=1,IF(COUNTIFS($D$14:$D$71,"ECU",I14:I71,"NO")&gt;0,1,0),0)</f>
        <v/>
      </c>
      <c r="L75">
        <f>IF(L78=1,IF(COUNTIFS($D$14:$D$71,"ECU",L14:L71,"NO")&gt;0,1,0),0)</f>
        <v/>
      </c>
      <c r="O75">
        <f>IF(O78=1,IF(COUNTIFS($D$14:$D$71,"ECU",O14:O71,"NO")&gt;0,1,0),0)</f>
        <v/>
      </c>
      <c r="R75">
        <f>IF(R78=1,IF(COUNTIFS($D$14:$D$71,"ECU",R14:R71,"NO")&gt;0,1,0),0)</f>
        <v/>
      </c>
      <c r="U75">
        <f>IF(U78=1,IF(COUNTIFS($D$14:$D$71,"ECU",U14:U71,"NO")&gt;0,1,0),0)</f>
        <v/>
      </c>
      <c r="X75">
        <f>IF(X78=1,IF(COUNTIFS($D$14:$D$71,"ECU",X14:X71,"NO")&gt;0,1,0),0)</f>
        <v/>
      </c>
    </row>
    <row r="76">
      <c r="C76" s="4" t="inlineStr">
        <is>
          <t>ECN con error (1 = sí)</t>
        </is>
      </c>
      <c r="I76">
        <f>IF(I78=1,IF(COUNTIFS($D$14:$D$71,"ECN",I14:I71,"NO")&gt;0,1,0),0)</f>
        <v/>
      </c>
      <c r="L76">
        <f>IF(L78=1,IF(COUNTIFS($D$14:$D$71,"ECN",L14:L71,"NO")&gt;0,1,0),0)</f>
        <v/>
      </c>
      <c r="O76">
        <f>IF(O78=1,IF(COUNTIFS($D$14:$D$71,"ECN",O14:O71,"NO")&gt;0,1,0),0)</f>
        <v/>
      </c>
      <c r="R76">
        <f>IF(R78=1,IF(COUNTIFS($D$14:$D$71,"ECN",R14:R71,"NO")&gt;0,1,0),0)</f>
        <v/>
      </c>
      <c r="U76">
        <f>IF(U78=1,IF(COUNTIFS($D$14:$D$71,"ECN",U14:U71,"NO")&gt;0,1,0),0)</f>
        <v/>
      </c>
      <c r="X76">
        <f>IF(X78=1,IF(COUNTIFS($D$14:$D$71,"ECN",X14:X71,"NO")&gt;0,1,0),0)</f>
        <v/>
      </c>
    </row>
    <row r="77">
      <c r="C77" s="4" t="inlineStr">
        <is>
          <t>ECC con error (1 = sí)</t>
        </is>
      </c>
      <c r="I77">
        <f>IF(I78=1,IF(COUNTIFS($D$14:$D$71,"ECC",I14:I71,"NO")&gt;0,1,0),0)</f>
        <v/>
      </c>
      <c r="L77">
        <f>IF(L78=1,IF(COUNTIFS($D$14:$D$71,"ECC",L14:L71,"NO")&gt;0,1,0),0)</f>
        <v/>
      </c>
      <c r="O77">
        <f>IF(O78=1,IF(COUNTIFS($D$14:$D$71,"ECC",O14:O71,"NO")&gt;0,1,0),0)</f>
        <v/>
      </c>
      <c r="R77">
        <f>IF(R78=1,IF(COUNTIFS($D$14:$D$71,"ECC",R14:R71,"NO")&gt;0,1,0),0)</f>
        <v/>
      </c>
      <c r="U77">
        <f>IF(U78=1,IF(COUNTIFS($D$14:$D$71,"ECC",U14:U71,"NO")&gt;0,1,0),0)</f>
        <v/>
      </c>
      <c r="X77">
        <f>IF(X78=1,IF(COUNTIFS($D$14:$D$71,"ECC",X14:X71,"NO")&gt;0,1,0),0)</f>
        <v/>
      </c>
    </row>
    <row r="78">
      <c r="C78" s="4" t="inlineStr">
        <is>
          <t>Conversación evaluada (1 = sí)</t>
        </is>
      </c>
      <c r="I78">
        <f>IF(COUNTA(I14:I71)&gt;0,1,0)</f>
        <v/>
      </c>
      <c r="L78">
        <f>IF(COUNTA(L14:L71)&gt;0,1,0)</f>
        <v/>
      </c>
      <c r="O78">
        <f>IF(COUNTA(O14:O71)&gt;0,1,0)</f>
        <v/>
      </c>
      <c r="R78">
        <f>IF(COUNTA(R14:R71)&gt;0,1,0)</f>
        <v/>
      </c>
      <c r="U78">
        <f>IF(COUNTA(U14:U71)&gt;0,1,0)</f>
        <v/>
      </c>
      <c r="X78">
        <f>IF(COUNTA(X14:X71)&gt;0,1,0)</f>
        <v/>
      </c>
    </row>
    <row r="79">
      <c r="C79" s="4" t="inlineStr">
        <is>
          <t>Casillas aplicables sin diligenciar</t>
        </is>
      </c>
      <c r="I79">
        <f>IF(I78=1,SUMPRODUCT(($E$14:$E$71=1)*(I14:I71="")),0)</f>
        <v/>
      </c>
      <c r="L79">
        <f>IF(L78=1,SUMPRODUCT(($E$14:$E$71=1)*(L14:L71="")),0)</f>
        <v/>
      </c>
      <c r="O79">
        <f>IF(O78=1,SUMPRODUCT(($E$14:$E$71=1)*(O14:O71="")),0)</f>
        <v/>
      </c>
      <c r="R79">
        <f>IF(R78=1,SUMPRODUCT(($E$14:$E$71=1)*(R14:R71="")),0)</f>
        <v/>
      </c>
      <c r="U79">
        <f>IF(U78=1,SUMPRODUCT(($E$14:$E$71=1)*(U14:U71="")),0)</f>
        <v/>
      </c>
      <c r="X79">
        <f>IF(X78=1,SUMPRODUCT(($E$14:$E$71=1)*(X14:X71="")),0)</f>
        <v/>
      </c>
    </row>
  </sheetData>
  <mergeCells count="18">
    <mergeCell ref="X10:Z10"/>
    <mergeCell ref="I11:K11"/>
    <mergeCell ref="X11:Z11"/>
    <mergeCell ref="I10:K10"/>
    <mergeCell ref="L11:N11"/>
    <mergeCell ref="L10:N10"/>
    <mergeCell ref="R11:T11"/>
    <mergeCell ref="R10:T10"/>
    <mergeCell ref="X9:Z9"/>
    <mergeCell ref="U10:W10"/>
    <mergeCell ref="I9:K9"/>
    <mergeCell ref="O9:Q9"/>
    <mergeCell ref="L9:N9"/>
    <mergeCell ref="R9:T9"/>
    <mergeCell ref="U9:W9"/>
    <mergeCell ref="U11:W11"/>
    <mergeCell ref="O10:Q10"/>
    <mergeCell ref="O11:Q11"/>
  </mergeCells>
  <dataValidations count="5">
    <dataValidation sqref="I14:I71 L14:L71 O14:O71 R14:R71 U14:U71 X14:X71" showDropDown="0" showInputMessage="0" showErrorMessage="0" allowBlank="1" type="list">
      <formula1>"SI,NO,N/A"</formula1>
    </dataValidation>
    <dataValidation sqref="B4" showDropDown="0" showInputMessage="0" showErrorMessage="0" allowBlank="1" type="list">
      <formula1>VARIABLES!$D$2:$D$5</formula1>
    </dataValidation>
    <dataValidation sqref="B5" showDropDown="0" showInputMessage="0" showErrorMessage="0" allowBlank="1" type="list">
      <formula1>VARIABLES!$E$2:$E$4</formula1>
    </dataValidation>
    <dataValidation sqref="I11 L11 O11 R11 U11 X11" showDropDown="0" showInputMessage="0" showErrorMessage="0" allowBlank="1" type="list">
      <formula1>VARIABLES!$B$2:$B$3</formula1>
    </dataValidation>
    <dataValidation sqref="B6" showDropDown="0" showInputMessage="0" showErrorMessage="0" allowBlank="1" type="list">
      <formula1>VARIABLES!$C$2:$C$13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79"/>
  <sheetViews>
    <sheetView workbookViewId="0">
      <pane xSplit="3" ySplit="13" topLeftCell="D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60" customWidth="1" min="3" max="3"/>
    <col width="11" customWidth="1" min="4" max="4"/>
    <col outlineLevel="1" width="7" customWidth="1" min="5" max="5"/>
    <col outlineLevel="1" width="7" customWidth="1" min="6" max="6"/>
    <col outlineLevel="1" width="9" customWidth="1" min="7" max="7"/>
    <col outlineLevel="1" width="8" customWidth="1" min="8" max="8"/>
    <col width="11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11" customWidth="1" min="15" max="15"/>
    <col width="8" customWidth="1" min="16" max="16"/>
    <col width="8" customWidth="1" min="17" max="17"/>
    <col width="11" customWidth="1" min="18" max="18"/>
    <col width="8" customWidth="1" min="19" max="19"/>
    <col width="8" customWidth="1" min="20" max="20"/>
    <col width="11" customWidth="1" min="21" max="21"/>
    <col width="8" customWidth="1" min="22" max="22"/>
    <col width="8" customWidth="1" min="23" max="23"/>
    <col width="11" customWidth="1" min="24" max="24"/>
    <col width="8" customWidth="1" min="25" max="25"/>
    <col width="8" customWidth="1" min="26" max="26"/>
    <col outlineLevel="1" width="10" customWidth="1" min="27" max="27"/>
    <col outlineLevel="1" width="10" customWidth="1" min="28" max="28"/>
    <col width="10" customWidth="1" min="29" max="29"/>
    <col outlineLevel="1" width="10" customWidth="1" min="30" max="30"/>
    <col width="10" customWidth="1" min="31" max="31"/>
  </cols>
  <sheetData>
    <row r="1">
      <c r="A1" s="3" t="inlineStr">
        <is>
          <t>FORMATO DE MONITOREO COMERCIAL · PREVENTA Y VENTA</t>
        </is>
      </c>
    </row>
    <row r="3">
      <c r="A3" s="4" t="inlineStr">
        <is>
          <t>Asesor</t>
        </is>
      </c>
      <c r="B3" s="5" t="n"/>
      <c r="I3" s="4" t="inlineStr">
        <is>
          <t>Fase I (Habeas Data)</t>
        </is>
      </c>
      <c r="P3" s="16">
        <f>IF($B$7=0,"",IF(SUM(I74,L74,O74,R74,U74,X74)&gt;0,"Reprobada","Aprobada"))</f>
        <v/>
      </c>
      <c r="S3" s="4" t="inlineStr">
        <is>
          <t>ECU · % sin error</t>
        </is>
      </c>
      <c r="Z3" s="17">
        <f>IF($B$7=0,"",1-SUM(I75,L75,O75,R75,U75,X75)/$B$7)</f>
        <v/>
      </c>
    </row>
    <row r="4">
      <c r="A4" s="4" t="inlineStr">
        <is>
          <t>Canal</t>
        </is>
      </c>
      <c r="B4" s="5" t="n"/>
      <c r="I4" s="4" t="inlineStr">
        <is>
          <t>Nota /100</t>
        </is>
      </c>
      <c r="P4" s="18">
        <f>IF($B$7=0,"",IF(P3="Reprobada",0,AVERAGE(K73,N73,Q73,T73,W73,Z73)*1))</f>
        <v/>
      </c>
      <c r="S4" s="4" t="inlineStr">
        <is>
          <t>ECN · % sin error</t>
        </is>
      </c>
      <c r="Z4" s="17">
        <f>IF($B$7=0,"",1-SUM(I76,L76,O76,R76,U76,X76)/$B$7)</f>
        <v/>
      </c>
    </row>
    <row r="5">
      <c r="A5" s="4" t="inlineStr">
        <is>
          <t>Gestión</t>
        </is>
      </c>
      <c r="B5" s="5" t="n"/>
      <c r="I5" s="4" t="inlineStr">
        <is>
          <t>Nota /300</t>
        </is>
      </c>
      <c r="P5" s="18">
        <f>IF(P4="","",P4*3)</f>
        <v/>
      </c>
      <c r="S5" s="4" t="inlineStr">
        <is>
          <t>ECC · % sin error</t>
        </is>
      </c>
      <c r="Z5" s="17">
        <f>IF($B$7=0,"",1-SUM(I77,L77,O77,R77,U77,X77)/$B$7)</f>
        <v/>
      </c>
    </row>
    <row r="6">
      <c r="A6" s="4" t="inlineStr">
        <is>
          <t>Mes</t>
        </is>
      </c>
      <c r="B6" s="5" t="n"/>
      <c r="I6" s="4" t="inlineStr">
        <is>
          <t>Nivel</t>
        </is>
      </c>
      <c r="P6" s="16">
        <f>IF(P4="","",IF(P3="Reprobada","Crítico",LOOKUP(P4/100,'TABLA GENERAL'!$I$7:$I$10,'TABLA GENERAL'!$F$7:$F$10)))</f>
        <v/>
      </c>
      <c r="S6" s="4" t="inlineStr">
        <is>
          <t>Alerta Dirección</t>
        </is>
      </c>
      <c r="Z6" s="16">
        <f>IF($B$7=0,"",IF(SUMPRODUCT($AD$14:$AD$71*((I14:I71="NO")+(L14:L71="NO")+(O14:O71="NO")+(R14:R71="NO")+(U14:U71="NO")+(X14:X71="NO")))&gt;0,"SÍ - reportar","No"))</f>
        <v/>
      </c>
    </row>
    <row r="7">
      <c r="A7" s="4" t="inlineStr">
        <is>
          <t>Conversaciones evaluadas</t>
        </is>
      </c>
      <c r="B7">
        <f>SUM(I78,L78,O78,R78,U78,X78)</f>
        <v/>
      </c>
      <c r="I7" s="4" t="inlineStr">
        <is>
          <t>Estado</t>
        </is>
      </c>
      <c r="P7" s="16">
        <f>IF(P4="","",IF(P3="Reprobada","Reprobado",IF(P4/100&gt;='TABLA GENERAL'!$C$21,"Aprobado","Plan de acción")))</f>
        <v/>
      </c>
      <c r="S7" s="4" t="inlineStr">
        <is>
          <t>Casillas por revisar</t>
        </is>
      </c>
      <c r="Z7" s="16">
        <f>SUM(I79,L79,O79,R79,U79,X79)+COUNTIF(AE14:AE71,"REVISAR")</f>
        <v/>
      </c>
    </row>
    <row r="9">
      <c r="I9" s="6" t="inlineStr">
        <is>
          <t>Conversación 1</t>
        </is>
      </c>
      <c r="L9" s="6" t="inlineStr">
        <is>
          <t>Conversación 2</t>
        </is>
      </c>
      <c r="O9" s="6" t="inlineStr">
        <is>
          <t>Conversación 3</t>
        </is>
      </c>
      <c r="R9" s="6" t="inlineStr">
        <is>
          <t>Conversación 4</t>
        </is>
      </c>
      <c r="U9" s="6" t="inlineStr">
        <is>
          <t>Conversación 5</t>
        </is>
      </c>
      <c r="X9" s="6" t="inlineStr">
        <is>
          <t>Conversación 6</t>
        </is>
      </c>
    </row>
    <row r="10">
      <c r="C10" s="4" t="inlineStr">
        <is>
          <t>Fecha / ID de la conversación</t>
        </is>
      </c>
      <c r="I10" s="5" t="n"/>
      <c r="L10" s="5" t="n"/>
      <c r="O10" s="5" t="n"/>
      <c r="R10" s="5" t="n"/>
      <c r="U10" s="5" t="n"/>
      <c r="X10" s="5" t="n"/>
    </row>
    <row r="11">
      <c r="C11" s="4" t="inlineStr">
        <is>
          <t>Modalidad</t>
        </is>
      </c>
      <c r="I11" s="5" t="n"/>
      <c r="L11" s="5" t="n"/>
      <c r="O11" s="5" t="n"/>
      <c r="R11" s="5" t="n"/>
      <c r="U11" s="5" t="n"/>
      <c r="X11" s="5" t="n"/>
    </row>
    <row r="13" ht="32" customHeight="1">
      <c r="A13" s="6" t="inlineStr">
        <is>
          <t>Código</t>
        </is>
      </c>
      <c r="B13" s="6" t="inlineStr">
        <is>
          <t>Dimensión</t>
        </is>
      </c>
      <c r="C13" s="6" t="inlineStr">
        <is>
          <t>Descripción</t>
        </is>
      </c>
      <c r="D13" s="6" t="inlineStr">
        <is>
          <t>Tipo</t>
        </is>
      </c>
      <c r="E13" s="6" t="inlineStr">
        <is>
          <t>Aplica</t>
        </is>
      </c>
      <c r="F13" s="6" t="inlineStr">
        <is>
          <t>Peso base</t>
        </is>
      </c>
      <c r="G13" s="6" t="inlineStr">
        <is>
          <t>Receptor N/A</t>
        </is>
      </c>
      <c r="H13" s="6" t="inlineStr">
        <is>
          <t>Admite N/A</t>
        </is>
      </c>
      <c r="I13" s="6" t="inlineStr">
        <is>
          <t>Resultado</t>
        </is>
      </c>
      <c r="J13" s="6" t="inlineStr">
        <is>
          <t>Peso estab.</t>
        </is>
      </c>
      <c r="K13" s="6" t="inlineStr">
        <is>
          <t>Peso logrado</t>
        </is>
      </c>
      <c r="L13" s="6" t="inlineStr">
        <is>
          <t>Resultado</t>
        </is>
      </c>
      <c r="M13" s="6" t="inlineStr">
        <is>
          <t>Peso estab.</t>
        </is>
      </c>
      <c r="N13" s="6" t="inlineStr">
        <is>
          <t>Peso logrado</t>
        </is>
      </c>
      <c r="O13" s="6" t="inlineStr">
        <is>
          <t>Resultado</t>
        </is>
      </c>
      <c r="P13" s="6" t="inlineStr">
        <is>
          <t>Peso estab.</t>
        </is>
      </c>
      <c r="Q13" s="6" t="inlineStr">
        <is>
          <t>Peso logrado</t>
        </is>
      </c>
      <c r="R13" s="6" t="inlineStr">
        <is>
          <t>Resultado</t>
        </is>
      </c>
      <c r="S13" s="6" t="inlineStr">
        <is>
          <t>Peso estab.</t>
        </is>
      </c>
      <c r="T13" s="6" t="inlineStr">
        <is>
          <t>Peso logrado</t>
        </is>
      </c>
      <c r="U13" s="6" t="inlineStr">
        <is>
          <t>Resultado</t>
        </is>
      </c>
      <c r="V13" s="6" t="inlineStr">
        <is>
          <t>Peso estab.</t>
        </is>
      </c>
      <c r="W13" s="6" t="inlineStr">
        <is>
          <t>Peso logrado</t>
        </is>
      </c>
      <c r="X13" s="6" t="inlineStr">
        <is>
          <t>Resultado</t>
        </is>
      </c>
      <c r="Y13" s="6" t="inlineStr">
        <is>
          <t>Peso estab.</t>
        </is>
      </c>
      <c r="Z13" s="6" t="inlineStr">
        <is>
          <t>Peso logrado</t>
        </is>
      </c>
      <c r="AA13" s="6" t="inlineStr">
        <is>
          <t>Σ peso estab.</t>
        </is>
      </c>
      <c r="AB13" s="6" t="inlineStr">
        <is>
          <t>Σ peso logrado</t>
        </is>
      </c>
      <c r="AC13" s="6" t="inlineStr">
        <is>
          <t>% cumplimiento</t>
        </is>
      </c>
      <c r="AD13" s="6" t="inlineStr">
        <is>
          <t>Alerta</t>
        </is>
      </c>
      <c r="AE13" s="6" t="inlineStr">
        <is>
          <t>Validación</t>
        </is>
      </c>
    </row>
    <row r="14">
      <c r="A14" s="19">
        <f>CRITERIOS!B2</f>
        <v/>
      </c>
      <c r="B14" s="19">
        <f>CRITERIOS!C2</f>
        <v/>
      </c>
      <c r="C14" s="20">
        <f>CRITERIOS!D2</f>
        <v/>
      </c>
      <c r="D14" s="19">
        <f>CRITERIOS!E2</f>
        <v/>
      </c>
      <c r="E14" s="19">
        <f>IFERROR(IF(AND(OR(CRITERIOS!F2="Todos",CRITERIOS!F2=$B$4),INDEX(CRITERIOS!H2:J2,MATCH($B$5,VARIABLES!$E$2:$E$4,0))=1),1,0),0)</f>
        <v/>
      </c>
      <c r="F14" s="19">
        <f>IFERROR(IF(E14=1,INDEX(CRITERIOS!K2:M2,MATCH($B$5,VARIABLES!$E$2:$E$4,0)),0),0)</f>
        <v/>
      </c>
      <c r="G14" s="19">
        <f>IF(CRITERIOS!N2="","",CRITERIOS!N2)</f>
        <v/>
      </c>
      <c r="H14" s="19">
        <f>IF(CRITERIOS!O2="","",CRITERIOS!O2)</f>
        <v/>
      </c>
      <c r="I14" s="21" t="n"/>
      <c r="J14" s="22">
        <f>IF(OR($E14=0,I$78=0),0,IF(AND(I14="N/A",$G14&lt;&gt;""),0,$F14+SUMPRODUCT(($G$14:$G$71=$A14)*($E$14:$E$71=1)*(I$14:I$71="N/A")*$F$14:$F$71)))</f>
        <v/>
      </c>
      <c r="K14" s="22">
        <f>IF(I14="SI",J14,0)</f>
        <v/>
      </c>
      <c r="L14" s="21" t="n"/>
      <c r="M14" s="22">
        <f>IF(OR($E14=0,L$78=0),0,IF(AND(L14="N/A",$G14&lt;&gt;""),0,$F14+SUMPRODUCT(($G$14:$G$71=$A14)*($E$14:$E$71=1)*(L$14:L$71="N/A")*$F$14:$F$71)))</f>
        <v/>
      </c>
      <c r="N14" s="22">
        <f>IF(L14="SI",M14,0)</f>
        <v/>
      </c>
      <c r="O14" s="21" t="n"/>
      <c r="P14" s="22">
        <f>IF(OR($E14=0,O$78=0),0,IF(AND(O14="N/A",$G14&lt;&gt;""),0,$F14+SUMPRODUCT(($G$14:$G$71=$A14)*($E$14:$E$71=1)*(O$14:O$71="N/A")*$F$14:$F$71)))</f>
        <v/>
      </c>
      <c r="Q14" s="22">
        <f>IF(O14="SI",P14,0)</f>
        <v/>
      </c>
      <c r="R14" s="21" t="n"/>
      <c r="S14" s="22">
        <f>IF(OR($E14=0,R$78=0),0,IF(AND(R14="N/A",$G14&lt;&gt;""),0,$F14+SUMPRODUCT(($G$14:$G$71=$A14)*($E$14:$E$71=1)*(R$14:R$71="N/A")*$F$14:$F$71)))</f>
        <v/>
      </c>
      <c r="T14" s="22">
        <f>IF(R14="SI",S14,0)</f>
        <v/>
      </c>
      <c r="U14" s="21" t="n"/>
      <c r="V14" s="22">
        <f>IF(OR($E14=0,U$78=0),0,IF(AND(U14="N/A",$G14&lt;&gt;""),0,$F14+SUMPRODUCT(($G$14:$G$71=$A14)*($E$14:$E$71=1)*(U$14:U$71="N/A")*$F$14:$F$71)))</f>
        <v/>
      </c>
      <c r="W14" s="22">
        <f>IF(U14="SI",V14,0)</f>
        <v/>
      </c>
      <c r="X14" s="21" t="n"/>
      <c r="Y14" s="22">
        <f>IF(OR($E14=0,X$78=0),0,IF(AND(X14="N/A",$G14&lt;&gt;""),0,$F14+SUMPRODUCT(($G$14:$G$71=$A14)*($E$14:$E$71=1)*(X$14:X$71="N/A")*$F$14:$F$71)))</f>
        <v/>
      </c>
      <c r="Z14" s="22">
        <f>IF(X14="SI",Y14,0)</f>
        <v/>
      </c>
      <c r="AA14" s="22">
        <f>SUM(J14,M14,P14,S14,V14,Y14)</f>
        <v/>
      </c>
      <c r="AB14" s="22">
        <f>SUM(K14,N14,Q14,T14,W14,Z14)</f>
        <v/>
      </c>
      <c r="AC14" s="23">
        <f>IF(AA14=0,"",AB14/AA14)</f>
        <v/>
      </c>
      <c r="AD14" s="22">
        <f>CRITERIOS!Q2</f>
        <v/>
      </c>
      <c r="AE14" s="22">
        <f>IF(AND(E14=1,H14&lt;&gt;"X",((I14="N/A")+(L14="N/A")+(O14="N/A")+(R14="N/A")+(U14="N/A")+(X14="N/A"))&gt;0),"REVISAR","")</f>
        <v/>
      </c>
    </row>
    <row r="15">
      <c r="A15" s="19">
        <f>CRITERIOS!B3</f>
        <v/>
      </c>
      <c r="B15" s="19">
        <f>CRITERIOS!C3</f>
        <v/>
      </c>
      <c r="C15" s="20">
        <f>CRITERIOS!D3</f>
        <v/>
      </c>
      <c r="D15" s="19">
        <f>CRITERIOS!E3</f>
        <v/>
      </c>
      <c r="E15" s="19">
        <f>IFERROR(IF(AND(OR(CRITERIOS!F3="Todos",CRITERIOS!F3=$B$4),INDEX(CRITERIOS!H3:J3,MATCH($B$5,VARIABLES!$E$2:$E$4,0))=1),1,0),0)</f>
        <v/>
      </c>
      <c r="F15" s="19">
        <f>IFERROR(IF(E15=1,INDEX(CRITERIOS!K3:M3,MATCH($B$5,VARIABLES!$E$2:$E$4,0)),0),0)</f>
        <v/>
      </c>
      <c r="G15" s="19">
        <f>IF(CRITERIOS!N3="","",CRITERIOS!N3)</f>
        <v/>
      </c>
      <c r="H15" s="19">
        <f>IF(CRITERIOS!O3="","",CRITERIOS!O3)</f>
        <v/>
      </c>
      <c r="I15" s="21" t="n"/>
      <c r="J15" s="22">
        <f>IF(OR($E15=0,I$78=0),0,IF(AND(I15="N/A",$G15&lt;&gt;""),0,$F15+SUMPRODUCT(($G$14:$G$71=$A15)*($E$14:$E$71=1)*(I$14:I$71="N/A")*$F$14:$F$71)))</f>
        <v/>
      </c>
      <c r="K15" s="22">
        <f>IF(I15="SI",J15,0)</f>
        <v/>
      </c>
      <c r="L15" s="21" t="n"/>
      <c r="M15" s="22">
        <f>IF(OR($E15=0,L$78=0),0,IF(AND(L15="N/A",$G15&lt;&gt;""),0,$F15+SUMPRODUCT(($G$14:$G$71=$A15)*($E$14:$E$71=1)*(L$14:L$71="N/A")*$F$14:$F$71)))</f>
        <v/>
      </c>
      <c r="N15" s="22">
        <f>IF(L15="SI",M15,0)</f>
        <v/>
      </c>
      <c r="O15" s="21" t="n"/>
      <c r="P15" s="22">
        <f>IF(OR($E15=0,O$78=0),0,IF(AND(O15="N/A",$G15&lt;&gt;""),0,$F15+SUMPRODUCT(($G$14:$G$71=$A15)*($E$14:$E$71=1)*(O$14:O$71="N/A")*$F$14:$F$71)))</f>
        <v/>
      </c>
      <c r="Q15" s="22">
        <f>IF(O15="SI",P15,0)</f>
        <v/>
      </c>
      <c r="R15" s="21" t="n"/>
      <c r="S15" s="22">
        <f>IF(OR($E15=0,R$78=0),0,IF(AND(R15="N/A",$G15&lt;&gt;""),0,$F15+SUMPRODUCT(($G$14:$G$71=$A15)*($E$14:$E$71=1)*(R$14:R$71="N/A")*$F$14:$F$71)))</f>
        <v/>
      </c>
      <c r="T15" s="22">
        <f>IF(R15="SI",S15,0)</f>
        <v/>
      </c>
      <c r="U15" s="21" t="n"/>
      <c r="V15" s="22">
        <f>IF(OR($E15=0,U$78=0),0,IF(AND(U15="N/A",$G15&lt;&gt;""),0,$F15+SUMPRODUCT(($G$14:$G$71=$A15)*($E$14:$E$71=1)*(U$14:U$71="N/A")*$F$14:$F$71)))</f>
        <v/>
      </c>
      <c r="W15" s="22">
        <f>IF(U15="SI",V15,0)</f>
        <v/>
      </c>
      <c r="X15" s="21" t="n"/>
      <c r="Y15" s="22">
        <f>IF(OR($E15=0,X$78=0),0,IF(AND(X15="N/A",$G15&lt;&gt;""),0,$F15+SUMPRODUCT(($G$14:$G$71=$A15)*($E$14:$E$71=1)*(X$14:X$71="N/A")*$F$14:$F$71)))</f>
        <v/>
      </c>
      <c r="Z15" s="22">
        <f>IF(X15="SI",Y15,0)</f>
        <v/>
      </c>
      <c r="AA15" s="22">
        <f>SUM(J15,M15,P15,S15,V15,Y15)</f>
        <v/>
      </c>
      <c r="AB15" s="22">
        <f>SUM(K15,N15,Q15,T15,W15,Z15)</f>
        <v/>
      </c>
      <c r="AC15" s="23">
        <f>IF(AA15=0,"",AB15/AA15)</f>
        <v/>
      </c>
      <c r="AD15" s="22">
        <f>CRITERIOS!Q3</f>
        <v/>
      </c>
      <c r="AE15" s="22">
        <f>IF(AND(E15=1,H15&lt;&gt;"X",((I15="N/A")+(L15="N/A")+(O15="N/A")+(R15="N/A")+(U15="N/A")+(X15="N/A"))&gt;0),"REVISAR","")</f>
        <v/>
      </c>
    </row>
    <row r="16">
      <c r="A16" s="19">
        <f>CRITERIOS!B4</f>
        <v/>
      </c>
      <c r="B16" s="19">
        <f>CRITERIOS!C4</f>
        <v/>
      </c>
      <c r="C16" s="20">
        <f>CRITERIOS!D4</f>
        <v/>
      </c>
      <c r="D16" s="19">
        <f>CRITERIOS!E4</f>
        <v/>
      </c>
      <c r="E16" s="19">
        <f>IFERROR(IF(AND(OR(CRITERIOS!F4="Todos",CRITERIOS!F4=$B$4),INDEX(CRITERIOS!H4:J4,MATCH($B$5,VARIABLES!$E$2:$E$4,0))=1),1,0),0)</f>
        <v/>
      </c>
      <c r="F16" s="19">
        <f>IFERROR(IF(E16=1,INDEX(CRITERIOS!K4:M4,MATCH($B$5,VARIABLES!$E$2:$E$4,0)),0),0)</f>
        <v/>
      </c>
      <c r="G16" s="19">
        <f>IF(CRITERIOS!N4="","",CRITERIOS!N4)</f>
        <v/>
      </c>
      <c r="H16" s="19">
        <f>IF(CRITERIOS!O4="","",CRITERIOS!O4)</f>
        <v/>
      </c>
      <c r="I16" s="21" t="n"/>
      <c r="J16" s="22">
        <f>IF(OR($E16=0,I$78=0),0,IF(AND(I16="N/A",$G16&lt;&gt;""),0,$F16+SUMPRODUCT(($G$14:$G$71=$A16)*($E$14:$E$71=1)*(I$14:I$71="N/A")*$F$14:$F$71)))</f>
        <v/>
      </c>
      <c r="K16" s="22">
        <f>IF(I16="SI",J16,0)</f>
        <v/>
      </c>
      <c r="L16" s="21" t="n"/>
      <c r="M16" s="22">
        <f>IF(OR($E16=0,L$78=0),0,IF(AND(L16="N/A",$G16&lt;&gt;""),0,$F16+SUMPRODUCT(($G$14:$G$71=$A16)*($E$14:$E$71=1)*(L$14:L$71="N/A")*$F$14:$F$71)))</f>
        <v/>
      </c>
      <c r="N16" s="22">
        <f>IF(L16="SI",M16,0)</f>
        <v/>
      </c>
      <c r="O16" s="21" t="n"/>
      <c r="P16" s="22">
        <f>IF(OR($E16=0,O$78=0),0,IF(AND(O16="N/A",$G16&lt;&gt;""),0,$F16+SUMPRODUCT(($G$14:$G$71=$A16)*($E$14:$E$71=1)*(O$14:O$71="N/A")*$F$14:$F$71)))</f>
        <v/>
      </c>
      <c r="Q16" s="22">
        <f>IF(O16="SI",P16,0)</f>
        <v/>
      </c>
      <c r="R16" s="21" t="n"/>
      <c r="S16" s="22">
        <f>IF(OR($E16=0,R$78=0),0,IF(AND(R16="N/A",$G16&lt;&gt;""),0,$F16+SUMPRODUCT(($G$14:$G$71=$A16)*($E$14:$E$71=1)*(R$14:R$71="N/A")*$F$14:$F$71)))</f>
        <v/>
      </c>
      <c r="T16" s="22">
        <f>IF(R16="SI",S16,0)</f>
        <v/>
      </c>
      <c r="U16" s="21" t="n"/>
      <c r="V16" s="22">
        <f>IF(OR($E16=0,U$78=0),0,IF(AND(U16="N/A",$G16&lt;&gt;""),0,$F16+SUMPRODUCT(($G$14:$G$71=$A16)*($E$14:$E$71=1)*(U$14:U$71="N/A")*$F$14:$F$71)))</f>
        <v/>
      </c>
      <c r="W16" s="22">
        <f>IF(U16="SI",V16,0)</f>
        <v/>
      </c>
      <c r="X16" s="21" t="n"/>
      <c r="Y16" s="22">
        <f>IF(OR($E16=0,X$78=0),0,IF(AND(X16="N/A",$G16&lt;&gt;""),0,$F16+SUMPRODUCT(($G$14:$G$71=$A16)*($E$14:$E$71=1)*(X$14:X$71="N/A")*$F$14:$F$71)))</f>
        <v/>
      </c>
      <c r="Z16" s="22">
        <f>IF(X16="SI",Y16,0)</f>
        <v/>
      </c>
      <c r="AA16" s="22">
        <f>SUM(J16,M16,P16,S16,V16,Y16)</f>
        <v/>
      </c>
      <c r="AB16" s="22">
        <f>SUM(K16,N16,Q16,T16,W16,Z16)</f>
        <v/>
      </c>
      <c r="AC16" s="23">
        <f>IF(AA16=0,"",AB16/AA16)</f>
        <v/>
      </c>
      <c r="AD16" s="22">
        <f>CRITERIOS!Q4</f>
        <v/>
      </c>
      <c r="AE16" s="22">
        <f>IF(AND(E16=1,H16&lt;&gt;"X",((I16="N/A")+(L16="N/A")+(O16="N/A")+(R16="N/A")+(U16="N/A")+(X16="N/A"))&gt;0),"REVISAR","")</f>
        <v/>
      </c>
    </row>
    <row r="17">
      <c r="A17" s="19">
        <f>CRITERIOS!B5</f>
        <v/>
      </c>
      <c r="B17" s="19">
        <f>CRITERIOS!C5</f>
        <v/>
      </c>
      <c r="C17" s="20">
        <f>CRITERIOS!D5</f>
        <v/>
      </c>
      <c r="D17" s="19">
        <f>CRITERIOS!E5</f>
        <v/>
      </c>
      <c r="E17" s="19">
        <f>IFERROR(IF(AND(OR(CRITERIOS!F5="Todos",CRITERIOS!F5=$B$4),INDEX(CRITERIOS!H5:J5,MATCH($B$5,VARIABLES!$E$2:$E$4,0))=1),1,0),0)</f>
        <v/>
      </c>
      <c r="F17" s="19">
        <f>IFERROR(IF(E17=1,INDEX(CRITERIOS!K5:M5,MATCH($B$5,VARIABLES!$E$2:$E$4,0)),0),0)</f>
        <v/>
      </c>
      <c r="G17" s="19">
        <f>IF(CRITERIOS!N5="","",CRITERIOS!N5)</f>
        <v/>
      </c>
      <c r="H17" s="19">
        <f>IF(CRITERIOS!O5="","",CRITERIOS!O5)</f>
        <v/>
      </c>
      <c r="I17" s="21" t="n"/>
      <c r="J17" s="22">
        <f>IF(OR($E17=0,I$78=0),0,IF(AND(I17="N/A",$G17&lt;&gt;""),0,$F17+SUMPRODUCT(($G$14:$G$71=$A17)*($E$14:$E$71=1)*(I$14:I$71="N/A")*$F$14:$F$71)))</f>
        <v/>
      </c>
      <c r="K17" s="22">
        <f>IF(I17="SI",J17,0)</f>
        <v/>
      </c>
      <c r="L17" s="21" t="n"/>
      <c r="M17" s="22">
        <f>IF(OR($E17=0,L$78=0),0,IF(AND(L17="N/A",$G17&lt;&gt;""),0,$F17+SUMPRODUCT(($G$14:$G$71=$A17)*($E$14:$E$71=1)*(L$14:L$71="N/A")*$F$14:$F$71)))</f>
        <v/>
      </c>
      <c r="N17" s="22">
        <f>IF(L17="SI",M17,0)</f>
        <v/>
      </c>
      <c r="O17" s="21" t="n"/>
      <c r="P17" s="22">
        <f>IF(OR($E17=0,O$78=0),0,IF(AND(O17="N/A",$G17&lt;&gt;""),0,$F17+SUMPRODUCT(($G$14:$G$71=$A17)*($E$14:$E$71=1)*(O$14:O$71="N/A")*$F$14:$F$71)))</f>
        <v/>
      </c>
      <c r="Q17" s="22">
        <f>IF(O17="SI",P17,0)</f>
        <v/>
      </c>
      <c r="R17" s="21" t="n"/>
      <c r="S17" s="22">
        <f>IF(OR($E17=0,R$78=0),0,IF(AND(R17="N/A",$G17&lt;&gt;""),0,$F17+SUMPRODUCT(($G$14:$G$71=$A17)*($E$14:$E$71=1)*(R$14:R$71="N/A")*$F$14:$F$71)))</f>
        <v/>
      </c>
      <c r="T17" s="22">
        <f>IF(R17="SI",S17,0)</f>
        <v/>
      </c>
      <c r="U17" s="21" t="n"/>
      <c r="V17" s="22">
        <f>IF(OR($E17=0,U$78=0),0,IF(AND(U17="N/A",$G17&lt;&gt;""),0,$F17+SUMPRODUCT(($G$14:$G$71=$A17)*($E$14:$E$71=1)*(U$14:U$71="N/A")*$F$14:$F$71)))</f>
        <v/>
      </c>
      <c r="W17" s="22">
        <f>IF(U17="SI",V17,0)</f>
        <v/>
      </c>
      <c r="X17" s="21" t="n"/>
      <c r="Y17" s="22">
        <f>IF(OR($E17=0,X$78=0),0,IF(AND(X17="N/A",$G17&lt;&gt;""),0,$F17+SUMPRODUCT(($G$14:$G$71=$A17)*($E$14:$E$71=1)*(X$14:X$71="N/A")*$F$14:$F$71)))</f>
        <v/>
      </c>
      <c r="Z17" s="22">
        <f>IF(X17="SI",Y17,0)</f>
        <v/>
      </c>
      <c r="AA17" s="22">
        <f>SUM(J17,M17,P17,S17,V17,Y17)</f>
        <v/>
      </c>
      <c r="AB17" s="22">
        <f>SUM(K17,N17,Q17,T17,W17,Z17)</f>
        <v/>
      </c>
      <c r="AC17" s="23">
        <f>IF(AA17=0,"",AB17/AA17)</f>
        <v/>
      </c>
      <c r="AD17" s="22">
        <f>CRITERIOS!Q5</f>
        <v/>
      </c>
      <c r="AE17" s="22">
        <f>IF(AND(E17=1,H17&lt;&gt;"X",((I17="N/A")+(L17="N/A")+(O17="N/A")+(R17="N/A")+(U17="N/A")+(X17="N/A"))&gt;0),"REVISAR","")</f>
        <v/>
      </c>
    </row>
    <row r="18">
      <c r="A18" s="19">
        <f>CRITERIOS!B6</f>
        <v/>
      </c>
      <c r="B18" s="19">
        <f>CRITERIOS!C6</f>
        <v/>
      </c>
      <c r="C18" s="20">
        <f>CRITERIOS!D6</f>
        <v/>
      </c>
      <c r="D18" s="19">
        <f>CRITERIOS!E6</f>
        <v/>
      </c>
      <c r="E18" s="19">
        <f>IFERROR(IF(AND(OR(CRITERIOS!F6="Todos",CRITERIOS!F6=$B$4),INDEX(CRITERIOS!H6:J6,MATCH($B$5,VARIABLES!$E$2:$E$4,0))=1),1,0),0)</f>
        <v/>
      </c>
      <c r="F18" s="19">
        <f>IFERROR(IF(E18=1,INDEX(CRITERIOS!K6:M6,MATCH($B$5,VARIABLES!$E$2:$E$4,0)),0),0)</f>
        <v/>
      </c>
      <c r="G18" s="19">
        <f>IF(CRITERIOS!N6="","",CRITERIOS!N6)</f>
        <v/>
      </c>
      <c r="H18" s="19">
        <f>IF(CRITERIOS!O6="","",CRITERIOS!O6)</f>
        <v/>
      </c>
      <c r="I18" s="21" t="n"/>
      <c r="J18" s="22">
        <f>IF(OR($E18=0,I$78=0),0,IF(AND(I18="N/A",$G18&lt;&gt;""),0,$F18+SUMPRODUCT(($G$14:$G$71=$A18)*($E$14:$E$71=1)*(I$14:I$71="N/A")*$F$14:$F$71)))</f>
        <v/>
      </c>
      <c r="K18" s="22">
        <f>IF(I18="SI",J18,0)</f>
        <v/>
      </c>
      <c r="L18" s="21" t="n"/>
      <c r="M18" s="22">
        <f>IF(OR($E18=0,L$78=0),0,IF(AND(L18="N/A",$G18&lt;&gt;""),0,$F18+SUMPRODUCT(($G$14:$G$71=$A18)*($E$14:$E$71=1)*(L$14:L$71="N/A")*$F$14:$F$71)))</f>
        <v/>
      </c>
      <c r="N18" s="22">
        <f>IF(L18="SI",M18,0)</f>
        <v/>
      </c>
      <c r="O18" s="21" t="n"/>
      <c r="P18" s="22">
        <f>IF(OR($E18=0,O$78=0),0,IF(AND(O18="N/A",$G18&lt;&gt;""),0,$F18+SUMPRODUCT(($G$14:$G$71=$A18)*($E$14:$E$71=1)*(O$14:O$71="N/A")*$F$14:$F$71)))</f>
        <v/>
      </c>
      <c r="Q18" s="22">
        <f>IF(O18="SI",P18,0)</f>
        <v/>
      </c>
      <c r="R18" s="21" t="n"/>
      <c r="S18" s="22">
        <f>IF(OR($E18=0,R$78=0),0,IF(AND(R18="N/A",$G18&lt;&gt;""),0,$F18+SUMPRODUCT(($G$14:$G$71=$A18)*($E$14:$E$71=1)*(R$14:R$71="N/A")*$F$14:$F$71)))</f>
        <v/>
      </c>
      <c r="T18" s="22">
        <f>IF(R18="SI",S18,0)</f>
        <v/>
      </c>
      <c r="U18" s="21" t="n"/>
      <c r="V18" s="22">
        <f>IF(OR($E18=0,U$78=0),0,IF(AND(U18="N/A",$G18&lt;&gt;""),0,$F18+SUMPRODUCT(($G$14:$G$71=$A18)*($E$14:$E$71=1)*(U$14:U$71="N/A")*$F$14:$F$71)))</f>
        <v/>
      </c>
      <c r="W18" s="22">
        <f>IF(U18="SI",V18,0)</f>
        <v/>
      </c>
      <c r="X18" s="21" t="n"/>
      <c r="Y18" s="22">
        <f>IF(OR($E18=0,X$78=0),0,IF(AND(X18="N/A",$G18&lt;&gt;""),0,$F18+SUMPRODUCT(($G$14:$G$71=$A18)*($E$14:$E$71=1)*(X$14:X$71="N/A")*$F$14:$F$71)))</f>
        <v/>
      </c>
      <c r="Z18" s="22">
        <f>IF(X18="SI",Y18,0)</f>
        <v/>
      </c>
      <c r="AA18" s="22">
        <f>SUM(J18,M18,P18,S18,V18,Y18)</f>
        <v/>
      </c>
      <c r="AB18" s="22">
        <f>SUM(K18,N18,Q18,T18,W18,Z18)</f>
        <v/>
      </c>
      <c r="AC18" s="23">
        <f>IF(AA18=0,"",AB18/AA18)</f>
        <v/>
      </c>
      <c r="AD18" s="22">
        <f>CRITERIOS!Q6</f>
        <v/>
      </c>
      <c r="AE18" s="22">
        <f>IF(AND(E18=1,H18&lt;&gt;"X",((I18="N/A")+(L18="N/A")+(O18="N/A")+(R18="N/A")+(U18="N/A")+(X18="N/A"))&gt;0),"REVISAR","")</f>
        <v/>
      </c>
    </row>
    <row r="19">
      <c r="A19" s="19">
        <f>CRITERIOS!B7</f>
        <v/>
      </c>
      <c r="B19" s="19">
        <f>CRITERIOS!C7</f>
        <v/>
      </c>
      <c r="C19" s="20">
        <f>CRITERIOS!D7</f>
        <v/>
      </c>
      <c r="D19" s="19">
        <f>CRITERIOS!E7</f>
        <v/>
      </c>
      <c r="E19" s="19">
        <f>IFERROR(IF(AND(OR(CRITERIOS!F7="Todos",CRITERIOS!F7=$B$4),INDEX(CRITERIOS!H7:J7,MATCH($B$5,VARIABLES!$E$2:$E$4,0))=1),1,0),0)</f>
        <v/>
      </c>
      <c r="F19" s="19">
        <f>IFERROR(IF(E19=1,INDEX(CRITERIOS!K7:M7,MATCH($B$5,VARIABLES!$E$2:$E$4,0)),0),0)</f>
        <v/>
      </c>
      <c r="G19" s="19">
        <f>IF(CRITERIOS!N7="","",CRITERIOS!N7)</f>
        <v/>
      </c>
      <c r="H19" s="19">
        <f>IF(CRITERIOS!O7="","",CRITERIOS!O7)</f>
        <v/>
      </c>
      <c r="I19" s="21" t="n"/>
      <c r="J19" s="22">
        <f>IF(OR($E19=0,I$78=0),0,IF(AND(I19="N/A",$G19&lt;&gt;""),0,$F19+SUMPRODUCT(($G$14:$G$71=$A19)*($E$14:$E$71=1)*(I$14:I$71="N/A")*$F$14:$F$71)))</f>
        <v/>
      </c>
      <c r="K19" s="22">
        <f>IF(I19="SI",J19,0)</f>
        <v/>
      </c>
      <c r="L19" s="21" t="n"/>
      <c r="M19" s="22">
        <f>IF(OR($E19=0,L$78=0),0,IF(AND(L19="N/A",$G19&lt;&gt;""),0,$F19+SUMPRODUCT(($G$14:$G$71=$A19)*($E$14:$E$71=1)*(L$14:L$71="N/A")*$F$14:$F$71)))</f>
        <v/>
      </c>
      <c r="N19" s="22">
        <f>IF(L19="SI",M19,0)</f>
        <v/>
      </c>
      <c r="O19" s="21" t="n"/>
      <c r="P19" s="22">
        <f>IF(OR($E19=0,O$78=0),0,IF(AND(O19="N/A",$G19&lt;&gt;""),0,$F19+SUMPRODUCT(($G$14:$G$71=$A19)*($E$14:$E$71=1)*(O$14:O$71="N/A")*$F$14:$F$71)))</f>
        <v/>
      </c>
      <c r="Q19" s="22">
        <f>IF(O19="SI",P19,0)</f>
        <v/>
      </c>
      <c r="R19" s="21" t="n"/>
      <c r="S19" s="22">
        <f>IF(OR($E19=0,R$78=0),0,IF(AND(R19="N/A",$G19&lt;&gt;""),0,$F19+SUMPRODUCT(($G$14:$G$71=$A19)*($E$14:$E$71=1)*(R$14:R$71="N/A")*$F$14:$F$71)))</f>
        <v/>
      </c>
      <c r="T19" s="22">
        <f>IF(R19="SI",S19,0)</f>
        <v/>
      </c>
      <c r="U19" s="21" t="n"/>
      <c r="V19" s="22">
        <f>IF(OR($E19=0,U$78=0),0,IF(AND(U19="N/A",$G19&lt;&gt;""),0,$F19+SUMPRODUCT(($G$14:$G$71=$A19)*($E$14:$E$71=1)*(U$14:U$71="N/A")*$F$14:$F$71)))</f>
        <v/>
      </c>
      <c r="W19" s="22">
        <f>IF(U19="SI",V19,0)</f>
        <v/>
      </c>
      <c r="X19" s="21" t="n"/>
      <c r="Y19" s="22">
        <f>IF(OR($E19=0,X$78=0),0,IF(AND(X19="N/A",$G19&lt;&gt;""),0,$F19+SUMPRODUCT(($G$14:$G$71=$A19)*($E$14:$E$71=1)*(X$14:X$71="N/A")*$F$14:$F$71)))</f>
        <v/>
      </c>
      <c r="Z19" s="22">
        <f>IF(X19="SI",Y19,0)</f>
        <v/>
      </c>
      <c r="AA19" s="22">
        <f>SUM(J19,M19,P19,S19,V19,Y19)</f>
        <v/>
      </c>
      <c r="AB19" s="22">
        <f>SUM(K19,N19,Q19,T19,W19,Z19)</f>
        <v/>
      </c>
      <c r="AC19" s="23">
        <f>IF(AA19=0,"",AB19/AA19)</f>
        <v/>
      </c>
      <c r="AD19" s="22">
        <f>CRITERIOS!Q7</f>
        <v/>
      </c>
      <c r="AE19" s="22">
        <f>IF(AND(E19=1,H19&lt;&gt;"X",((I19="N/A")+(L19="N/A")+(O19="N/A")+(R19="N/A")+(U19="N/A")+(X19="N/A"))&gt;0),"REVISAR","")</f>
        <v/>
      </c>
    </row>
    <row r="20">
      <c r="A20" s="19">
        <f>CRITERIOS!B8</f>
        <v/>
      </c>
      <c r="B20" s="19">
        <f>CRITERIOS!C8</f>
        <v/>
      </c>
      <c r="C20" s="20">
        <f>CRITERIOS!D8</f>
        <v/>
      </c>
      <c r="D20" s="19">
        <f>CRITERIOS!E8</f>
        <v/>
      </c>
      <c r="E20" s="19">
        <f>IFERROR(IF(AND(OR(CRITERIOS!F8="Todos",CRITERIOS!F8=$B$4),INDEX(CRITERIOS!H8:J8,MATCH($B$5,VARIABLES!$E$2:$E$4,0))=1),1,0),0)</f>
        <v/>
      </c>
      <c r="F20" s="19">
        <f>IFERROR(IF(E20=1,INDEX(CRITERIOS!K8:M8,MATCH($B$5,VARIABLES!$E$2:$E$4,0)),0),0)</f>
        <v/>
      </c>
      <c r="G20" s="19">
        <f>IF(CRITERIOS!N8="","",CRITERIOS!N8)</f>
        <v/>
      </c>
      <c r="H20" s="19">
        <f>IF(CRITERIOS!O8="","",CRITERIOS!O8)</f>
        <v/>
      </c>
      <c r="I20" s="21" t="n"/>
      <c r="J20" s="22">
        <f>IF(OR($E20=0,I$78=0),0,IF(AND(I20="N/A",$G20&lt;&gt;""),0,$F20+SUMPRODUCT(($G$14:$G$71=$A20)*($E$14:$E$71=1)*(I$14:I$71="N/A")*$F$14:$F$71)))</f>
        <v/>
      </c>
      <c r="K20" s="22">
        <f>IF(I20="SI",J20,0)</f>
        <v/>
      </c>
      <c r="L20" s="21" t="n"/>
      <c r="M20" s="22">
        <f>IF(OR($E20=0,L$78=0),0,IF(AND(L20="N/A",$G20&lt;&gt;""),0,$F20+SUMPRODUCT(($G$14:$G$71=$A20)*($E$14:$E$71=1)*(L$14:L$71="N/A")*$F$14:$F$71)))</f>
        <v/>
      </c>
      <c r="N20" s="22">
        <f>IF(L20="SI",M20,0)</f>
        <v/>
      </c>
      <c r="O20" s="21" t="n"/>
      <c r="P20" s="22">
        <f>IF(OR($E20=0,O$78=0),0,IF(AND(O20="N/A",$G20&lt;&gt;""),0,$F20+SUMPRODUCT(($G$14:$G$71=$A20)*($E$14:$E$71=1)*(O$14:O$71="N/A")*$F$14:$F$71)))</f>
        <v/>
      </c>
      <c r="Q20" s="22">
        <f>IF(O20="SI",P20,0)</f>
        <v/>
      </c>
      <c r="R20" s="21" t="n"/>
      <c r="S20" s="22">
        <f>IF(OR($E20=0,R$78=0),0,IF(AND(R20="N/A",$G20&lt;&gt;""),0,$F20+SUMPRODUCT(($G$14:$G$71=$A20)*($E$14:$E$71=1)*(R$14:R$71="N/A")*$F$14:$F$71)))</f>
        <v/>
      </c>
      <c r="T20" s="22">
        <f>IF(R20="SI",S20,0)</f>
        <v/>
      </c>
      <c r="U20" s="21" t="n"/>
      <c r="V20" s="22">
        <f>IF(OR($E20=0,U$78=0),0,IF(AND(U20="N/A",$G20&lt;&gt;""),0,$F20+SUMPRODUCT(($G$14:$G$71=$A20)*($E$14:$E$71=1)*(U$14:U$71="N/A")*$F$14:$F$71)))</f>
        <v/>
      </c>
      <c r="W20" s="22">
        <f>IF(U20="SI",V20,0)</f>
        <v/>
      </c>
      <c r="X20" s="21" t="n"/>
      <c r="Y20" s="22">
        <f>IF(OR($E20=0,X$78=0),0,IF(AND(X20="N/A",$G20&lt;&gt;""),0,$F20+SUMPRODUCT(($G$14:$G$71=$A20)*($E$14:$E$71=1)*(X$14:X$71="N/A")*$F$14:$F$71)))</f>
        <v/>
      </c>
      <c r="Z20" s="22">
        <f>IF(X20="SI",Y20,0)</f>
        <v/>
      </c>
      <c r="AA20" s="22">
        <f>SUM(J20,M20,P20,S20,V20,Y20)</f>
        <v/>
      </c>
      <c r="AB20" s="22">
        <f>SUM(K20,N20,Q20,T20,W20,Z20)</f>
        <v/>
      </c>
      <c r="AC20" s="23">
        <f>IF(AA20=0,"",AB20/AA20)</f>
        <v/>
      </c>
      <c r="AD20" s="22">
        <f>CRITERIOS!Q8</f>
        <v/>
      </c>
      <c r="AE20" s="22">
        <f>IF(AND(E20=1,H20&lt;&gt;"X",((I20="N/A")+(L20="N/A")+(O20="N/A")+(R20="N/A")+(U20="N/A")+(X20="N/A"))&gt;0),"REVISAR","")</f>
        <v/>
      </c>
    </row>
    <row r="21">
      <c r="A21" s="19">
        <f>CRITERIOS!B9</f>
        <v/>
      </c>
      <c r="B21" s="19">
        <f>CRITERIOS!C9</f>
        <v/>
      </c>
      <c r="C21" s="20">
        <f>CRITERIOS!D9</f>
        <v/>
      </c>
      <c r="D21" s="19">
        <f>CRITERIOS!E9</f>
        <v/>
      </c>
      <c r="E21" s="19">
        <f>IFERROR(IF(AND(OR(CRITERIOS!F9="Todos",CRITERIOS!F9=$B$4),INDEX(CRITERIOS!H9:J9,MATCH($B$5,VARIABLES!$E$2:$E$4,0))=1),1,0),0)</f>
        <v/>
      </c>
      <c r="F21" s="19">
        <f>IFERROR(IF(E21=1,INDEX(CRITERIOS!K9:M9,MATCH($B$5,VARIABLES!$E$2:$E$4,0)),0),0)</f>
        <v/>
      </c>
      <c r="G21" s="19">
        <f>IF(CRITERIOS!N9="","",CRITERIOS!N9)</f>
        <v/>
      </c>
      <c r="H21" s="19">
        <f>IF(CRITERIOS!O9="","",CRITERIOS!O9)</f>
        <v/>
      </c>
      <c r="I21" s="21" t="n"/>
      <c r="J21" s="22">
        <f>IF(OR($E21=0,I$78=0),0,IF(AND(I21="N/A",$G21&lt;&gt;""),0,$F21+SUMPRODUCT(($G$14:$G$71=$A21)*($E$14:$E$71=1)*(I$14:I$71="N/A")*$F$14:$F$71)))</f>
        <v/>
      </c>
      <c r="K21" s="22">
        <f>IF(I21="SI",J21,0)</f>
        <v/>
      </c>
      <c r="L21" s="21" t="n"/>
      <c r="M21" s="22">
        <f>IF(OR($E21=0,L$78=0),0,IF(AND(L21="N/A",$G21&lt;&gt;""),0,$F21+SUMPRODUCT(($G$14:$G$71=$A21)*($E$14:$E$71=1)*(L$14:L$71="N/A")*$F$14:$F$71)))</f>
        <v/>
      </c>
      <c r="N21" s="22">
        <f>IF(L21="SI",M21,0)</f>
        <v/>
      </c>
      <c r="O21" s="21" t="n"/>
      <c r="P21" s="22">
        <f>IF(OR($E21=0,O$78=0),0,IF(AND(O21="N/A",$G21&lt;&gt;""),0,$F21+SUMPRODUCT(($G$14:$G$71=$A21)*($E$14:$E$71=1)*(O$14:O$71="N/A")*$F$14:$F$71)))</f>
        <v/>
      </c>
      <c r="Q21" s="22">
        <f>IF(O21="SI",P21,0)</f>
        <v/>
      </c>
      <c r="R21" s="21" t="n"/>
      <c r="S21" s="22">
        <f>IF(OR($E21=0,R$78=0),0,IF(AND(R21="N/A",$G21&lt;&gt;""),0,$F21+SUMPRODUCT(($G$14:$G$71=$A21)*($E$14:$E$71=1)*(R$14:R$71="N/A")*$F$14:$F$71)))</f>
        <v/>
      </c>
      <c r="T21" s="22">
        <f>IF(R21="SI",S21,0)</f>
        <v/>
      </c>
      <c r="U21" s="21" t="n"/>
      <c r="V21" s="22">
        <f>IF(OR($E21=0,U$78=0),0,IF(AND(U21="N/A",$G21&lt;&gt;""),0,$F21+SUMPRODUCT(($G$14:$G$71=$A21)*($E$14:$E$71=1)*(U$14:U$71="N/A")*$F$14:$F$71)))</f>
        <v/>
      </c>
      <c r="W21" s="22">
        <f>IF(U21="SI",V21,0)</f>
        <v/>
      </c>
      <c r="X21" s="21" t="n"/>
      <c r="Y21" s="22">
        <f>IF(OR($E21=0,X$78=0),0,IF(AND(X21="N/A",$G21&lt;&gt;""),0,$F21+SUMPRODUCT(($G$14:$G$71=$A21)*($E$14:$E$71=1)*(X$14:X$71="N/A")*$F$14:$F$71)))</f>
        <v/>
      </c>
      <c r="Z21" s="22">
        <f>IF(X21="SI",Y21,0)</f>
        <v/>
      </c>
      <c r="AA21" s="22">
        <f>SUM(J21,M21,P21,S21,V21,Y21)</f>
        <v/>
      </c>
      <c r="AB21" s="22">
        <f>SUM(K21,N21,Q21,T21,W21,Z21)</f>
        <v/>
      </c>
      <c r="AC21" s="23">
        <f>IF(AA21=0,"",AB21/AA21)</f>
        <v/>
      </c>
      <c r="AD21" s="22">
        <f>CRITERIOS!Q9</f>
        <v/>
      </c>
      <c r="AE21" s="22">
        <f>IF(AND(E21=1,H21&lt;&gt;"X",((I21="N/A")+(L21="N/A")+(O21="N/A")+(R21="N/A")+(U21="N/A")+(X21="N/A"))&gt;0),"REVISAR","")</f>
        <v/>
      </c>
    </row>
    <row r="22">
      <c r="A22" s="19">
        <f>CRITERIOS!B10</f>
        <v/>
      </c>
      <c r="B22" s="19">
        <f>CRITERIOS!C10</f>
        <v/>
      </c>
      <c r="C22" s="20">
        <f>CRITERIOS!D10</f>
        <v/>
      </c>
      <c r="D22" s="19">
        <f>CRITERIOS!E10</f>
        <v/>
      </c>
      <c r="E22" s="19">
        <f>IFERROR(IF(AND(OR(CRITERIOS!F10="Todos",CRITERIOS!F10=$B$4),INDEX(CRITERIOS!H10:J10,MATCH($B$5,VARIABLES!$E$2:$E$4,0))=1),1,0),0)</f>
        <v/>
      </c>
      <c r="F22" s="19">
        <f>IFERROR(IF(E22=1,INDEX(CRITERIOS!K10:M10,MATCH($B$5,VARIABLES!$E$2:$E$4,0)),0),0)</f>
        <v/>
      </c>
      <c r="G22" s="19">
        <f>IF(CRITERIOS!N10="","",CRITERIOS!N10)</f>
        <v/>
      </c>
      <c r="H22" s="19">
        <f>IF(CRITERIOS!O10="","",CRITERIOS!O10)</f>
        <v/>
      </c>
      <c r="I22" s="21" t="n"/>
      <c r="J22" s="22">
        <f>IF(OR($E22=0,I$78=0),0,IF(AND(I22="N/A",$G22&lt;&gt;""),0,$F22+SUMPRODUCT(($G$14:$G$71=$A22)*($E$14:$E$71=1)*(I$14:I$71="N/A")*$F$14:$F$71)))</f>
        <v/>
      </c>
      <c r="K22" s="22">
        <f>IF(I22="SI",J22,0)</f>
        <v/>
      </c>
      <c r="L22" s="21" t="n"/>
      <c r="M22" s="22">
        <f>IF(OR($E22=0,L$78=0),0,IF(AND(L22="N/A",$G22&lt;&gt;""),0,$F22+SUMPRODUCT(($G$14:$G$71=$A22)*($E$14:$E$71=1)*(L$14:L$71="N/A")*$F$14:$F$71)))</f>
        <v/>
      </c>
      <c r="N22" s="22">
        <f>IF(L22="SI",M22,0)</f>
        <v/>
      </c>
      <c r="O22" s="21" t="n"/>
      <c r="P22" s="22">
        <f>IF(OR($E22=0,O$78=0),0,IF(AND(O22="N/A",$G22&lt;&gt;""),0,$F22+SUMPRODUCT(($G$14:$G$71=$A22)*($E$14:$E$71=1)*(O$14:O$71="N/A")*$F$14:$F$71)))</f>
        <v/>
      </c>
      <c r="Q22" s="22">
        <f>IF(O22="SI",P22,0)</f>
        <v/>
      </c>
      <c r="R22" s="21" t="n"/>
      <c r="S22" s="22">
        <f>IF(OR($E22=0,R$78=0),0,IF(AND(R22="N/A",$G22&lt;&gt;""),0,$F22+SUMPRODUCT(($G$14:$G$71=$A22)*($E$14:$E$71=1)*(R$14:R$71="N/A")*$F$14:$F$71)))</f>
        <v/>
      </c>
      <c r="T22" s="22">
        <f>IF(R22="SI",S22,0)</f>
        <v/>
      </c>
      <c r="U22" s="21" t="n"/>
      <c r="V22" s="22">
        <f>IF(OR($E22=0,U$78=0),0,IF(AND(U22="N/A",$G22&lt;&gt;""),0,$F22+SUMPRODUCT(($G$14:$G$71=$A22)*($E$14:$E$71=1)*(U$14:U$71="N/A")*$F$14:$F$71)))</f>
        <v/>
      </c>
      <c r="W22" s="22">
        <f>IF(U22="SI",V22,0)</f>
        <v/>
      </c>
      <c r="X22" s="21" t="n"/>
      <c r="Y22" s="22">
        <f>IF(OR($E22=0,X$78=0),0,IF(AND(X22="N/A",$G22&lt;&gt;""),0,$F22+SUMPRODUCT(($G$14:$G$71=$A22)*($E$14:$E$71=1)*(X$14:X$71="N/A")*$F$14:$F$71)))</f>
        <v/>
      </c>
      <c r="Z22" s="22">
        <f>IF(X22="SI",Y22,0)</f>
        <v/>
      </c>
      <c r="AA22" s="22">
        <f>SUM(J22,M22,P22,S22,V22,Y22)</f>
        <v/>
      </c>
      <c r="AB22" s="22">
        <f>SUM(K22,N22,Q22,T22,W22,Z22)</f>
        <v/>
      </c>
      <c r="AC22" s="23">
        <f>IF(AA22=0,"",AB22/AA22)</f>
        <v/>
      </c>
      <c r="AD22" s="22">
        <f>CRITERIOS!Q10</f>
        <v/>
      </c>
      <c r="AE22" s="22">
        <f>IF(AND(E22=1,H22&lt;&gt;"X",((I22="N/A")+(L22="N/A")+(O22="N/A")+(R22="N/A")+(U22="N/A")+(X22="N/A"))&gt;0),"REVISAR","")</f>
        <v/>
      </c>
    </row>
    <row r="23">
      <c r="A23" s="19">
        <f>CRITERIOS!B11</f>
        <v/>
      </c>
      <c r="B23" s="19">
        <f>CRITERIOS!C11</f>
        <v/>
      </c>
      <c r="C23" s="20">
        <f>CRITERIOS!D11</f>
        <v/>
      </c>
      <c r="D23" s="19">
        <f>CRITERIOS!E11</f>
        <v/>
      </c>
      <c r="E23" s="19">
        <f>IFERROR(IF(AND(OR(CRITERIOS!F11="Todos",CRITERIOS!F11=$B$4),INDEX(CRITERIOS!H11:J11,MATCH($B$5,VARIABLES!$E$2:$E$4,0))=1),1,0),0)</f>
        <v/>
      </c>
      <c r="F23" s="19">
        <f>IFERROR(IF(E23=1,INDEX(CRITERIOS!K11:M11,MATCH($B$5,VARIABLES!$E$2:$E$4,0)),0),0)</f>
        <v/>
      </c>
      <c r="G23" s="19">
        <f>IF(CRITERIOS!N11="","",CRITERIOS!N11)</f>
        <v/>
      </c>
      <c r="H23" s="19">
        <f>IF(CRITERIOS!O11="","",CRITERIOS!O11)</f>
        <v/>
      </c>
      <c r="I23" s="21" t="n"/>
      <c r="J23" s="22">
        <f>IF(OR($E23=0,I$78=0),0,IF(AND(I23="N/A",$G23&lt;&gt;""),0,$F23+SUMPRODUCT(($G$14:$G$71=$A23)*($E$14:$E$71=1)*(I$14:I$71="N/A")*$F$14:$F$71)))</f>
        <v/>
      </c>
      <c r="K23" s="22">
        <f>IF(I23="SI",J23,0)</f>
        <v/>
      </c>
      <c r="L23" s="21" t="n"/>
      <c r="M23" s="22">
        <f>IF(OR($E23=0,L$78=0),0,IF(AND(L23="N/A",$G23&lt;&gt;""),0,$F23+SUMPRODUCT(($G$14:$G$71=$A23)*($E$14:$E$71=1)*(L$14:L$71="N/A")*$F$14:$F$71)))</f>
        <v/>
      </c>
      <c r="N23" s="22">
        <f>IF(L23="SI",M23,0)</f>
        <v/>
      </c>
      <c r="O23" s="21" t="n"/>
      <c r="P23" s="22">
        <f>IF(OR($E23=0,O$78=0),0,IF(AND(O23="N/A",$G23&lt;&gt;""),0,$F23+SUMPRODUCT(($G$14:$G$71=$A23)*($E$14:$E$71=1)*(O$14:O$71="N/A")*$F$14:$F$71)))</f>
        <v/>
      </c>
      <c r="Q23" s="22">
        <f>IF(O23="SI",P23,0)</f>
        <v/>
      </c>
      <c r="R23" s="21" t="n"/>
      <c r="S23" s="22">
        <f>IF(OR($E23=0,R$78=0),0,IF(AND(R23="N/A",$G23&lt;&gt;""),0,$F23+SUMPRODUCT(($G$14:$G$71=$A23)*($E$14:$E$71=1)*(R$14:R$71="N/A")*$F$14:$F$71)))</f>
        <v/>
      </c>
      <c r="T23" s="22">
        <f>IF(R23="SI",S23,0)</f>
        <v/>
      </c>
      <c r="U23" s="21" t="n"/>
      <c r="V23" s="22">
        <f>IF(OR($E23=0,U$78=0),0,IF(AND(U23="N/A",$G23&lt;&gt;""),0,$F23+SUMPRODUCT(($G$14:$G$71=$A23)*($E$14:$E$71=1)*(U$14:U$71="N/A")*$F$14:$F$71)))</f>
        <v/>
      </c>
      <c r="W23" s="22">
        <f>IF(U23="SI",V23,0)</f>
        <v/>
      </c>
      <c r="X23" s="21" t="n"/>
      <c r="Y23" s="22">
        <f>IF(OR($E23=0,X$78=0),0,IF(AND(X23="N/A",$G23&lt;&gt;""),0,$F23+SUMPRODUCT(($G$14:$G$71=$A23)*($E$14:$E$71=1)*(X$14:X$71="N/A")*$F$14:$F$71)))</f>
        <v/>
      </c>
      <c r="Z23" s="22">
        <f>IF(X23="SI",Y23,0)</f>
        <v/>
      </c>
      <c r="AA23" s="22">
        <f>SUM(J23,M23,P23,S23,V23,Y23)</f>
        <v/>
      </c>
      <c r="AB23" s="22">
        <f>SUM(K23,N23,Q23,T23,W23,Z23)</f>
        <v/>
      </c>
      <c r="AC23" s="23">
        <f>IF(AA23=0,"",AB23/AA23)</f>
        <v/>
      </c>
      <c r="AD23" s="22">
        <f>CRITERIOS!Q11</f>
        <v/>
      </c>
      <c r="AE23" s="22">
        <f>IF(AND(E23=1,H23&lt;&gt;"X",((I23="N/A")+(L23="N/A")+(O23="N/A")+(R23="N/A")+(U23="N/A")+(X23="N/A"))&gt;0),"REVISAR","")</f>
        <v/>
      </c>
    </row>
    <row r="24">
      <c r="A24" s="19">
        <f>CRITERIOS!B12</f>
        <v/>
      </c>
      <c r="B24" s="19">
        <f>CRITERIOS!C12</f>
        <v/>
      </c>
      <c r="C24" s="20">
        <f>CRITERIOS!D12</f>
        <v/>
      </c>
      <c r="D24" s="19">
        <f>CRITERIOS!E12</f>
        <v/>
      </c>
      <c r="E24" s="19">
        <f>IFERROR(IF(AND(OR(CRITERIOS!F12="Todos",CRITERIOS!F12=$B$4),INDEX(CRITERIOS!H12:J12,MATCH($B$5,VARIABLES!$E$2:$E$4,0))=1),1,0),0)</f>
        <v/>
      </c>
      <c r="F24" s="19">
        <f>IFERROR(IF(E24=1,INDEX(CRITERIOS!K12:M12,MATCH($B$5,VARIABLES!$E$2:$E$4,0)),0),0)</f>
        <v/>
      </c>
      <c r="G24" s="19">
        <f>IF(CRITERIOS!N12="","",CRITERIOS!N12)</f>
        <v/>
      </c>
      <c r="H24" s="19">
        <f>IF(CRITERIOS!O12="","",CRITERIOS!O12)</f>
        <v/>
      </c>
      <c r="I24" s="21" t="n"/>
      <c r="J24" s="22">
        <f>IF(OR($E24=0,I$78=0),0,IF(AND(I24="N/A",$G24&lt;&gt;""),0,$F24+SUMPRODUCT(($G$14:$G$71=$A24)*($E$14:$E$71=1)*(I$14:I$71="N/A")*$F$14:$F$71)))</f>
        <v/>
      </c>
      <c r="K24" s="22">
        <f>IF(I24="SI",J24,0)</f>
        <v/>
      </c>
      <c r="L24" s="21" t="n"/>
      <c r="M24" s="22">
        <f>IF(OR($E24=0,L$78=0),0,IF(AND(L24="N/A",$G24&lt;&gt;""),0,$F24+SUMPRODUCT(($G$14:$G$71=$A24)*($E$14:$E$71=1)*(L$14:L$71="N/A")*$F$14:$F$71)))</f>
        <v/>
      </c>
      <c r="N24" s="22">
        <f>IF(L24="SI",M24,0)</f>
        <v/>
      </c>
      <c r="O24" s="21" t="n"/>
      <c r="P24" s="22">
        <f>IF(OR($E24=0,O$78=0),0,IF(AND(O24="N/A",$G24&lt;&gt;""),0,$F24+SUMPRODUCT(($G$14:$G$71=$A24)*($E$14:$E$71=1)*(O$14:O$71="N/A")*$F$14:$F$71)))</f>
        <v/>
      </c>
      <c r="Q24" s="22">
        <f>IF(O24="SI",P24,0)</f>
        <v/>
      </c>
      <c r="R24" s="21" t="n"/>
      <c r="S24" s="22">
        <f>IF(OR($E24=0,R$78=0),0,IF(AND(R24="N/A",$G24&lt;&gt;""),0,$F24+SUMPRODUCT(($G$14:$G$71=$A24)*($E$14:$E$71=1)*(R$14:R$71="N/A")*$F$14:$F$71)))</f>
        <v/>
      </c>
      <c r="T24" s="22">
        <f>IF(R24="SI",S24,0)</f>
        <v/>
      </c>
      <c r="U24" s="21" t="n"/>
      <c r="V24" s="22">
        <f>IF(OR($E24=0,U$78=0),0,IF(AND(U24="N/A",$G24&lt;&gt;""),0,$F24+SUMPRODUCT(($G$14:$G$71=$A24)*($E$14:$E$71=1)*(U$14:U$71="N/A")*$F$14:$F$71)))</f>
        <v/>
      </c>
      <c r="W24" s="22">
        <f>IF(U24="SI",V24,0)</f>
        <v/>
      </c>
      <c r="X24" s="21" t="n"/>
      <c r="Y24" s="22">
        <f>IF(OR($E24=0,X$78=0),0,IF(AND(X24="N/A",$G24&lt;&gt;""),0,$F24+SUMPRODUCT(($G$14:$G$71=$A24)*($E$14:$E$71=1)*(X$14:X$71="N/A")*$F$14:$F$71)))</f>
        <v/>
      </c>
      <c r="Z24" s="22">
        <f>IF(X24="SI",Y24,0)</f>
        <v/>
      </c>
      <c r="AA24" s="22">
        <f>SUM(J24,M24,P24,S24,V24,Y24)</f>
        <v/>
      </c>
      <c r="AB24" s="22">
        <f>SUM(K24,N24,Q24,T24,W24,Z24)</f>
        <v/>
      </c>
      <c r="AC24" s="23">
        <f>IF(AA24=0,"",AB24/AA24)</f>
        <v/>
      </c>
      <c r="AD24" s="22">
        <f>CRITERIOS!Q12</f>
        <v/>
      </c>
      <c r="AE24" s="22">
        <f>IF(AND(E24=1,H24&lt;&gt;"X",((I24="N/A")+(L24="N/A")+(O24="N/A")+(R24="N/A")+(U24="N/A")+(X24="N/A"))&gt;0),"REVISAR","")</f>
        <v/>
      </c>
    </row>
    <row r="25">
      <c r="A25" s="19">
        <f>CRITERIOS!B13</f>
        <v/>
      </c>
      <c r="B25" s="19">
        <f>CRITERIOS!C13</f>
        <v/>
      </c>
      <c r="C25" s="20">
        <f>CRITERIOS!D13</f>
        <v/>
      </c>
      <c r="D25" s="19">
        <f>CRITERIOS!E13</f>
        <v/>
      </c>
      <c r="E25" s="19">
        <f>IFERROR(IF(AND(OR(CRITERIOS!F13="Todos",CRITERIOS!F13=$B$4),INDEX(CRITERIOS!H13:J13,MATCH($B$5,VARIABLES!$E$2:$E$4,0))=1),1,0),0)</f>
        <v/>
      </c>
      <c r="F25" s="19">
        <f>IFERROR(IF(E25=1,INDEX(CRITERIOS!K13:M13,MATCH($B$5,VARIABLES!$E$2:$E$4,0)),0),0)</f>
        <v/>
      </c>
      <c r="G25" s="19">
        <f>IF(CRITERIOS!N13="","",CRITERIOS!N13)</f>
        <v/>
      </c>
      <c r="H25" s="19">
        <f>IF(CRITERIOS!O13="","",CRITERIOS!O13)</f>
        <v/>
      </c>
      <c r="I25" s="21" t="n"/>
      <c r="J25" s="22">
        <f>IF(OR($E25=0,I$78=0),0,IF(AND(I25="N/A",$G25&lt;&gt;""),0,$F25+SUMPRODUCT(($G$14:$G$71=$A25)*($E$14:$E$71=1)*(I$14:I$71="N/A")*$F$14:$F$71)))</f>
        <v/>
      </c>
      <c r="K25" s="22">
        <f>IF(I25="SI",J25,0)</f>
        <v/>
      </c>
      <c r="L25" s="21" t="n"/>
      <c r="M25" s="22">
        <f>IF(OR($E25=0,L$78=0),0,IF(AND(L25="N/A",$G25&lt;&gt;""),0,$F25+SUMPRODUCT(($G$14:$G$71=$A25)*($E$14:$E$71=1)*(L$14:L$71="N/A")*$F$14:$F$71)))</f>
        <v/>
      </c>
      <c r="N25" s="22">
        <f>IF(L25="SI",M25,0)</f>
        <v/>
      </c>
      <c r="O25" s="21" t="n"/>
      <c r="P25" s="22">
        <f>IF(OR($E25=0,O$78=0),0,IF(AND(O25="N/A",$G25&lt;&gt;""),0,$F25+SUMPRODUCT(($G$14:$G$71=$A25)*($E$14:$E$71=1)*(O$14:O$71="N/A")*$F$14:$F$71)))</f>
        <v/>
      </c>
      <c r="Q25" s="22">
        <f>IF(O25="SI",P25,0)</f>
        <v/>
      </c>
      <c r="R25" s="21" t="n"/>
      <c r="S25" s="22">
        <f>IF(OR($E25=0,R$78=0),0,IF(AND(R25="N/A",$G25&lt;&gt;""),0,$F25+SUMPRODUCT(($G$14:$G$71=$A25)*($E$14:$E$71=1)*(R$14:R$71="N/A")*$F$14:$F$71)))</f>
        <v/>
      </c>
      <c r="T25" s="22">
        <f>IF(R25="SI",S25,0)</f>
        <v/>
      </c>
      <c r="U25" s="21" t="n"/>
      <c r="V25" s="22">
        <f>IF(OR($E25=0,U$78=0),0,IF(AND(U25="N/A",$G25&lt;&gt;""),0,$F25+SUMPRODUCT(($G$14:$G$71=$A25)*($E$14:$E$71=1)*(U$14:U$71="N/A")*$F$14:$F$71)))</f>
        <v/>
      </c>
      <c r="W25" s="22">
        <f>IF(U25="SI",V25,0)</f>
        <v/>
      </c>
      <c r="X25" s="21" t="n"/>
      <c r="Y25" s="22">
        <f>IF(OR($E25=0,X$78=0),0,IF(AND(X25="N/A",$G25&lt;&gt;""),0,$F25+SUMPRODUCT(($G$14:$G$71=$A25)*($E$14:$E$71=1)*(X$14:X$71="N/A")*$F$14:$F$71)))</f>
        <v/>
      </c>
      <c r="Z25" s="22">
        <f>IF(X25="SI",Y25,0)</f>
        <v/>
      </c>
      <c r="AA25" s="22">
        <f>SUM(J25,M25,P25,S25,V25,Y25)</f>
        <v/>
      </c>
      <c r="AB25" s="22">
        <f>SUM(K25,N25,Q25,T25,W25,Z25)</f>
        <v/>
      </c>
      <c r="AC25" s="23">
        <f>IF(AA25=0,"",AB25/AA25)</f>
        <v/>
      </c>
      <c r="AD25" s="22">
        <f>CRITERIOS!Q13</f>
        <v/>
      </c>
      <c r="AE25" s="22">
        <f>IF(AND(E25=1,H25&lt;&gt;"X",((I25="N/A")+(L25="N/A")+(O25="N/A")+(R25="N/A")+(U25="N/A")+(X25="N/A"))&gt;0),"REVISAR","")</f>
        <v/>
      </c>
    </row>
    <row r="26">
      <c r="A26" s="19">
        <f>CRITERIOS!B14</f>
        <v/>
      </c>
      <c r="B26" s="19">
        <f>CRITERIOS!C14</f>
        <v/>
      </c>
      <c r="C26" s="20">
        <f>CRITERIOS!D14</f>
        <v/>
      </c>
      <c r="D26" s="19">
        <f>CRITERIOS!E14</f>
        <v/>
      </c>
      <c r="E26" s="19">
        <f>IFERROR(IF(AND(OR(CRITERIOS!F14="Todos",CRITERIOS!F14=$B$4),INDEX(CRITERIOS!H14:J14,MATCH($B$5,VARIABLES!$E$2:$E$4,0))=1),1,0),0)</f>
        <v/>
      </c>
      <c r="F26" s="19">
        <f>IFERROR(IF(E26=1,INDEX(CRITERIOS!K14:M14,MATCH($B$5,VARIABLES!$E$2:$E$4,0)),0),0)</f>
        <v/>
      </c>
      <c r="G26" s="19">
        <f>IF(CRITERIOS!N14="","",CRITERIOS!N14)</f>
        <v/>
      </c>
      <c r="H26" s="19">
        <f>IF(CRITERIOS!O14="","",CRITERIOS!O14)</f>
        <v/>
      </c>
      <c r="I26" s="21" t="n"/>
      <c r="J26" s="22">
        <f>IF(OR($E26=0,I$78=0),0,IF(AND(I26="N/A",$G26&lt;&gt;""),0,$F26+SUMPRODUCT(($G$14:$G$71=$A26)*($E$14:$E$71=1)*(I$14:I$71="N/A")*$F$14:$F$71)))</f>
        <v/>
      </c>
      <c r="K26" s="22">
        <f>IF(I26="SI",J26,0)</f>
        <v/>
      </c>
      <c r="L26" s="21" t="n"/>
      <c r="M26" s="22">
        <f>IF(OR($E26=0,L$78=0),0,IF(AND(L26="N/A",$G26&lt;&gt;""),0,$F26+SUMPRODUCT(($G$14:$G$71=$A26)*($E$14:$E$71=1)*(L$14:L$71="N/A")*$F$14:$F$71)))</f>
        <v/>
      </c>
      <c r="N26" s="22">
        <f>IF(L26="SI",M26,0)</f>
        <v/>
      </c>
      <c r="O26" s="21" t="n"/>
      <c r="P26" s="22">
        <f>IF(OR($E26=0,O$78=0),0,IF(AND(O26="N/A",$G26&lt;&gt;""),0,$F26+SUMPRODUCT(($G$14:$G$71=$A26)*($E$14:$E$71=1)*(O$14:O$71="N/A")*$F$14:$F$71)))</f>
        <v/>
      </c>
      <c r="Q26" s="22">
        <f>IF(O26="SI",P26,0)</f>
        <v/>
      </c>
      <c r="R26" s="21" t="n"/>
      <c r="S26" s="22">
        <f>IF(OR($E26=0,R$78=0),0,IF(AND(R26="N/A",$G26&lt;&gt;""),0,$F26+SUMPRODUCT(($G$14:$G$71=$A26)*($E$14:$E$71=1)*(R$14:R$71="N/A")*$F$14:$F$71)))</f>
        <v/>
      </c>
      <c r="T26" s="22">
        <f>IF(R26="SI",S26,0)</f>
        <v/>
      </c>
      <c r="U26" s="21" t="n"/>
      <c r="V26" s="22">
        <f>IF(OR($E26=0,U$78=0),0,IF(AND(U26="N/A",$G26&lt;&gt;""),0,$F26+SUMPRODUCT(($G$14:$G$71=$A26)*($E$14:$E$71=1)*(U$14:U$71="N/A")*$F$14:$F$71)))</f>
        <v/>
      </c>
      <c r="W26" s="22">
        <f>IF(U26="SI",V26,0)</f>
        <v/>
      </c>
      <c r="X26" s="21" t="n"/>
      <c r="Y26" s="22">
        <f>IF(OR($E26=0,X$78=0),0,IF(AND(X26="N/A",$G26&lt;&gt;""),0,$F26+SUMPRODUCT(($G$14:$G$71=$A26)*($E$14:$E$71=1)*(X$14:X$71="N/A")*$F$14:$F$71)))</f>
        <v/>
      </c>
      <c r="Z26" s="22">
        <f>IF(X26="SI",Y26,0)</f>
        <v/>
      </c>
      <c r="AA26" s="22">
        <f>SUM(J26,M26,P26,S26,V26,Y26)</f>
        <v/>
      </c>
      <c r="AB26" s="22">
        <f>SUM(K26,N26,Q26,T26,W26,Z26)</f>
        <v/>
      </c>
      <c r="AC26" s="23">
        <f>IF(AA26=0,"",AB26/AA26)</f>
        <v/>
      </c>
      <c r="AD26" s="22">
        <f>CRITERIOS!Q14</f>
        <v/>
      </c>
      <c r="AE26" s="22">
        <f>IF(AND(E26=1,H26&lt;&gt;"X",((I26="N/A")+(L26="N/A")+(O26="N/A")+(R26="N/A")+(U26="N/A")+(X26="N/A"))&gt;0),"REVISAR","")</f>
        <v/>
      </c>
    </row>
    <row r="27">
      <c r="A27" s="19">
        <f>CRITERIOS!B15</f>
        <v/>
      </c>
      <c r="B27" s="19">
        <f>CRITERIOS!C15</f>
        <v/>
      </c>
      <c r="C27" s="20">
        <f>CRITERIOS!D15</f>
        <v/>
      </c>
      <c r="D27" s="19">
        <f>CRITERIOS!E15</f>
        <v/>
      </c>
      <c r="E27" s="19">
        <f>IFERROR(IF(AND(OR(CRITERIOS!F15="Todos",CRITERIOS!F15=$B$4),INDEX(CRITERIOS!H15:J15,MATCH($B$5,VARIABLES!$E$2:$E$4,0))=1),1,0),0)</f>
        <v/>
      </c>
      <c r="F27" s="19">
        <f>IFERROR(IF(E27=1,INDEX(CRITERIOS!K15:M15,MATCH($B$5,VARIABLES!$E$2:$E$4,0)),0),0)</f>
        <v/>
      </c>
      <c r="G27" s="19">
        <f>IF(CRITERIOS!N15="","",CRITERIOS!N15)</f>
        <v/>
      </c>
      <c r="H27" s="19">
        <f>IF(CRITERIOS!O15="","",CRITERIOS!O15)</f>
        <v/>
      </c>
      <c r="I27" s="21" t="n"/>
      <c r="J27" s="22">
        <f>IF(OR($E27=0,I$78=0),0,IF(AND(I27="N/A",$G27&lt;&gt;""),0,$F27+SUMPRODUCT(($G$14:$G$71=$A27)*($E$14:$E$71=1)*(I$14:I$71="N/A")*$F$14:$F$71)))</f>
        <v/>
      </c>
      <c r="K27" s="22">
        <f>IF(I27="SI",J27,0)</f>
        <v/>
      </c>
      <c r="L27" s="21" t="n"/>
      <c r="M27" s="22">
        <f>IF(OR($E27=0,L$78=0),0,IF(AND(L27="N/A",$G27&lt;&gt;""),0,$F27+SUMPRODUCT(($G$14:$G$71=$A27)*($E$14:$E$71=1)*(L$14:L$71="N/A")*$F$14:$F$71)))</f>
        <v/>
      </c>
      <c r="N27" s="22">
        <f>IF(L27="SI",M27,0)</f>
        <v/>
      </c>
      <c r="O27" s="21" t="n"/>
      <c r="P27" s="22">
        <f>IF(OR($E27=0,O$78=0),0,IF(AND(O27="N/A",$G27&lt;&gt;""),0,$F27+SUMPRODUCT(($G$14:$G$71=$A27)*($E$14:$E$71=1)*(O$14:O$71="N/A")*$F$14:$F$71)))</f>
        <v/>
      </c>
      <c r="Q27" s="22">
        <f>IF(O27="SI",P27,0)</f>
        <v/>
      </c>
      <c r="R27" s="21" t="n"/>
      <c r="S27" s="22">
        <f>IF(OR($E27=0,R$78=0),0,IF(AND(R27="N/A",$G27&lt;&gt;""),0,$F27+SUMPRODUCT(($G$14:$G$71=$A27)*($E$14:$E$71=1)*(R$14:R$71="N/A")*$F$14:$F$71)))</f>
        <v/>
      </c>
      <c r="T27" s="22">
        <f>IF(R27="SI",S27,0)</f>
        <v/>
      </c>
      <c r="U27" s="21" t="n"/>
      <c r="V27" s="22">
        <f>IF(OR($E27=0,U$78=0),0,IF(AND(U27="N/A",$G27&lt;&gt;""),0,$F27+SUMPRODUCT(($G$14:$G$71=$A27)*($E$14:$E$71=1)*(U$14:U$71="N/A")*$F$14:$F$71)))</f>
        <v/>
      </c>
      <c r="W27" s="22">
        <f>IF(U27="SI",V27,0)</f>
        <v/>
      </c>
      <c r="X27" s="21" t="n"/>
      <c r="Y27" s="22">
        <f>IF(OR($E27=0,X$78=0),0,IF(AND(X27="N/A",$G27&lt;&gt;""),0,$F27+SUMPRODUCT(($G$14:$G$71=$A27)*($E$14:$E$71=1)*(X$14:X$71="N/A")*$F$14:$F$71)))</f>
        <v/>
      </c>
      <c r="Z27" s="22">
        <f>IF(X27="SI",Y27,0)</f>
        <v/>
      </c>
      <c r="AA27" s="22">
        <f>SUM(J27,M27,P27,S27,V27,Y27)</f>
        <v/>
      </c>
      <c r="AB27" s="22">
        <f>SUM(K27,N27,Q27,T27,W27,Z27)</f>
        <v/>
      </c>
      <c r="AC27" s="23">
        <f>IF(AA27=0,"",AB27/AA27)</f>
        <v/>
      </c>
      <c r="AD27" s="22">
        <f>CRITERIOS!Q15</f>
        <v/>
      </c>
      <c r="AE27" s="22">
        <f>IF(AND(E27=1,H27&lt;&gt;"X",((I27="N/A")+(L27="N/A")+(O27="N/A")+(R27="N/A")+(U27="N/A")+(X27="N/A"))&gt;0),"REVISAR","")</f>
        <v/>
      </c>
    </row>
    <row r="28">
      <c r="A28" s="19">
        <f>CRITERIOS!B16</f>
        <v/>
      </c>
      <c r="B28" s="19">
        <f>CRITERIOS!C16</f>
        <v/>
      </c>
      <c r="C28" s="20">
        <f>CRITERIOS!D16</f>
        <v/>
      </c>
      <c r="D28" s="19">
        <f>CRITERIOS!E16</f>
        <v/>
      </c>
      <c r="E28" s="19">
        <f>IFERROR(IF(AND(OR(CRITERIOS!F16="Todos",CRITERIOS!F16=$B$4),INDEX(CRITERIOS!H16:J16,MATCH($B$5,VARIABLES!$E$2:$E$4,0))=1),1,0),0)</f>
        <v/>
      </c>
      <c r="F28" s="19">
        <f>IFERROR(IF(E28=1,INDEX(CRITERIOS!K16:M16,MATCH($B$5,VARIABLES!$E$2:$E$4,0)),0),0)</f>
        <v/>
      </c>
      <c r="G28" s="19">
        <f>IF(CRITERIOS!N16="","",CRITERIOS!N16)</f>
        <v/>
      </c>
      <c r="H28" s="19">
        <f>IF(CRITERIOS!O16="","",CRITERIOS!O16)</f>
        <v/>
      </c>
      <c r="I28" s="21" t="n"/>
      <c r="J28" s="22">
        <f>IF(OR($E28=0,I$78=0),0,IF(AND(I28="N/A",$G28&lt;&gt;""),0,$F28+SUMPRODUCT(($G$14:$G$71=$A28)*($E$14:$E$71=1)*(I$14:I$71="N/A")*$F$14:$F$71)))</f>
        <v/>
      </c>
      <c r="K28" s="22">
        <f>IF(I28="SI",J28,0)</f>
        <v/>
      </c>
      <c r="L28" s="21" t="n"/>
      <c r="M28" s="22">
        <f>IF(OR($E28=0,L$78=0),0,IF(AND(L28="N/A",$G28&lt;&gt;""),0,$F28+SUMPRODUCT(($G$14:$G$71=$A28)*($E$14:$E$71=1)*(L$14:L$71="N/A")*$F$14:$F$71)))</f>
        <v/>
      </c>
      <c r="N28" s="22">
        <f>IF(L28="SI",M28,0)</f>
        <v/>
      </c>
      <c r="O28" s="21" t="n"/>
      <c r="P28" s="22">
        <f>IF(OR($E28=0,O$78=0),0,IF(AND(O28="N/A",$G28&lt;&gt;""),0,$F28+SUMPRODUCT(($G$14:$G$71=$A28)*($E$14:$E$71=1)*(O$14:O$71="N/A")*$F$14:$F$71)))</f>
        <v/>
      </c>
      <c r="Q28" s="22">
        <f>IF(O28="SI",P28,0)</f>
        <v/>
      </c>
      <c r="R28" s="21" t="n"/>
      <c r="S28" s="22">
        <f>IF(OR($E28=0,R$78=0),0,IF(AND(R28="N/A",$G28&lt;&gt;""),0,$F28+SUMPRODUCT(($G$14:$G$71=$A28)*($E$14:$E$71=1)*(R$14:R$71="N/A")*$F$14:$F$71)))</f>
        <v/>
      </c>
      <c r="T28" s="22">
        <f>IF(R28="SI",S28,0)</f>
        <v/>
      </c>
      <c r="U28" s="21" t="n"/>
      <c r="V28" s="22">
        <f>IF(OR($E28=0,U$78=0),0,IF(AND(U28="N/A",$G28&lt;&gt;""),0,$F28+SUMPRODUCT(($G$14:$G$71=$A28)*($E$14:$E$71=1)*(U$14:U$71="N/A")*$F$14:$F$71)))</f>
        <v/>
      </c>
      <c r="W28" s="22">
        <f>IF(U28="SI",V28,0)</f>
        <v/>
      </c>
      <c r="X28" s="21" t="n"/>
      <c r="Y28" s="22">
        <f>IF(OR($E28=0,X$78=0),0,IF(AND(X28="N/A",$G28&lt;&gt;""),0,$F28+SUMPRODUCT(($G$14:$G$71=$A28)*($E$14:$E$71=1)*(X$14:X$71="N/A")*$F$14:$F$71)))</f>
        <v/>
      </c>
      <c r="Z28" s="22">
        <f>IF(X28="SI",Y28,0)</f>
        <v/>
      </c>
      <c r="AA28" s="22">
        <f>SUM(J28,M28,P28,S28,V28,Y28)</f>
        <v/>
      </c>
      <c r="AB28" s="22">
        <f>SUM(K28,N28,Q28,T28,W28,Z28)</f>
        <v/>
      </c>
      <c r="AC28" s="23">
        <f>IF(AA28=0,"",AB28/AA28)</f>
        <v/>
      </c>
      <c r="AD28" s="22">
        <f>CRITERIOS!Q16</f>
        <v/>
      </c>
      <c r="AE28" s="22">
        <f>IF(AND(E28=1,H28&lt;&gt;"X",((I28="N/A")+(L28="N/A")+(O28="N/A")+(R28="N/A")+(U28="N/A")+(X28="N/A"))&gt;0),"REVISAR","")</f>
        <v/>
      </c>
    </row>
    <row r="29">
      <c r="A29" s="19">
        <f>CRITERIOS!B17</f>
        <v/>
      </c>
      <c r="B29" s="19">
        <f>CRITERIOS!C17</f>
        <v/>
      </c>
      <c r="C29" s="20">
        <f>CRITERIOS!D17</f>
        <v/>
      </c>
      <c r="D29" s="19">
        <f>CRITERIOS!E17</f>
        <v/>
      </c>
      <c r="E29" s="19">
        <f>IFERROR(IF(AND(OR(CRITERIOS!F17="Todos",CRITERIOS!F17=$B$4),INDEX(CRITERIOS!H17:J17,MATCH($B$5,VARIABLES!$E$2:$E$4,0))=1),1,0),0)</f>
        <v/>
      </c>
      <c r="F29" s="19">
        <f>IFERROR(IF(E29=1,INDEX(CRITERIOS!K17:M17,MATCH($B$5,VARIABLES!$E$2:$E$4,0)),0),0)</f>
        <v/>
      </c>
      <c r="G29" s="19">
        <f>IF(CRITERIOS!N17="","",CRITERIOS!N17)</f>
        <v/>
      </c>
      <c r="H29" s="19">
        <f>IF(CRITERIOS!O17="","",CRITERIOS!O17)</f>
        <v/>
      </c>
      <c r="I29" s="21" t="n"/>
      <c r="J29" s="22">
        <f>IF(OR($E29=0,I$78=0),0,IF(AND(I29="N/A",$G29&lt;&gt;""),0,$F29+SUMPRODUCT(($G$14:$G$71=$A29)*($E$14:$E$71=1)*(I$14:I$71="N/A")*$F$14:$F$71)))</f>
        <v/>
      </c>
      <c r="K29" s="22">
        <f>IF(I29="SI",J29,0)</f>
        <v/>
      </c>
      <c r="L29" s="21" t="n"/>
      <c r="M29" s="22">
        <f>IF(OR($E29=0,L$78=0),0,IF(AND(L29="N/A",$G29&lt;&gt;""),0,$F29+SUMPRODUCT(($G$14:$G$71=$A29)*($E$14:$E$71=1)*(L$14:L$71="N/A")*$F$14:$F$71)))</f>
        <v/>
      </c>
      <c r="N29" s="22">
        <f>IF(L29="SI",M29,0)</f>
        <v/>
      </c>
      <c r="O29" s="21" t="n"/>
      <c r="P29" s="22">
        <f>IF(OR($E29=0,O$78=0),0,IF(AND(O29="N/A",$G29&lt;&gt;""),0,$F29+SUMPRODUCT(($G$14:$G$71=$A29)*($E$14:$E$71=1)*(O$14:O$71="N/A")*$F$14:$F$71)))</f>
        <v/>
      </c>
      <c r="Q29" s="22">
        <f>IF(O29="SI",P29,0)</f>
        <v/>
      </c>
      <c r="R29" s="21" t="n"/>
      <c r="S29" s="22">
        <f>IF(OR($E29=0,R$78=0),0,IF(AND(R29="N/A",$G29&lt;&gt;""),0,$F29+SUMPRODUCT(($G$14:$G$71=$A29)*($E$14:$E$71=1)*(R$14:R$71="N/A")*$F$14:$F$71)))</f>
        <v/>
      </c>
      <c r="T29" s="22">
        <f>IF(R29="SI",S29,0)</f>
        <v/>
      </c>
      <c r="U29" s="21" t="n"/>
      <c r="V29" s="22">
        <f>IF(OR($E29=0,U$78=0),0,IF(AND(U29="N/A",$G29&lt;&gt;""),0,$F29+SUMPRODUCT(($G$14:$G$71=$A29)*($E$14:$E$71=1)*(U$14:U$71="N/A")*$F$14:$F$71)))</f>
        <v/>
      </c>
      <c r="W29" s="22">
        <f>IF(U29="SI",V29,0)</f>
        <v/>
      </c>
      <c r="X29" s="21" t="n"/>
      <c r="Y29" s="22">
        <f>IF(OR($E29=0,X$78=0),0,IF(AND(X29="N/A",$G29&lt;&gt;""),0,$F29+SUMPRODUCT(($G$14:$G$71=$A29)*($E$14:$E$71=1)*(X$14:X$71="N/A")*$F$14:$F$71)))</f>
        <v/>
      </c>
      <c r="Z29" s="22">
        <f>IF(X29="SI",Y29,0)</f>
        <v/>
      </c>
      <c r="AA29" s="22">
        <f>SUM(J29,M29,P29,S29,V29,Y29)</f>
        <v/>
      </c>
      <c r="AB29" s="22">
        <f>SUM(K29,N29,Q29,T29,W29,Z29)</f>
        <v/>
      </c>
      <c r="AC29" s="23">
        <f>IF(AA29=0,"",AB29/AA29)</f>
        <v/>
      </c>
      <c r="AD29" s="22">
        <f>CRITERIOS!Q17</f>
        <v/>
      </c>
      <c r="AE29" s="22">
        <f>IF(AND(E29=1,H29&lt;&gt;"X",((I29="N/A")+(L29="N/A")+(O29="N/A")+(R29="N/A")+(U29="N/A")+(X29="N/A"))&gt;0),"REVISAR","")</f>
        <v/>
      </c>
    </row>
    <row r="30">
      <c r="A30" s="22">
        <f>CRITERIOS!B18</f>
        <v/>
      </c>
      <c r="B30" s="22">
        <f>CRITERIOS!C18</f>
        <v/>
      </c>
      <c r="C30" s="8">
        <f>CRITERIOS!D18</f>
        <v/>
      </c>
      <c r="D30" s="22">
        <f>CRITERIOS!E18</f>
        <v/>
      </c>
      <c r="E30" s="22">
        <f>IFERROR(IF(AND(OR(CRITERIOS!F18="Todos",CRITERIOS!F18=$B$4),INDEX(CRITERIOS!H18:J18,MATCH($B$5,VARIABLES!$E$2:$E$4,0))=1),1,0),0)</f>
        <v/>
      </c>
      <c r="F30" s="22">
        <f>IFERROR(IF(E30=1,INDEX(CRITERIOS!K18:M18,MATCH($B$5,VARIABLES!$E$2:$E$4,0)),0),0)</f>
        <v/>
      </c>
      <c r="G30" s="22">
        <f>IF(CRITERIOS!N18="","",CRITERIOS!N18)</f>
        <v/>
      </c>
      <c r="H30" s="22">
        <f>IF(CRITERIOS!O18="","",CRITERIOS!O18)</f>
        <v/>
      </c>
      <c r="I30" s="21" t="n"/>
      <c r="J30" s="22">
        <f>IF(OR($E30=0,I$78=0),0,IF(AND(I30="N/A",$G30&lt;&gt;""),0,$F30+SUMPRODUCT(($G$14:$G$71=$A30)*($E$14:$E$71=1)*(I$14:I$71="N/A")*$F$14:$F$71)))</f>
        <v/>
      </c>
      <c r="K30" s="22">
        <f>IF(I30="SI",J30,0)</f>
        <v/>
      </c>
      <c r="L30" s="21" t="n"/>
      <c r="M30" s="22">
        <f>IF(OR($E30=0,L$78=0),0,IF(AND(L30="N/A",$G30&lt;&gt;""),0,$F30+SUMPRODUCT(($G$14:$G$71=$A30)*($E$14:$E$71=1)*(L$14:L$71="N/A")*$F$14:$F$71)))</f>
        <v/>
      </c>
      <c r="N30" s="22">
        <f>IF(L30="SI",M30,0)</f>
        <v/>
      </c>
      <c r="O30" s="21" t="n"/>
      <c r="P30" s="22">
        <f>IF(OR($E30=0,O$78=0),0,IF(AND(O30="N/A",$G30&lt;&gt;""),0,$F30+SUMPRODUCT(($G$14:$G$71=$A30)*($E$14:$E$71=1)*(O$14:O$71="N/A")*$F$14:$F$71)))</f>
        <v/>
      </c>
      <c r="Q30" s="22">
        <f>IF(O30="SI",P30,0)</f>
        <v/>
      </c>
      <c r="R30" s="21" t="n"/>
      <c r="S30" s="22">
        <f>IF(OR($E30=0,R$78=0),0,IF(AND(R30="N/A",$G30&lt;&gt;""),0,$F30+SUMPRODUCT(($G$14:$G$71=$A30)*($E$14:$E$71=1)*(R$14:R$71="N/A")*$F$14:$F$71)))</f>
        <v/>
      </c>
      <c r="T30" s="22">
        <f>IF(R30="SI",S30,0)</f>
        <v/>
      </c>
      <c r="U30" s="21" t="n"/>
      <c r="V30" s="22">
        <f>IF(OR($E30=0,U$78=0),0,IF(AND(U30="N/A",$G30&lt;&gt;""),0,$F30+SUMPRODUCT(($G$14:$G$71=$A30)*($E$14:$E$71=1)*(U$14:U$71="N/A")*$F$14:$F$71)))</f>
        <v/>
      </c>
      <c r="W30" s="22">
        <f>IF(U30="SI",V30,0)</f>
        <v/>
      </c>
      <c r="X30" s="21" t="n"/>
      <c r="Y30" s="22">
        <f>IF(OR($E30=0,X$78=0),0,IF(AND(X30="N/A",$G30&lt;&gt;""),0,$F30+SUMPRODUCT(($G$14:$G$71=$A30)*($E$14:$E$71=1)*(X$14:X$71="N/A")*$F$14:$F$71)))</f>
        <v/>
      </c>
      <c r="Z30" s="22">
        <f>IF(X30="SI",Y30,0)</f>
        <v/>
      </c>
      <c r="AA30" s="22">
        <f>SUM(J30,M30,P30,S30,V30,Y30)</f>
        <v/>
      </c>
      <c r="AB30" s="22">
        <f>SUM(K30,N30,Q30,T30,W30,Z30)</f>
        <v/>
      </c>
      <c r="AC30" s="23">
        <f>IF(AA30=0,"",AB30/AA30)</f>
        <v/>
      </c>
      <c r="AD30" s="22">
        <f>CRITERIOS!Q18</f>
        <v/>
      </c>
      <c r="AE30" s="22">
        <f>IF(AND(E30=1,H30&lt;&gt;"X",((I30="N/A")+(L30="N/A")+(O30="N/A")+(R30="N/A")+(U30="N/A")+(X30="N/A"))&gt;0),"REVISAR","")</f>
        <v/>
      </c>
    </row>
    <row r="31">
      <c r="A31" s="24">
        <f>CRITERIOS!B19</f>
        <v/>
      </c>
      <c r="B31" s="24">
        <f>CRITERIOS!C19</f>
        <v/>
      </c>
      <c r="C31" s="25">
        <f>CRITERIOS!D19</f>
        <v/>
      </c>
      <c r="D31" s="24">
        <f>CRITERIOS!E19</f>
        <v/>
      </c>
      <c r="E31" s="24">
        <f>IFERROR(IF(AND(OR(CRITERIOS!F19="Todos",CRITERIOS!F19=$B$4),INDEX(CRITERIOS!H19:J19,MATCH($B$5,VARIABLES!$E$2:$E$4,0))=1),1,0),0)</f>
        <v/>
      </c>
      <c r="F31" s="24">
        <f>IFERROR(IF(E31=1,INDEX(CRITERIOS!K19:M19,MATCH($B$5,VARIABLES!$E$2:$E$4,0)),0),0)</f>
        <v/>
      </c>
      <c r="G31" s="24">
        <f>IF(CRITERIOS!N19="","",CRITERIOS!N19)</f>
        <v/>
      </c>
      <c r="H31" s="24">
        <f>IF(CRITERIOS!O19="","",CRITERIOS!O19)</f>
        <v/>
      </c>
      <c r="I31" s="21" t="n"/>
      <c r="J31" s="22">
        <f>IF(OR($E31=0,I$78=0),0,IF(AND(I31="N/A",$G31&lt;&gt;""),0,$F31+SUMPRODUCT(($G$14:$G$71=$A31)*($E$14:$E$71=1)*(I$14:I$71="N/A")*$F$14:$F$71)))</f>
        <v/>
      </c>
      <c r="K31" s="22">
        <f>IF(I31="SI",J31,0)</f>
        <v/>
      </c>
      <c r="L31" s="21" t="n"/>
      <c r="M31" s="22">
        <f>IF(OR($E31=0,L$78=0),0,IF(AND(L31="N/A",$G31&lt;&gt;""),0,$F31+SUMPRODUCT(($G$14:$G$71=$A31)*($E$14:$E$71=1)*(L$14:L$71="N/A")*$F$14:$F$71)))</f>
        <v/>
      </c>
      <c r="N31" s="22">
        <f>IF(L31="SI",M31,0)</f>
        <v/>
      </c>
      <c r="O31" s="21" t="n"/>
      <c r="P31" s="22">
        <f>IF(OR($E31=0,O$78=0),0,IF(AND(O31="N/A",$G31&lt;&gt;""),0,$F31+SUMPRODUCT(($G$14:$G$71=$A31)*($E$14:$E$71=1)*(O$14:O$71="N/A")*$F$14:$F$71)))</f>
        <v/>
      </c>
      <c r="Q31" s="22">
        <f>IF(O31="SI",P31,0)</f>
        <v/>
      </c>
      <c r="R31" s="21" t="n"/>
      <c r="S31" s="22">
        <f>IF(OR($E31=0,R$78=0),0,IF(AND(R31="N/A",$G31&lt;&gt;""),0,$F31+SUMPRODUCT(($G$14:$G$71=$A31)*($E$14:$E$71=1)*(R$14:R$71="N/A")*$F$14:$F$71)))</f>
        <v/>
      </c>
      <c r="T31" s="22">
        <f>IF(R31="SI",S31,0)</f>
        <v/>
      </c>
      <c r="U31" s="21" t="n"/>
      <c r="V31" s="22">
        <f>IF(OR($E31=0,U$78=0),0,IF(AND(U31="N/A",$G31&lt;&gt;""),0,$F31+SUMPRODUCT(($G$14:$G$71=$A31)*($E$14:$E$71=1)*(U$14:U$71="N/A")*$F$14:$F$71)))</f>
        <v/>
      </c>
      <c r="W31" s="22">
        <f>IF(U31="SI",V31,0)</f>
        <v/>
      </c>
      <c r="X31" s="21" t="n"/>
      <c r="Y31" s="22">
        <f>IF(OR($E31=0,X$78=0),0,IF(AND(X31="N/A",$G31&lt;&gt;""),0,$F31+SUMPRODUCT(($G$14:$G$71=$A31)*($E$14:$E$71=1)*(X$14:X$71="N/A")*$F$14:$F$71)))</f>
        <v/>
      </c>
      <c r="Z31" s="22">
        <f>IF(X31="SI",Y31,0)</f>
        <v/>
      </c>
      <c r="AA31" s="22">
        <f>SUM(J31,M31,P31,S31,V31,Y31)</f>
        <v/>
      </c>
      <c r="AB31" s="22">
        <f>SUM(K31,N31,Q31,T31,W31,Z31)</f>
        <v/>
      </c>
      <c r="AC31" s="23">
        <f>IF(AA31=0,"",AB31/AA31)</f>
        <v/>
      </c>
      <c r="AD31" s="22">
        <f>CRITERIOS!Q19</f>
        <v/>
      </c>
      <c r="AE31" s="22">
        <f>IF(AND(E31=1,H31&lt;&gt;"X",((I31="N/A")+(L31="N/A")+(O31="N/A")+(R31="N/A")+(U31="N/A")+(X31="N/A"))&gt;0),"REVISAR","")</f>
        <v/>
      </c>
    </row>
    <row r="32">
      <c r="A32" s="24">
        <f>CRITERIOS!B20</f>
        <v/>
      </c>
      <c r="B32" s="24">
        <f>CRITERIOS!C20</f>
        <v/>
      </c>
      <c r="C32" s="25">
        <f>CRITERIOS!D20</f>
        <v/>
      </c>
      <c r="D32" s="24">
        <f>CRITERIOS!E20</f>
        <v/>
      </c>
      <c r="E32" s="24">
        <f>IFERROR(IF(AND(OR(CRITERIOS!F20="Todos",CRITERIOS!F20=$B$4),INDEX(CRITERIOS!H20:J20,MATCH($B$5,VARIABLES!$E$2:$E$4,0))=1),1,0),0)</f>
        <v/>
      </c>
      <c r="F32" s="24">
        <f>IFERROR(IF(E32=1,INDEX(CRITERIOS!K20:M20,MATCH($B$5,VARIABLES!$E$2:$E$4,0)),0),0)</f>
        <v/>
      </c>
      <c r="G32" s="24">
        <f>IF(CRITERIOS!N20="","",CRITERIOS!N20)</f>
        <v/>
      </c>
      <c r="H32" s="24">
        <f>IF(CRITERIOS!O20="","",CRITERIOS!O20)</f>
        <v/>
      </c>
      <c r="I32" s="21" t="n"/>
      <c r="J32" s="22">
        <f>IF(OR($E32=0,I$78=0),0,IF(AND(I32="N/A",$G32&lt;&gt;""),0,$F32+SUMPRODUCT(($G$14:$G$71=$A32)*($E$14:$E$71=1)*(I$14:I$71="N/A")*$F$14:$F$71)))</f>
        <v/>
      </c>
      <c r="K32" s="22">
        <f>IF(I32="SI",J32,0)</f>
        <v/>
      </c>
      <c r="L32" s="21" t="n"/>
      <c r="M32" s="22">
        <f>IF(OR($E32=0,L$78=0),0,IF(AND(L32="N/A",$G32&lt;&gt;""),0,$F32+SUMPRODUCT(($G$14:$G$71=$A32)*($E$14:$E$71=1)*(L$14:L$71="N/A")*$F$14:$F$71)))</f>
        <v/>
      </c>
      <c r="N32" s="22">
        <f>IF(L32="SI",M32,0)</f>
        <v/>
      </c>
      <c r="O32" s="21" t="n"/>
      <c r="P32" s="22">
        <f>IF(OR($E32=0,O$78=0),0,IF(AND(O32="N/A",$G32&lt;&gt;""),0,$F32+SUMPRODUCT(($G$14:$G$71=$A32)*($E$14:$E$71=1)*(O$14:O$71="N/A")*$F$14:$F$71)))</f>
        <v/>
      </c>
      <c r="Q32" s="22">
        <f>IF(O32="SI",P32,0)</f>
        <v/>
      </c>
      <c r="R32" s="21" t="n"/>
      <c r="S32" s="22">
        <f>IF(OR($E32=0,R$78=0),0,IF(AND(R32="N/A",$G32&lt;&gt;""),0,$F32+SUMPRODUCT(($G$14:$G$71=$A32)*($E$14:$E$71=1)*(R$14:R$71="N/A")*$F$14:$F$71)))</f>
        <v/>
      </c>
      <c r="T32" s="22">
        <f>IF(R32="SI",S32,0)</f>
        <v/>
      </c>
      <c r="U32" s="21" t="n"/>
      <c r="V32" s="22">
        <f>IF(OR($E32=0,U$78=0),0,IF(AND(U32="N/A",$G32&lt;&gt;""),0,$F32+SUMPRODUCT(($G$14:$G$71=$A32)*($E$14:$E$71=1)*(U$14:U$71="N/A")*$F$14:$F$71)))</f>
        <v/>
      </c>
      <c r="W32" s="22">
        <f>IF(U32="SI",V32,0)</f>
        <v/>
      </c>
      <c r="X32" s="21" t="n"/>
      <c r="Y32" s="22">
        <f>IF(OR($E32=0,X$78=0),0,IF(AND(X32="N/A",$G32&lt;&gt;""),0,$F32+SUMPRODUCT(($G$14:$G$71=$A32)*($E$14:$E$71=1)*(X$14:X$71="N/A")*$F$14:$F$71)))</f>
        <v/>
      </c>
      <c r="Z32" s="22">
        <f>IF(X32="SI",Y32,0)</f>
        <v/>
      </c>
      <c r="AA32" s="22">
        <f>SUM(J32,M32,P32,S32,V32,Y32)</f>
        <v/>
      </c>
      <c r="AB32" s="22">
        <f>SUM(K32,N32,Q32,T32,W32,Z32)</f>
        <v/>
      </c>
      <c r="AC32" s="23">
        <f>IF(AA32=0,"",AB32/AA32)</f>
        <v/>
      </c>
      <c r="AD32" s="22">
        <f>CRITERIOS!Q20</f>
        <v/>
      </c>
      <c r="AE32" s="22">
        <f>IF(AND(E32=1,H32&lt;&gt;"X",((I32="N/A")+(L32="N/A")+(O32="N/A")+(R32="N/A")+(U32="N/A")+(X32="N/A"))&gt;0),"REVISAR","")</f>
        <v/>
      </c>
    </row>
    <row r="33">
      <c r="A33" s="24">
        <f>CRITERIOS!B21</f>
        <v/>
      </c>
      <c r="B33" s="24">
        <f>CRITERIOS!C21</f>
        <v/>
      </c>
      <c r="C33" s="25">
        <f>CRITERIOS!D21</f>
        <v/>
      </c>
      <c r="D33" s="24">
        <f>CRITERIOS!E21</f>
        <v/>
      </c>
      <c r="E33" s="24">
        <f>IFERROR(IF(AND(OR(CRITERIOS!F21="Todos",CRITERIOS!F21=$B$4),INDEX(CRITERIOS!H21:J21,MATCH($B$5,VARIABLES!$E$2:$E$4,0))=1),1,0),0)</f>
        <v/>
      </c>
      <c r="F33" s="24">
        <f>IFERROR(IF(E33=1,INDEX(CRITERIOS!K21:M21,MATCH($B$5,VARIABLES!$E$2:$E$4,0)),0),0)</f>
        <v/>
      </c>
      <c r="G33" s="24">
        <f>IF(CRITERIOS!N21="","",CRITERIOS!N21)</f>
        <v/>
      </c>
      <c r="H33" s="24">
        <f>IF(CRITERIOS!O21="","",CRITERIOS!O21)</f>
        <v/>
      </c>
      <c r="I33" s="21" t="n"/>
      <c r="J33" s="22">
        <f>IF(OR($E33=0,I$78=0),0,IF(AND(I33="N/A",$G33&lt;&gt;""),0,$F33+SUMPRODUCT(($G$14:$G$71=$A33)*($E$14:$E$71=1)*(I$14:I$71="N/A")*$F$14:$F$71)))</f>
        <v/>
      </c>
      <c r="K33" s="22">
        <f>IF(I33="SI",J33,0)</f>
        <v/>
      </c>
      <c r="L33" s="21" t="n"/>
      <c r="M33" s="22">
        <f>IF(OR($E33=0,L$78=0),0,IF(AND(L33="N/A",$G33&lt;&gt;""),0,$F33+SUMPRODUCT(($G$14:$G$71=$A33)*($E$14:$E$71=1)*(L$14:L$71="N/A")*$F$14:$F$71)))</f>
        <v/>
      </c>
      <c r="N33" s="22">
        <f>IF(L33="SI",M33,0)</f>
        <v/>
      </c>
      <c r="O33" s="21" t="n"/>
      <c r="P33" s="22">
        <f>IF(OR($E33=0,O$78=0),0,IF(AND(O33="N/A",$G33&lt;&gt;""),0,$F33+SUMPRODUCT(($G$14:$G$71=$A33)*($E$14:$E$71=1)*(O$14:O$71="N/A")*$F$14:$F$71)))</f>
        <v/>
      </c>
      <c r="Q33" s="22">
        <f>IF(O33="SI",P33,0)</f>
        <v/>
      </c>
      <c r="R33" s="21" t="n"/>
      <c r="S33" s="22">
        <f>IF(OR($E33=0,R$78=0),0,IF(AND(R33="N/A",$G33&lt;&gt;""),0,$F33+SUMPRODUCT(($G$14:$G$71=$A33)*($E$14:$E$71=1)*(R$14:R$71="N/A")*$F$14:$F$71)))</f>
        <v/>
      </c>
      <c r="T33" s="22">
        <f>IF(R33="SI",S33,0)</f>
        <v/>
      </c>
      <c r="U33" s="21" t="n"/>
      <c r="V33" s="22">
        <f>IF(OR($E33=0,U$78=0),0,IF(AND(U33="N/A",$G33&lt;&gt;""),0,$F33+SUMPRODUCT(($G$14:$G$71=$A33)*($E$14:$E$71=1)*(U$14:U$71="N/A")*$F$14:$F$71)))</f>
        <v/>
      </c>
      <c r="W33" s="22">
        <f>IF(U33="SI",V33,0)</f>
        <v/>
      </c>
      <c r="X33" s="21" t="n"/>
      <c r="Y33" s="22">
        <f>IF(OR($E33=0,X$78=0),0,IF(AND(X33="N/A",$G33&lt;&gt;""),0,$F33+SUMPRODUCT(($G$14:$G$71=$A33)*($E$14:$E$71=1)*(X$14:X$71="N/A")*$F$14:$F$71)))</f>
        <v/>
      </c>
      <c r="Z33" s="22">
        <f>IF(X33="SI",Y33,0)</f>
        <v/>
      </c>
      <c r="AA33" s="22">
        <f>SUM(J33,M33,P33,S33,V33,Y33)</f>
        <v/>
      </c>
      <c r="AB33" s="22">
        <f>SUM(K33,N33,Q33,T33,W33,Z33)</f>
        <v/>
      </c>
      <c r="AC33" s="23">
        <f>IF(AA33=0,"",AB33/AA33)</f>
        <v/>
      </c>
      <c r="AD33" s="22">
        <f>CRITERIOS!Q21</f>
        <v/>
      </c>
      <c r="AE33" s="22">
        <f>IF(AND(E33=1,H33&lt;&gt;"X",((I33="N/A")+(L33="N/A")+(O33="N/A")+(R33="N/A")+(U33="N/A")+(X33="N/A"))&gt;0),"REVISAR","")</f>
        <v/>
      </c>
    </row>
    <row r="34">
      <c r="A34" s="22">
        <f>CRITERIOS!B22</f>
        <v/>
      </c>
      <c r="B34" s="22">
        <f>CRITERIOS!C22</f>
        <v/>
      </c>
      <c r="C34" s="8">
        <f>CRITERIOS!D22</f>
        <v/>
      </c>
      <c r="D34" s="22">
        <f>CRITERIOS!E22</f>
        <v/>
      </c>
      <c r="E34" s="22">
        <f>IFERROR(IF(AND(OR(CRITERIOS!F22="Todos",CRITERIOS!F22=$B$4),INDEX(CRITERIOS!H22:J22,MATCH($B$5,VARIABLES!$E$2:$E$4,0))=1),1,0),0)</f>
        <v/>
      </c>
      <c r="F34" s="22">
        <f>IFERROR(IF(E34=1,INDEX(CRITERIOS!K22:M22,MATCH($B$5,VARIABLES!$E$2:$E$4,0)),0),0)</f>
        <v/>
      </c>
      <c r="G34" s="22">
        <f>IF(CRITERIOS!N22="","",CRITERIOS!N22)</f>
        <v/>
      </c>
      <c r="H34" s="22">
        <f>IF(CRITERIOS!O22="","",CRITERIOS!O22)</f>
        <v/>
      </c>
      <c r="I34" s="21" t="n"/>
      <c r="J34" s="22">
        <f>IF(OR($E34=0,I$78=0),0,IF(AND(I34="N/A",$G34&lt;&gt;""),0,$F34+SUMPRODUCT(($G$14:$G$71=$A34)*($E$14:$E$71=1)*(I$14:I$71="N/A")*$F$14:$F$71)))</f>
        <v/>
      </c>
      <c r="K34" s="22">
        <f>IF(I34="SI",J34,0)</f>
        <v/>
      </c>
      <c r="L34" s="21" t="n"/>
      <c r="M34" s="22">
        <f>IF(OR($E34=0,L$78=0),0,IF(AND(L34="N/A",$G34&lt;&gt;""),0,$F34+SUMPRODUCT(($G$14:$G$71=$A34)*($E$14:$E$71=1)*(L$14:L$71="N/A")*$F$14:$F$71)))</f>
        <v/>
      </c>
      <c r="N34" s="22">
        <f>IF(L34="SI",M34,0)</f>
        <v/>
      </c>
      <c r="O34" s="21" t="n"/>
      <c r="P34" s="22">
        <f>IF(OR($E34=0,O$78=0),0,IF(AND(O34="N/A",$G34&lt;&gt;""),0,$F34+SUMPRODUCT(($G$14:$G$71=$A34)*($E$14:$E$71=1)*(O$14:O$71="N/A")*$F$14:$F$71)))</f>
        <v/>
      </c>
      <c r="Q34" s="22">
        <f>IF(O34="SI",P34,0)</f>
        <v/>
      </c>
      <c r="R34" s="21" t="n"/>
      <c r="S34" s="22">
        <f>IF(OR($E34=0,R$78=0),0,IF(AND(R34="N/A",$G34&lt;&gt;""),0,$F34+SUMPRODUCT(($G$14:$G$71=$A34)*($E$14:$E$71=1)*(R$14:R$71="N/A")*$F$14:$F$71)))</f>
        <v/>
      </c>
      <c r="T34" s="22">
        <f>IF(R34="SI",S34,0)</f>
        <v/>
      </c>
      <c r="U34" s="21" t="n"/>
      <c r="V34" s="22">
        <f>IF(OR($E34=0,U$78=0),0,IF(AND(U34="N/A",$G34&lt;&gt;""),0,$F34+SUMPRODUCT(($G$14:$G$71=$A34)*($E$14:$E$71=1)*(U$14:U$71="N/A")*$F$14:$F$71)))</f>
        <v/>
      </c>
      <c r="W34" s="22">
        <f>IF(U34="SI",V34,0)</f>
        <v/>
      </c>
      <c r="X34" s="21" t="n"/>
      <c r="Y34" s="22">
        <f>IF(OR($E34=0,X$78=0),0,IF(AND(X34="N/A",$G34&lt;&gt;""),0,$F34+SUMPRODUCT(($G$14:$G$71=$A34)*($E$14:$E$71=1)*(X$14:X$71="N/A")*$F$14:$F$71)))</f>
        <v/>
      </c>
      <c r="Z34" s="22">
        <f>IF(X34="SI",Y34,0)</f>
        <v/>
      </c>
      <c r="AA34" s="22">
        <f>SUM(J34,M34,P34,S34,V34,Y34)</f>
        <v/>
      </c>
      <c r="AB34" s="22">
        <f>SUM(K34,N34,Q34,T34,W34,Z34)</f>
        <v/>
      </c>
      <c r="AC34" s="23">
        <f>IF(AA34=0,"",AB34/AA34)</f>
        <v/>
      </c>
      <c r="AD34" s="22">
        <f>CRITERIOS!Q22</f>
        <v/>
      </c>
      <c r="AE34" s="22">
        <f>IF(AND(E34=1,H34&lt;&gt;"X",((I34="N/A")+(L34="N/A")+(O34="N/A")+(R34="N/A")+(U34="N/A")+(X34="N/A"))&gt;0),"REVISAR","")</f>
        <v/>
      </c>
    </row>
    <row r="35">
      <c r="A35" s="22">
        <f>CRITERIOS!B23</f>
        <v/>
      </c>
      <c r="B35" s="22">
        <f>CRITERIOS!C23</f>
        <v/>
      </c>
      <c r="C35" s="8">
        <f>CRITERIOS!D23</f>
        <v/>
      </c>
      <c r="D35" s="22">
        <f>CRITERIOS!E23</f>
        <v/>
      </c>
      <c r="E35" s="22">
        <f>IFERROR(IF(AND(OR(CRITERIOS!F23="Todos",CRITERIOS!F23=$B$4),INDEX(CRITERIOS!H23:J23,MATCH($B$5,VARIABLES!$E$2:$E$4,0))=1),1,0),0)</f>
        <v/>
      </c>
      <c r="F35" s="22">
        <f>IFERROR(IF(E35=1,INDEX(CRITERIOS!K23:M23,MATCH($B$5,VARIABLES!$E$2:$E$4,0)),0),0)</f>
        <v/>
      </c>
      <c r="G35" s="22">
        <f>IF(CRITERIOS!N23="","",CRITERIOS!N23)</f>
        <v/>
      </c>
      <c r="H35" s="22">
        <f>IF(CRITERIOS!O23="","",CRITERIOS!O23)</f>
        <v/>
      </c>
      <c r="I35" s="21" t="n"/>
      <c r="J35" s="22">
        <f>IF(OR($E35=0,I$78=0),0,IF(AND(I35="N/A",$G35&lt;&gt;""),0,$F35+SUMPRODUCT(($G$14:$G$71=$A35)*($E$14:$E$71=1)*(I$14:I$71="N/A")*$F$14:$F$71)))</f>
        <v/>
      </c>
      <c r="K35" s="22">
        <f>IF(I35="SI",J35,0)</f>
        <v/>
      </c>
      <c r="L35" s="21" t="n"/>
      <c r="M35" s="22">
        <f>IF(OR($E35=0,L$78=0),0,IF(AND(L35="N/A",$G35&lt;&gt;""),0,$F35+SUMPRODUCT(($G$14:$G$71=$A35)*($E$14:$E$71=1)*(L$14:L$71="N/A")*$F$14:$F$71)))</f>
        <v/>
      </c>
      <c r="N35" s="22">
        <f>IF(L35="SI",M35,0)</f>
        <v/>
      </c>
      <c r="O35" s="21" t="n"/>
      <c r="P35" s="22">
        <f>IF(OR($E35=0,O$78=0),0,IF(AND(O35="N/A",$G35&lt;&gt;""),0,$F35+SUMPRODUCT(($G$14:$G$71=$A35)*($E$14:$E$71=1)*(O$14:O$71="N/A")*$F$14:$F$71)))</f>
        <v/>
      </c>
      <c r="Q35" s="22">
        <f>IF(O35="SI",P35,0)</f>
        <v/>
      </c>
      <c r="R35" s="21" t="n"/>
      <c r="S35" s="22">
        <f>IF(OR($E35=0,R$78=0),0,IF(AND(R35="N/A",$G35&lt;&gt;""),0,$F35+SUMPRODUCT(($G$14:$G$71=$A35)*($E$14:$E$71=1)*(R$14:R$71="N/A")*$F$14:$F$71)))</f>
        <v/>
      </c>
      <c r="T35" s="22">
        <f>IF(R35="SI",S35,0)</f>
        <v/>
      </c>
      <c r="U35" s="21" t="n"/>
      <c r="V35" s="22">
        <f>IF(OR($E35=0,U$78=0),0,IF(AND(U35="N/A",$G35&lt;&gt;""),0,$F35+SUMPRODUCT(($G$14:$G$71=$A35)*($E$14:$E$71=1)*(U$14:U$71="N/A")*$F$14:$F$71)))</f>
        <v/>
      </c>
      <c r="W35" s="22">
        <f>IF(U35="SI",V35,0)</f>
        <v/>
      </c>
      <c r="X35" s="21" t="n"/>
      <c r="Y35" s="22">
        <f>IF(OR($E35=0,X$78=0),0,IF(AND(X35="N/A",$G35&lt;&gt;""),0,$F35+SUMPRODUCT(($G$14:$G$71=$A35)*($E$14:$E$71=1)*(X$14:X$71="N/A")*$F$14:$F$71)))</f>
        <v/>
      </c>
      <c r="Z35" s="22">
        <f>IF(X35="SI",Y35,0)</f>
        <v/>
      </c>
      <c r="AA35" s="22">
        <f>SUM(J35,M35,P35,S35,V35,Y35)</f>
        <v/>
      </c>
      <c r="AB35" s="22">
        <f>SUM(K35,N35,Q35,T35,W35,Z35)</f>
        <v/>
      </c>
      <c r="AC35" s="23">
        <f>IF(AA35=0,"",AB35/AA35)</f>
        <v/>
      </c>
      <c r="AD35" s="22">
        <f>CRITERIOS!Q23</f>
        <v/>
      </c>
      <c r="AE35" s="22">
        <f>IF(AND(E35=1,H35&lt;&gt;"X",((I35="N/A")+(L35="N/A")+(O35="N/A")+(R35="N/A")+(U35="N/A")+(X35="N/A"))&gt;0),"REVISAR","")</f>
        <v/>
      </c>
    </row>
    <row r="36">
      <c r="A36" s="22">
        <f>CRITERIOS!B24</f>
        <v/>
      </c>
      <c r="B36" s="22">
        <f>CRITERIOS!C24</f>
        <v/>
      </c>
      <c r="C36" s="8">
        <f>CRITERIOS!D24</f>
        <v/>
      </c>
      <c r="D36" s="22">
        <f>CRITERIOS!E24</f>
        <v/>
      </c>
      <c r="E36" s="22">
        <f>IFERROR(IF(AND(OR(CRITERIOS!F24="Todos",CRITERIOS!F24=$B$4),INDEX(CRITERIOS!H24:J24,MATCH($B$5,VARIABLES!$E$2:$E$4,0))=1),1,0),0)</f>
        <v/>
      </c>
      <c r="F36" s="22">
        <f>IFERROR(IF(E36=1,INDEX(CRITERIOS!K24:M24,MATCH($B$5,VARIABLES!$E$2:$E$4,0)),0),0)</f>
        <v/>
      </c>
      <c r="G36" s="22">
        <f>IF(CRITERIOS!N24="","",CRITERIOS!N24)</f>
        <v/>
      </c>
      <c r="H36" s="22">
        <f>IF(CRITERIOS!O24="","",CRITERIOS!O24)</f>
        <v/>
      </c>
      <c r="I36" s="21" t="n"/>
      <c r="J36" s="22">
        <f>IF(OR($E36=0,I$78=0),0,IF(AND(I36="N/A",$G36&lt;&gt;""),0,$F36+SUMPRODUCT(($G$14:$G$71=$A36)*($E$14:$E$71=1)*(I$14:I$71="N/A")*$F$14:$F$71)))</f>
        <v/>
      </c>
      <c r="K36" s="22">
        <f>IF(I36="SI",J36,0)</f>
        <v/>
      </c>
      <c r="L36" s="21" t="n"/>
      <c r="M36" s="22">
        <f>IF(OR($E36=0,L$78=0),0,IF(AND(L36="N/A",$G36&lt;&gt;""),0,$F36+SUMPRODUCT(($G$14:$G$71=$A36)*($E$14:$E$71=1)*(L$14:L$71="N/A")*$F$14:$F$71)))</f>
        <v/>
      </c>
      <c r="N36" s="22">
        <f>IF(L36="SI",M36,0)</f>
        <v/>
      </c>
      <c r="O36" s="21" t="n"/>
      <c r="P36" s="22">
        <f>IF(OR($E36=0,O$78=0),0,IF(AND(O36="N/A",$G36&lt;&gt;""),0,$F36+SUMPRODUCT(($G$14:$G$71=$A36)*($E$14:$E$71=1)*(O$14:O$71="N/A")*$F$14:$F$71)))</f>
        <v/>
      </c>
      <c r="Q36" s="22">
        <f>IF(O36="SI",P36,0)</f>
        <v/>
      </c>
      <c r="R36" s="21" t="n"/>
      <c r="S36" s="22">
        <f>IF(OR($E36=0,R$78=0),0,IF(AND(R36="N/A",$G36&lt;&gt;""),0,$F36+SUMPRODUCT(($G$14:$G$71=$A36)*($E$14:$E$71=1)*(R$14:R$71="N/A")*$F$14:$F$71)))</f>
        <v/>
      </c>
      <c r="T36" s="22">
        <f>IF(R36="SI",S36,0)</f>
        <v/>
      </c>
      <c r="U36" s="21" t="n"/>
      <c r="V36" s="22">
        <f>IF(OR($E36=0,U$78=0),0,IF(AND(U36="N/A",$G36&lt;&gt;""),0,$F36+SUMPRODUCT(($G$14:$G$71=$A36)*($E$14:$E$71=1)*(U$14:U$71="N/A")*$F$14:$F$71)))</f>
        <v/>
      </c>
      <c r="W36" s="22">
        <f>IF(U36="SI",V36,0)</f>
        <v/>
      </c>
      <c r="X36" s="21" t="n"/>
      <c r="Y36" s="22">
        <f>IF(OR($E36=0,X$78=0),0,IF(AND(X36="N/A",$G36&lt;&gt;""),0,$F36+SUMPRODUCT(($G$14:$G$71=$A36)*($E$14:$E$71=1)*(X$14:X$71="N/A")*$F$14:$F$71)))</f>
        <v/>
      </c>
      <c r="Z36" s="22">
        <f>IF(X36="SI",Y36,0)</f>
        <v/>
      </c>
      <c r="AA36" s="22">
        <f>SUM(J36,M36,P36,S36,V36,Y36)</f>
        <v/>
      </c>
      <c r="AB36" s="22">
        <f>SUM(K36,N36,Q36,T36,W36,Z36)</f>
        <v/>
      </c>
      <c r="AC36" s="23">
        <f>IF(AA36=0,"",AB36/AA36)</f>
        <v/>
      </c>
      <c r="AD36" s="22">
        <f>CRITERIOS!Q24</f>
        <v/>
      </c>
      <c r="AE36" s="22">
        <f>IF(AND(E36=1,H36&lt;&gt;"X",((I36="N/A")+(L36="N/A")+(O36="N/A")+(R36="N/A")+(U36="N/A")+(X36="N/A"))&gt;0),"REVISAR","")</f>
        <v/>
      </c>
    </row>
    <row r="37">
      <c r="A37" s="22">
        <f>CRITERIOS!B25</f>
        <v/>
      </c>
      <c r="B37" s="22">
        <f>CRITERIOS!C25</f>
        <v/>
      </c>
      <c r="C37" s="8">
        <f>CRITERIOS!D25</f>
        <v/>
      </c>
      <c r="D37" s="22">
        <f>CRITERIOS!E25</f>
        <v/>
      </c>
      <c r="E37" s="22">
        <f>IFERROR(IF(AND(OR(CRITERIOS!F25="Todos",CRITERIOS!F25=$B$4),INDEX(CRITERIOS!H25:J25,MATCH($B$5,VARIABLES!$E$2:$E$4,0))=1),1,0),0)</f>
        <v/>
      </c>
      <c r="F37" s="22">
        <f>IFERROR(IF(E37=1,INDEX(CRITERIOS!K25:M25,MATCH($B$5,VARIABLES!$E$2:$E$4,0)),0),0)</f>
        <v/>
      </c>
      <c r="G37" s="22">
        <f>IF(CRITERIOS!N25="","",CRITERIOS!N25)</f>
        <v/>
      </c>
      <c r="H37" s="22">
        <f>IF(CRITERIOS!O25="","",CRITERIOS!O25)</f>
        <v/>
      </c>
      <c r="I37" s="21" t="n"/>
      <c r="J37" s="22">
        <f>IF(OR($E37=0,I$78=0),0,IF(AND(I37="N/A",$G37&lt;&gt;""),0,$F37+SUMPRODUCT(($G$14:$G$71=$A37)*($E$14:$E$71=1)*(I$14:I$71="N/A")*$F$14:$F$71)))</f>
        <v/>
      </c>
      <c r="K37" s="22">
        <f>IF(I37="SI",J37,0)</f>
        <v/>
      </c>
      <c r="L37" s="21" t="n"/>
      <c r="M37" s="22">
        <f>IF(OR($E37=0,L$78=0),0,IF(AND(L37="N/A",$G37&lt;&gt;""),0,$F37+SUMPRODUCT(($G$14:$G$71=$A37)*($E$14:$E$71=1)*(L$14:L$71="N/A")*$F$14:$F$71)))</f>
        <v/>
      </c>
      <c r="N37" s="22">
        <f>IF(L37="SI",M37,0)</f>
        <v/>
      </c>
      <c r="O37" s="21" t="n"/>
      <c r="P37" s="22">
        <f>IF(OR($E37=0,O$78=0),0,IF(AND(O37="N/A",$G37&lt;&gt;""),0,$F37+SUMPRODUCT(($G$14:$G$71=$A37)*($E$14:$E$71=1)*(O$14:O$71="N/A")*$F$14:$F$71)))</f>
        <v/>
      </c>
      <c r="Q37" s="22">
        <f>IF(O37="SI",P37,0)</f>
        <v/>
      </c>
      <c r="R37" s="21" t="n"/>
      <c r="S37" s="22">
        <f>IF(OR($E37=0,R$78=0),0,IF(AND(R37="N/A",$G37&lt;&gt;""),0,$F37+SUMPRODUCT(($G$14:$G$71=$A37)*($E$14:$E$71=1)*(R$14:R$71="N/A")*$F$14:$F$71)))</f>
        <v/>
      </c>
      <c r="T37" s="22">
        <f>IF(R37="SI",S37,0)</f>
        <v/>
      </c>
      <c r="U37" s="21" t="n"/>
      <c r="V37" s="22">
        <f>IF(OR($E37=0,U$78=0),0,IF(AND(U37="N/A",$G37&lt;&gt;""),0,$F37+SUMPRODUCT(($G$14:$G$71=$A37)*($E$14:$E$71=1)*(U$14:U$71="N/A")*$F$14:$F$71)))</f>
        <v/>
      </c>
      <c r="W37" s="22">
        <f>IF(U37="SI",V37,0)</f>
        <v/>
      </c>
      <c r="X37" s="21" t="n"/>
      <c r="Y37" s="22">
        <f>IF(OR($E37=0,X$78=0),0,IF(AND(X37="N/A",$G37&lt;&gt;""),0,$F37+SUMPRODUCT(($G$14:$G$71=$A37)*($E$14:$E$71=1)*(X$14:X$71="N/A")*$F$14:$F$71)))</f>
        <v/>
      </c>
      <c r="Z37" s="22">
        <f>IF(X37="SI",Y37,0)</f>
        <v/>
      </c>
      <c r="AA37" s="22">
        <f>SUM(J37,M37,P37,S37,V37,Y37)</f>
        <v/>
      </c>
      <c r="AB37" s="22">
        <f>SUM(K37,N37,Q37,T37,W37,Z37)</f>
        <v/>
      </c>
      <c r="AC37" s="23">
        <f>IF(AA37=0,"",AB37/AA37)</f>
        <v/>
      </c>
      <c r="AD37" s="22">
        <f>CRITERIOS!Q25</f>
        <v/>
      </c>
      <c r="AE37" s="22">
        <f>IF(AND(E37=1,H37&lt;&gt;"X",((I37="N/A")+(L37="N/A")+(O37="N/A")+(R37="N/A")+(U37="N/A")+(X37="N/A"))&gt;0),"REVISAR","")</f>
        <v/>
      </c>
    </row>
    <row r="38">
      <c r="A38" s="22">
        <f>CRITERIOS!B26</f>
        <v/>
      </c>
      <c r="B38" s="22">
        <f>CRITERIOS!C26</f>
        <v/>
      </c>
      <c r="C38" s="8">
        <f>CRITERIOS!D26</f>
        <v/>
      </c>
      <c r="D38" s="22">
        <f>CRITERIOS!E26</f>
        <v/>
      </c>
      <c r="E38" s="22">
        <f>IFERROR(IF(AND(OR(CRITERIOS!F26="Todos",CRITERIOS!F26=$B$4),INDEX(CRITERIOS!H26:J26,MATCH($B$5,VARIABLES!$E$2:$E$4,0))=1),1,0),0)</f>
        <v/>
      </c>
      <c r="F38" s="22">
        <f>IFERROR(IF(E38=1,INDEX(CRITERIOS!K26:M26,MATCH($B$5,VARIABLES!$E$2:$E$4,0)),0),0)</f>
        <v/>
      </c>
      <c r="G38" s="22">
        <f>IF(CRITERIOS!N26="","",CRITERIOS!N26)</f>
        <v/>
      </c>
      <c r="H38" s="22">
        <f>IF(CRITERIOS!O26="","",CRITERIOS!O26)</f>
        <v/>
      </c>
      <c r="I38" s="21" t="n"/>
      <c r="J38" s="22">
        <f>IF(OR($E38=0,I$78=0),0,IF(AND(I38="N/A",$G38&lt;&gt;""),0,$F38+SUMPRODUCT(($G$14:$G$71=$A38)*($E$14:$E$71=1)*(I$14:I$71="N/A")*$F$14:$F$71)))</f>
        <v/>
      </c>
      <c r="K38" s="22">
        <f>IF(I38="SI",J38,0)</f>
        <v/>
      </c>
      <c r="L38" s="21" t="n"/>
      <c r="M38" s="22">
        <f>IF(OR($E38=0,L$78=0),0,IF(AND(L38="N/A",$G38&lt;&gt;""),0,$F38+SUMPRODUCT(($G$14:$G$71=$A38)*($E$14:$E$71=1)*(L$14:L$71="N/A")*$F$14:$F$71)))</f>
        <v/>
      </c>
      <c r="N38" s="22">
        <f>IF(L38="SI",M38,0)</f>
        <v/>
      </c>
      <c r="O38" s="21" t="n"/>
      <c r="P38" s="22">
        <f>IF(OR($E38=0,O$78=0),0,IF(AND(O38="N/A",$G38&lt;&gt;""),0,$F38+SUMPRODUCT(($G$14:$G$71=$A38)*($E$14:$E$71=1)*(O$14:O$71="N/A")*$F$14:$F$71)))</f>
        <v/>
      </c>
      <c r="Q38" s="22">
        <f>IF(O38="SI",P38,0)</f>
        <v/>
      </c>
      <c r="R38" s="21" t="n"/>
      <c r="S38" s="22">
        <f>IF(OR($E38=0,R$78=0),0,IF(AND(R38="N/A",$G38&lt;&gt;""),0,$F38+SUMPRODUCT(($G$14:$G$71=$A38)*($E$14:$E$71=1)*(R$14:R$71="N/A")*$F$14:$F$71)))</f>
        <v/>
      </c>
      <c r="T38" s="22">
        <f>IF(R38="SI",S38,0)</f>
        <v/>
      </c>
      <c r="U38" s="21" t="n"/>
      <c r="V38" s="22">
        <f>IF(OR($E38=0,U$78=0),0,IF(AND(U38="N/A",$G38&lt;&gt;""),0,$F38+SUMPRODUCT(($G$14:$G$71=$A38)*($E$14:$E$71=1)*(U$14:U$71="N/A")*$F$14:$F$71)))</f>
        <v/>
      </c>
      <c r="W38" s="22">
        <f>IF(U38="SI",V38,0)</f>
        <v/>
      </c>
      <c r="X38" s="21" t="n"/>
      <c r="Y38" s="22">
        <f>IF(OR($E38=0,X$78=0),0,IF(AND(X38="N/A",$G38&lt;&gt;""),0,$F38+SUMPRODUCT(($G$14:$G$71=$A38)*($E$14:$E$71=1)*(X$14:X$71="N/A")*$F$14:$F$71)))</f>
        <v/>
      </c>
      <c r="Z38" s="22">
        <f>IF(X38="SI",Y38,0)</f>
        <v/>
      </c>
      <c r="AA38" s="22">
        <f>SUM(J38,M38,P38,S38,V38,Y38)</f>
        <v/>
      </c>
      <c r="AB38" s="22">
        <f>SUM(K38,N38,Q38,T38,W38,Z38)</f>
        <v/>
      </c>
      <c r="AC38" s="23">
        <f>IF(AA38=0,"",AB38/AA38)</f>
        <v/>
      </c>
      <c r="AD38" s="22">
        <f>CRITERIOS!Q26</f>
        <v/>
      </c>
      <c r="AE38" s="22">
        <f>IF(AND(E38=1,H38&lt;&gt;"X",((I38="N/A")+(L38="N/A")+(O38="N/A")+(R38="N/A")+(U38="N/A")+(X38="N/A"))&gt;0),"REVISAR","")</f>
        <v/>
      </c>
    </row>
    <row r="39">
      <c r="A39" s="22">
        <f>CRITERIOS!B27</f>
        <v/>
      </c>
      <c r="B39" s="22">
        <f>CRITERIOS!C27</f>
        <v/>
      </c>
      <c r="C39" s="8">
        <f>CRITERIOS!D27</f>
        <v/>
      </c>
      <c r="D39" s="22">
        <f>CRITERIOS!E27</f>
        <v/>
      </c>
      <c r="E39" s="22">
        <f>IFERROR(IF(AND(OR(CRITERIOS!F27="Todos",CRITERIOS!F27=$B$4),INDEX(CRITERIOS!H27:J27,MATCH($B$5,VARIABLES!$E$2:$E$4,0))=1),1,0),0)</f>
        <v/>
      </c>
      <c r="F39" s="22">
        <f>IFERROR(IF(E39=1,INDEX(CRITERIOS!K27:M27,MATCH($B$5,VARIABLES!$E$2:$E$4,0)),0),0)</f>
        <v/>
      </c>
      <c r="G39" s="22">
        <f>IF(CRITERIOS!N27="","",CRITERIOS!N27)</f>
        <v/>
      </c>
      <c r="H39" s="22">
        <f>IF(CRITERIOS!O27="","",CRITERIOS!O27)</f>
        <v/>
      </c>
      <c r="I39" s="21" t="n"/>
      <c r="J39" s="22">
        <f>IF(OR($E39=0,I$78=0),0,IF(AND(I39="N/A",$G39&lt;&gt;""),0,$F39+SUMPRODUCT(($G$14:$G$71=$A39)*($E$14:$E$71=1)*(I$14:I$71="N/A")*$F$14:$F$71)))</f>
        <v/>
      </c>
      <c r="K39" s="22">
        <f>IF(I39="SI",J39,0)</f>
        <v/>
      </c>
      <c r="L39" s="21" t="n"/>
      <c r="M39" s="22">
        <f>IF(OR($E39=0,L$78=0),0,IF(AND(L39="N/A",$G39&lt;&gt;""),0,$F39+SUMPRODUCT(($G$14:$G$71=$A39)*($E$14:$E$71=1)*(L$14:L$71="N/A")*$F$14:$F$71)))</f>
        <v/>
      </c>
      <c r="N39" s="22">
        <f>IF(L39="SI",M39,0)</f>
        <v/>
      </c>
      <c r="O39" s="21" t="n"/>
      <c r="P39" s="22">
        <f>IF(OR($E39=0,O$78=0),0,IF(AND(O39="N/A",$G39&lt;&gt;""),0,$F39+SUMPRODUCT(($G$14:$G$71=$A39)*($E$14:$E$71=1)*(O$14:O$71="N/A")*$F$14:$F$71)))</f>
        <v/>
      </c>
      <c r="Q39" s="22">
        <f>IF(O39="SI",P39,0)</f>
        <v/>
      </c>
      <c r="R39" s="21" t="n"/>
      <c r="S39" s="22">
        <f>IF(OR($E39=0,R$78=0),0,IF(AND(R39="N/A",$G39&lt;&gt;""),0,$F39+SUMPRODUCT(($G$14:$G$71=$A39)*($E$14:$E$71=1)*(R$14:R$71="N/A")*$F$14:$F$71)))</f>
        <v/>
      </c>
      <c r="T39" s="22">
        <f>IF(R39="SI",S39,0)</f>
        <v/>
      </c>
      <c r="U39" s="21" t="n"/>
      <c r="V39" s="22">
        <f>IF(OR($E39=0,U$78=0),0,IF(AND(U39="N/A",$G39&lt;&gt;""),0,$F39+SUMPRODUCT(($G$14:$G$71=$A39)*($E$14:$E$71=1)*(U$14:U$71="N/A")*$F$14:$F$71)))</f>
        <v/>
      </c>
      <c r="W39" s="22">
        <f>IF(U39="SI",V39,0)</f>
        <v/>
      </c>
      <c r="X39" s="21" t="n"/>
      <c r="Y39" s="22">
        <f>IF(OR($E39=0,X$78=0),0,IF(AND(X39="N/A",$G39&lt;&gt;""),0,$F39+SUMPRODUCT(($G$14:$G$71=$A39)*($E$14:$E$71=1)*(X$14:X$71="N/A")*$F$14:$F$71)))</f>
        <v/>
      </c>
      <c r="Z39" s="22">
        <f>IF(X39="SI",Y39,0)</f>
        <v/>
      </c>
      <c r="AA39" s="22">
        <f>SUM(J39,M39,P39,S39,V39,Y39)</f>
        <v/>
      </c>
      <c r="AB39" s="22">
        <f>SUM(K39,N39,Q39,T39,W39,Z39)</f>
        <v/>
      </c>
      <c r="AC39" s="23">
        <f>IF(AA39=0,"",AB39/AA39)</f>
        <v/>
      </c>
      <c r="AD39" s="22">
        <f>CRITERIOS!Q27</f>
        <v/>
      </c>
      <c r="AE39" s="22">
        <f>IF(AND(E39=1,H39&lt;&gt;"X",((I39="N/A")+(L39="N/A")+(O39="N/A")+(R39="N/A")+(U39="N/A")+(X39="N/A"))&gt;0),"REVISAR","")</f>
        <v/>
      </c>
    </row>
    <row r="40">
      <c r="A40" s="22">
        <f>CRITERIOS!B28</f>
        <v/>
      </c>
      <c r="B40" s="22">
        <f>CRITERIOS!C28</f>
        <v/>
      </c>
      <c r="C40" s="8">
        <f>CRITERIOS!D28</f>
        <v/>
      </c>
      <c r="D40" s="22">
        <f>CRITERIOS!E28</f>
        <v/>
      </c>
      <c r="E40" s="22">
        <f>IFERROR(IF(AND(OR(CRITERIOS!F28="Todos",CRITERIOS!F28=$B$4),INDEX(CRITERIOS!H28:J28,MATCH($B$5,VARIABLES!$E$2:$E$4,0))=1),1,0),0)</f>
        <v/>
      </c>
      <c r="F40" s="22">
        <f>IFERROR(IF(E40=1,INDEX(CRITERIOS!K28:M28,MATCH($B$5,VARIABLES!$E$2:$E$4,0)),0),0)</f>
        <v/>
      </c>
      <c r="G40" s="22">
        <f>IF(CRITERIOS!N28="","",CRITERIOS!N28)</f>
        <v/>
      </c>
      <c r="H40" s="22">
        <f>IF(CRITERIOS!O28="","",CRITERIOS!O28)</f>
        <v/>
      </c>
      <c r="I40" s="21" t="n"/>
      <c r="J40" s="22">
        <f>IF(OR($E40=0,I$78=0),0,IF(AND(I40="N/A",$G40&lt;&gt;""),0,$F40+SUMPRODUCT(($G$14:$G$71=$A40)*($E$14:$E$71=1)*(I$14:I$71="N/A")*$F$14:$F$71)))</f>
        <v/>
      </c>
      <c r="K40" s="22">
        <f>IF(I40="SI",J40,0)</f>
        <v/>
      </c>
      <c r="L40" s="21" t="n"/>
      <c r="M40" s="22">
        <f>IF(OR($E40=0,L$78=0),0,IF(AND(L40="N/A",$G40&lt;&gt;""),0,$F40+SUMPRODUCT(($G$14:$G$71=$A40)*($E$14:$E$71=1)*(L$14:L$71="N/A")*$F$14:$F$71)))</f>
        <v/>
      </c>
      <c r="N40" s="22">
        <f>IF(L40="SI",M40,0)</f>
        <v/>
      </c>
      <c r="O40" s="21" t="n"/>
      <c r="P40" s="22">
        <f>IF(OR($E40=0,O$78=0),0,IF(AND(O40="N/A",$G40&lt;&gt;""),0,$F40+SUMPRODUCT(($G$14:$G$71=$A40)*($E$14:$E$71=1)*(O$14:O$71="N/A")*$F$14:$F$71)))</f>
        <v/>
      </c>
      <c r="Q40" s="22">
        <f>IF(O40="SI",P40,0)</f>
        <v/>
      </c>
      <c r="R40" s="21" t="n"/>
      <c r="S40" s="22">
        <f>IF(OR($E40=0,R$78=0),0,IF(AND(R40="N/A",$G40&lt;&gt;""),0,$F40+SUMPRODUCT(($G$14:$G$71=$A40)*($E$14:$E$71=1)*(R$14:R$71="N/A")*$F$14:$F$71)))</f>
        <v/>
      </c>
      <c r="T40" s="22">
        <f>IF(R40="SI",S40,0)</f>
        <v/>
      </c>
      <c r="U40" s="21" t="n"/>
      <c r="V40" s="22">
        <f>IF(OR($E40=0,U$78=0),0,IF(AND(U40="N/A",$G40&lt;&gt;""),0,$F40+SUMPRODUCT(($G$14:$G$71=$A40)*($E$14:$E$71=1)*(U$14:U$71="N/A")*$F$14:$F$71)))</f>
        <v/>
      </c>
      <c r="W40" s="22">
        <f>IF(U40="SI",V40,0)</f>
        <v/>
      </c>
      <c r="X40" s="21" t="n"/>
      <c r="Y40" s="22">
        <f>IF(OR($E40=0,X$78=0),0,IF(AND(X40="N/A",$G40&lt;&gt;""),0,$F40+SUMPRODUCT(($G$14:$G$71=$A40)*($E$14:$E$71=1)*(X$14:X$71="N/A")*$F$14:$F$71)))</f>
        <v/>
      </c>
      <c r="Z40" s="22">
        <f>IF(X40="SI",Y40,0)</f>
        <v/>
      </c>
      <c r="AA40" s="22">
        <f>SUM(J40,M40,P40,S40,V40,Y40)</f>
        <v/>
      </c>
      <c r="AB40" s="22">
        <f>SUM(K40,N40,Q40,T40,W40,Z40)</f>
        <v/>
      </c>
      <c r="AC40" s="23">
        <f>IF(AA40=0,"",AB40/AA40)</f>
        <v/>
      </c>
      <c r="AD40" s="22">
        <f>CRITERIOS!Q28</f>
        <v/>
      </c>
      <c r="AE40" s="22">
        <f>IF(AND(E40=1,H40&lt;&gt;"X",((I40="N/A")+(L40="N/A")+(O40="N/A")+(R40="N/A")+(U40="N/A")+(X40="N/A"))&gt;0),"REVISAR","")</f>
        <v/>
      </c>
    </row>
    <row r="41">
      <c r="A41" s="22">
        <f>CRITERIOS!B29</f>
        <v/>
      </c>
      <c r="B41" s="22">
        <f>CRITERIOS!C29</f>
        <v/>
      </c>
      <c r="C41" s="8">
        <f>CRITERIOS!D29</f>
        <v/>
      </c>
      <c r="D41" s="22">
        <f>CRITERIOS!E29</f>
        <v/>
      </c>
      <c r="E41" s="22">
        <f>IFERROR(IF(AND(OR(CRITERIOS!F29="Todos",CRITERIOS!F29=$B$4),INDEX(CRITERIOS!H29:J29,MATCH($B$5,VARIABLES!$E$2:$E$4,0))=1),1,0),0)</f>
        <v/>
      </c>
      <c r="F41" s="22">
        <f>IFERROR(IF(E41=1,INDEX(CRITERIOS!K29:M29,MATCH($B$5,VARIABLES!$E$2:$E$4,0)),0),0)</f>
        <v/>
      </c>
      <c r="G41" s="22">
        <f>IF(CRITERIOS!N29="","",CRITERIOS!N29)</f>
        <v/>
      </c>
      <c r="H41" s="22">
        <f>IF(CRITERIOS!O29="","",CRITERIOS!O29)</f>
        <v/>
      </c>
      <c r="I41" s="21" t="n"/>
      <c r="J41" s="22">
        <f>IF(OR($E41=0,I$78=0),0,IF(AND(I41="N/A",$G41&lt;&gt;""),0,$F41+SUMPRODUCT(($G$14:$G$71=$A41)*($E$14:$E$71=1)*(I$14:I$71="N/A")*$F$14:$F$71)))</f>
        <v/>
      </c>
      <c r="K41" s="22">
        <f>IF(I41="SI",J41,0)</f>
        <v/>
      </c>
      <c r="L41" s="21" t="n"/>
      <c r="M41" s="22">
        <f>IF(OR($E41=0,L$78=0),0,IF(AND(L41="N/A",$G41&lt;&gt;""),0,$F41+SUMPRODUCT(($G$14:$G$71=$A41)*($E$14:$E$71=1)*(L$14:L$71="N/A")*$F$14:$F$71)))</f>
        <v/>
      </c>
      <c r="N41" s="22">
        <f>IF(L41="SI",M41,0)</f>
        <v/>
      </c>
      <c r="O41" s="21" t="n"/>
      <c r="P41" s="22">
        <f>IF(OR($E41=0,O$78=0),0,IF(AND(O41="N/A",$G41&lt;&gt;""),0,$F41+SUMPRODUCT(($G$14:$G$71=$A41)*($E$14:$E$71=1)*(O$14:O$71="N/A")*$F$14:$F$71)))</f>
        <v/>
      </c>
      <c r="Q41" s="22">
        <f>IF(O41="SI",P41,0)</f>
        <v/>
      </c>
      <c r="R41" s="21" t="n"/>
      <c r="S41" s="22">
        <f>IF(OR($E41=0,R$78=0),0,IF(AND(R41="N/A",$G41&lt;&gt;""),0,$F41+SUMPRODUCT(($G$14:$G$71=$A41)*($E$14:$E$71=1)*(R$14:R$71="N/A")*$F$14:$F$71)))</f>
        <v/>
      </c>
      <c r="T41" s="22">
        <f>IF(R41="SI",S41,0)</f>
        <v/>
      </c>
      <c r="U41" s="21" t="n"/>
      <c r="V41" s="22">
        <f>IF(OR($E41=0,U$78=0),0,IF(AND(U41="N/A",$G41&lt;&gt;""),0,$F41+SUMPRODUCT(($G$14:$G$71=$A41)*($E$14:$E$71=1)*(U$14:U$71="N/A")*$F$14:$F$71)))</f>
        <v/>
      </c>
      <c r="W41" s="22">
        <f>IF(U41="SI",V41,0)</f>
        <v/>
      </c>
      <c r="X41" s="21" t="n"/>
      <c r="Y41" s="22">
        <f>IF(OR($E41=0,X$78=0),0,IF(AND(X41="N/A",$G41&lt;&gt;""),0,$F41+SUMPRODUCT(($G$14:$G$71=$A41)*($E$14:$E$71=1)*(X$14:X$71="N/A")*$F$14:$F$71)))</f>
        <v/>
      </c>
      <c r="Z41" s="22">
        <f>IF(X41="SI",Y41,0)</f>
        <v/>
      </c>
      <c r="AA41" s="22">
        <f>SUM(J41,M41,P41,S41,V41,Y41)</f>
        <v/>
      </c>
      <c r="AB41" s="22">
        <f>SUM(K41,N41,Q41,T41,W41,Z41)</f>
        <v/>
      </c>
      <c r="AC41" s="23">
        <f>IF(AA41=0,"",AB41/AA41)</f>
        <v/>
      </c>
      <c r="AD41" s="22">
        <f>CRITERIOS!Q29</f>
        <v/>
      </c>
      <c r="AE41" s="22">
        <f>IF(AND(E41=1,H41&lt;&gt;"X",((I41="N/A")+(L41="N/A")+(O41="N/A")+(R41="N/A")+(U41="N/A")+(X41="N/A"))&gt;0),"REVISAR","")</f>
        <v/>
      </c>
    </row>
    <row r="42">
      <c r="A42" s="24">
        <f>CRITERIOS!B30</f>
        <v/>
      </c>
      <c r="B42" s="24">
        <f>CRITERIOS!C30</f>
        <v/>
      </c>
      <c r="C42" s="25">
        <f>CRITERIOS!D30</f>
        <v/>
      </c>
      <c r="D42" s="24">
        <f>CRITERIOS!E30</f>
        <v/>
      </c>
      <c r="E42" s="24">
        <f>IFERROR(IF(AND(OR(CRITERIOS!F30="Todos",CRITERIOS!F30=$B$4),INDEX(CRITERIOS!H30:J30,MATCH($B$5,VARIABLES!$E$2:$E$4,0))=1),1,0),0)</f>
        <v/>
      </c>
      <c r="F42" s="24">
        <f>IFERROR(IF(E42=1,INDEX(CRITERIOS!K30:M30,MATCH($B$5,VARIABLES!$E$2:$E$4,0)),0),0)</f>
        <v/>
      </c>
      <c r="G42" s="24">
        <f>IF(CRITERIOS!N30="","",CRITERIOS!N30)</f>
        <v/>
      </c>
      <c r="H42" s="24">
        <f>IF(CRITERIOS!O30="","",CRITERIOS!O30)</f>
        <v/>
      </c>
      <c r="I42" s="21" t="n"/>
      <c r="J42" s="22">
        <f>IF(OR($E42=0,I$78=0),0,IF(AND(I42="N/A",$G42&lt;&gt;""),0,$F42+SUMPRODUCT(($G$14:$G$71=$A42)*($E$14:$E$71=1)*(I$14:I$71="N/A")*$F$14:$F$71)))</f>
        <v/>
      </c>
      <c r="K42" s="22">
        <f>IF(I42="SI",J42,0)</f>
        <v/>
      </c>
      <c r="L42" s="21" t="n"/>
      <c r="M42" s="22">
        <f>IF(OR($E42=0,L$78=0),0,IF(AND(L42="N/A",$G42&lt;&gt;""),0,$F42+SUMPRODUCT(($G$14:$G$71=$A42)*($E$14:$E$71=1)*(L$14:L$71="N/A")*$F$14:$F$71)))</f>
        <v/>
      </c>
      <c r="N42" s="22">
        <f>IF(L42="SI",M42,0)</f>
        <v/>
      </c>
      <c r="O42" s="21" t="n"/>
      <c r="P42" s="22">
        <f>IF(OR($E42=0,O$78=0),0,IF(AND(O42="N/A",$G42&lt;&gt;""),0,$F42+SUMPRODUCT(($G$14:$G$71=$A42)*($E$14:$E$71=1)*(O$14:O$71="N/A")*$F$14:$F$71)))</f>
        <v/>
      </c>
      <c r="Q42" s="22">
        <f>IF(O42="SI",P42,0)</f>
        <v/>
      </c>
      <c r="R42" s="21" t="n"/>
      <c r="S42" s="22">
        <f>IF(OR($E42=0,R$78=0),0,IF(AND(R42="N/A",$G42&lt;&gt;""),0,$F42+SUMPRODUCT(($G$14:$G$71=$A42)*($E$14:$E$71=1)*(R$14:R$71="N/A")*$F$14:$F$71)))</f>
        <v/>
      </c>
      <c r="T42" s="22">
        <f>IF(R42="SI",S42,0)</f>
        <v/>
      </c>
      <c r="U42" s="21" t="n"/>
      <c r="V42" s="22">
        <f>IF(OR($E42=0,U$78=0),0,IF(AND(U42="N/A",$G42&lt;&gt;""),0,$F42+SUMPRODUCT(($G$14:$G$71=$A42)*($E$14:$E$71=1)*(U$14:U$71="N/A")*$F$14:$F$71)))</f>
        <v/>
      </c>
      <c r="W42" s="22">
        <f>IF(U42="SI",V42,0)</f>
        <v/>
      </c>
      <c r="X42" s="21" t="n"/>
      <c r="Y42" s="22">
        <f>IF(OR($E42=0,X$78=0),0,IF(AND(X42="N/A",$G42&lt;&gt;""),0,$F42+SUMPRODUCT(($G$14:$G$71=$A42)*($E$14:$E$71=1)*(X$14:X$71="N/A")*$F$14:$F$71)))</f>
        <v/>
      </c>
      <c r="Z42" s="22">
        <f>IF(X42="SI",Y42,0)</f>
        <v/>
      </c>
      <c r="AA42" s="22">
        <f>SUM(J42,M42,P42,S42,V42,Y42)</f>
        <v/>
      </c>
      <c r="AB42" s="22">
        <f>SUM(K42,N42,Q42,T42,W42,Z42)</f>
        <v/>
      </c>
      <c r="AC42" s="23">
        <f>IF(AA42=0,"",AB42/AA42)</f>
        <v/>
      </c>
      <c r="AD42" s="22">
        <f>CRITERIOS!Q30</f>
        <v/>
      </c>
      <c r="AE42" s="22">
        <f>IF(AND(E42=1,H42&lt;&gt;"X",((I42="N/A")+(L42="N/A")+(O42="N/A")+(R42="N/A")+(U42="N/A")+(X42="N/A"))&gt;0),"REVISAR","")</f>
        <v/>
      </c>
    </row>
    <row r="43">
      <c r="A43" s="22">
        <f>CRITERIOS!B31</f>
        <v/>
      </c>
      <c r="B43" s="22">
        <f>CRITERIOS!C31</f>
        <v/>
      </c>
      <c r="C43" s="8">
        <f>CRITERIOS!D31</f>
        <v/>
      </c>
      <c r="D43" s="22">
        <f>CRITERIOS!E31</f>
        <v/>
      </c>
      <c r="E43" s="22">
        <f>IFERROR(IF(AND(OR(CRITERIOS!F31="Todos",CRITERIOS!F31=$B$4),INDEX(CRITERIOS!H31:J31,MATCH($B$5,VARIABLES!$E$2:$E$4,0))=1),1,0),0)</f>
        <v/>
      </c>
      <c r="F43" s="22">
        <f>IFERROR(IF(E43=1,INDEX(CRITERIOS!K31:M31,MATCH($B$5,VARIABLES!$E$2:$E$4,0)),0),0)</f>
        <v/>
      </c>
      <c r="G43" s="22">
        <f>IF(CRITERIOS!N31="","",CRITERIOS!N31)</f>
        <v/>
      </c>
      <c r="H43" s="22">
        <f>IF(CRITERIOS!O31="","",CRITERIOS!O31)</f>
        <v/>
      </c>
      <c r="I43" s="21" t="n"/>
      <c r="J43" s="22">
        <f>IF(OR($E43=0,I$78=0),0,IF(AND(I43="N/A",$G43&lt;&gt;""),0,$F43+SUMPRODUCT(($G$14:$G$71=$A43)*($E$14:$E$71=1)*(I$14:I$71="N/A")*$F$14:$F$71)))</f>
        <v/>
      </c>
      <c r="K43" s="22">
        <f>IF(I43="SI",J43,0)</f>
        <v/>
      </c>
      <c r="L43" s="21" t="n"/>
      <c r="M43" s="22">
        <f>IF(OR($E43=0,L$78=0),0,IF(AND(L43="N/A",$G43&lt;&gt;""),0,$F43+SUMPRODUCT(($G$14:$G$71=$A43)*($E$14:$E$71=1)*(L$14:L$71="N/A")*$F$14:$F$71)))</f>
        <v/>
      </c>
      <c r="N43" s="22">
        <f>IF(L43="SI",M43,0)</f>
        <v/>
      </c>
      <c r="O43" s="21" t="n"/>
      <c r="P43" s="22">
        <f>IF(OR($E43=0,O$78=0),0,IF(AND(O43="N/A",$G43&lt;&gt;""),0,$F43+SUMPRODUCT(($G$14:$G$71=$A43)*($E$14:$E$71=1)*(O$14:O$71="N/A")*$F$14:$F$71)))</f>
        <v/>
      </c>
      <c r="Q43" s="22">
        <f>IF(O43="SI",P43,0)</f>
        <v/>
      </c>
      <c r="R43" s="21" t="n"/>
      <c r="S43" s="22">
        <f>IF(OR($E43=0,R$78=0),0,IF(AND(R43="N/A",$G43&lt;&gt;""),0,$F43+SUMPRODUCT(($G$14:$G$71=$A43)*($E$14:$E$71=1)*(R$14:R$71="N/A")*$F$14:$F$71)))</f>
        <v/>
      </c>
      <c r="T43" s="22">
        <f>IF(R43="SI",S43,0)</f>
        <v/>
      </c>
      <c r="U43" s="21" t="n"/>
      <c r="V43" s="22">
        <f>IF(OR($E43=0,U$78=0),0,IF(AND(U43="N/A",$G43&lt;&gt;""),0,$F43+SUMPRODUCT(($G$14:$G$71=$A43)*($E$14:$E$71=1)*(U$14:U$71="N/A")*$F$14:$F$71)))</f>
        <v/>
      </c>
      <c r="W43" s="22">
        <f>IF(U43="SI",V43,0)</f>
        <v/>
      </c>
      <c r="X43" s="21" t="n"/>
      <c r="Y43" s="22">
        <f>IF(OR($E43=0,X$78=0),0,IF(AND(X43="N/A",$G43&lt;&gt;""),0,$F43+SUMPRODUCT(($G$14:$G$71=$A43)*($E$14:$E$71=1)*(X$14:X$71="N/A")*$F$14:$F$71)))</f>
        <v/>
      </c>
      <c r="Z43" s="22">
        <f>IF(X43="SI",Y43,0)</f>
        <v/>
      </c>
      <c r="AA43" s="22">
        <f>SUM(J43,M43,P43,S43,V43,Y43)</f>
        <v/>
      </c>
      <c r="AB43" s="22">
        <f>SUM(K43,N43,Q43,T43,W43,Z43)</f>
        <v/>
      </c>
      <c r="AC43" s="23">
        <f>IF(AA43=0,"",AB43/AA43)</f>
        <v/>
      </c>
      <c r="AD43" s="22">
        <f>CRITERIOS!Q31</f>
        <v/>
      </c>
      <c r="AE43" s="22">
        <f>IF(AND(E43=1,H43&lt;&gt;"X",((I43="N/A")+(L43="N/A")+(O43="N/A")+(R43="N/A")+(U43="N/A")+(X43="N/A"))&gt;0),"REVISAR","")</f>
        <v/>
      </c>
    </row>
    <row r="44">
      <c r="A44" s="24">
        <f>CRITERIOS!B32</f>
        <v/>
      </c>
      <c r="B44" s="24">
        <f>CRITERIOS!C32</f>
        <v/>
      </c>
      <c r="C44" s="25">
        <f>CRITERIOS!D32</f>
        <v/>
      </c>
      <c r="D44" s="24">
        <f>CRITERIOS!E32</f>
        <v/>
      </c>
      <c r="E44" s="24">
        <f>IFERROR(IF(AND(OR(CRITERIOS!F32="Todos",CRITERIOS!F32=$B$4),INDEX(CRITERIOS!H32:J32,MATCH($B$5,VARIABLES!$E$2:$E$4,0))=1),1,0),0)</f>
        <v/>
      </c>
      <c r="F44" s="24">
        <f>IFERROR(IF(E44=1,INDEX(CRITERIOS!K32:M32,MATCH($B$5,VARIABLES!$E$2:$E$4,0)),0),0)</f>
        <v/>
      </c>
      <c r="G44" s="24">
        <f>IF(CRITERIOS!N32="","",CRITERIOS!N32)</f>
        <v/>
      </c>
      <c r="H44" s="24">
        <f>IF(CRITERIOS!O32="","",CRITERIOS!O32)</f>
        <v/>
      </c>
      <c r="I44" s="21" t="n"/>
      <c r="J44" s="22">
        <f>IF(OR($E44=0,I$78=0),0,IF(AND(I44="N/A",$G44&lt;&gt;""),0,$F44+SUMPRODUCT(($G$14:$G$71=$A44)*($E$14:$E$71=1)*(I$14:I$71="N/A")*$F$14:$F$71)))</f>
        <v/>
      </c>
      <c r="K44" s="22">
        <f>IF(I44="SI",J44,0)</f>
        <v/>
      </c>
      <c r="L44" s="21" t="n"/>
      <c r="M44" s="22">
        <f>IF(OR($E44=0,L$78=0),0,IF(AND(L44="N/A",$G44&lt;&gt;""),0,$F44+SUMPRODUCT(($G$14:$G$71=$A44)*($E$14:$E$71=1)*(L$14:L$71="N/A")*$F$14:$F$71)))</f>
        <v/>
      </c>
      <c r="N44" s="22">
        <f>IF(L44="SI",M44,0)</f>
        <v/>
      </c>
      <c r="O44" s="21" t="n"/>
      <c r="P44" s="22">
        <f>IF(OR($E44=0,O$78=0),0,IF(AND(O44="N/A",$G44&lt;&gt;""),0,$F44+SUMPRODUCT(($G$14:$G$71=$A44)*($E$14:$E$71=1)*(O$14:O$71="N/A")*$F$14:$F$71)))</f>
        <v/>
      </c>
      <c r="Q44" s="22">
        <f>IF(O44="SI",P44,0)</f>
        <v/>
      </c>
      <c r="R44" s="21" t="n"/>
      <c r="S44" s="22">
        <f>IF(OR($E44=0,R$78=0),0,IF(AND(R44="N/A",$G44&lt;&gt;""),0,$F44+SUMPRODUCT(($G$14:$G$71=$A44)*($E$14:$E$71=1)*(R$14:R$71="N/A")*$F$14:$F$71)))</f>
        <v/>
      </c>
      <c r="T44" s="22">
        <f>IF(R44="SI",S44,0)</f>
        <v/>
      </c>
      <c r="U44" s="21" t="n"/>
      <c r="V44" s="22">
        <f>IF(OR($E44=0,U$78=0),0,IF(AND(U44="N/A",$G44&lt;&gt;""),0,$F44+SUMPRODUCT(($G$14:$G$71=$A44)*($E$14:$E$71=1)*(U$14:U$71="N/A")*$F$14:$F$71)))</f>
        <v/>
      </c>
      <c r="W44" s="22">
        <f>IF(U44="SI",V44,0)</f>
        <v/>
      </c>
      <c r="X44" s="21" t="n"/>
      <c r="Y44" s="22">
        <f>IF(OR($E44=0,X$78=0),0,IF(AND(X44="N/A",$G44&lt;&gt;""),0,$F44+SUMPRODUCT(($G$14:$G$71=$A44)*($E$14:$E$71=1)*(X$14:X$71="N/A")*$F$14:$F$71)))</f>
        <v/>
      </c>
      <c r="Z44" s="22">
        <f>IF(X44="SI",Y44,0)</f>
        <v/>
      </c>
      <c r="AA44" s="22">
        <f>SUM(J44,M44,P44,S44,V44,Y44)</f>
        <v/>
      </c>
      <c r="AB44" s="22">
        <f>SUM(K44,N44,Q44,T44,W44,Z44)</f>
        <v/>
      </c>
      <c r="AC44" s="23">
        <f>IF(AA44=0,"",AB44/AA44)</f>
        <v/>
      </c>
      <c r="AD44" s="22">
        <f>CRITERIOS!Q32</f>
        <v/>
      </c>
      <c r="AE44" s="22">
        <f>IF(AND(E44=1,H44&lt;&gt;"X",((I44="N/A")+(L44="N/A")+(O44="N/A")+(R44="N/A")+(U44="N/A")+(X44="N/A"))&gt;0),"REVISAR","")</f>
        <v/>
      </c>
    </row>
    <row r="45">
      <c r="A45" s="22">
        <f>CRITERIOS!B33</f>
        <v/>
      </c>
      <c r="B45" s="22">
        <f>CRITERIOS!C33</f>
        <v/>
      </c>
      <c r="C45" s="8">
        <f>CRITERIOS!D33</f>
        <v/>
      </c>
      <c r="D45" s="22">
        <f>CRITERIOS!E33</f>
        <v/>
      </c>
      <c r="E45" s="22">
        <f>IFERROR(IF(AND(OR(CRITERIOS!F33="Todos",CRITERIOS!F33=$B$4),INDEX(CRITERIOS!H33:J33,MATCH($B$5,VARIABLES!$E$2:$E$4,0))=1),1,0),0)</f>
        <v/>
      </c>
      <c r="F45" s="22">
        <f>IFERROR(IF(E45=1,INDEX(CRITERIOS!K33:M33,MATCH($B$5,VARIABLES!$E$2:$E$4,0)),0),0)</f>
        <v/>
      </c>
      <c r="G45" s="22">
        <f>IF(CRITERIOS!N33="","",CRITERIOS!N33)</f>
        <v/>
      </c>
      <c r="H45" s="22">
        <f>IF(CRITERIOS!O33="","",CRITERIOS!O33)</f>
        <v/>
      </c>
      <c r="I45" s="21" t="n"/>
      <c r="J45" s="22">
        <f>IF(OR($E45=0,I$78=0),0,IF(AND(I45="N/A",$G45&lt;&gt;""),0,$F45+SUMPRODUCT(($G$14:$G$71=$A45)*($E$14:$E$71=1)*(I$14:I$71="N/A")*$F$14:$F$71)))</f>
        <v/>
      </c>
      <c r="K45" s="22">
        <f>IF(I45="SI",J45,0)</f>
        <v/>
      </c>
      <c r="L45" s="21" t="n"/>
      <c r="M45" s="22">
        <f>IF(OR($E45=0,L$78=0),0,IF(AND(L45="N/A",$G45&lt;&gt;""),0,$F45+SUMPRODUCT(($G$14:$G$71=$A45)*($E$14:$E$71=1)*(L$14:L$71="N/A")*$F$14:$F$71)))</f>
        <v/>
      </c>
      <c r="N45" s="22">
        <f>IF(L45="SI",M45,0)</f>
        <v/>
      </c>
      <c r="O45" s="21" t="n"/>
      <c r="P45" s="22">
        <f>IF(OR($E45=0,O$78=0),0,IF(AND(O45="N/A",$G45&lt;&gt;""),0,$F45+SUMPRODUCT(($G$14:$G$71=$A45)*($E$14:$E$71=1)*(O$14:O$71="N/A")*$F$14:$F$71)))</f>
        <v/>
      </c>
      <c r="Q45" s="22">
        <f>IF(O45="SI",P45,0)</f>
        <v/>
      </c>
      <c r="R45" s="21" t="n"/>
      <c r="S45" s="22">
        <f>IF(OR($E45=0,R$78=0),0,IF(AND(R45="N/A",$G45&lt;&gt;""),0,$F45+SUMPRODUCT(($G$14:$G$71=$A45)*($E$14:$E$71=1)*(R$14:R$71="N/A")*$F$14:$F$71)))</f>
        <v/>
      </c>
      <c r="T45" s="22">
        <f>IF(R45="SI",S45,0)</f>
        <v/>
      </c>
      <c r="U45" s="21" t="n"/>
      <c r="V45" s="22">
        <f>IF(OR($E45=0,U$78=0),0,IF(AND(U45="N/A",$G45&lt;&gt;""),0,$F45+SUMPRODUCT(($G$14:$G$71=$A45)*($E$14:$E$71=1)*(U$14:U$71="N/A")*$F$14:$F$71)))</f>
        <v/>
      </c>
      <c r="W45" s="22">
        <f>IF(U45="SI",V45,0)</f>
        <v/>
      </c>
      <c r="X45" s="21" t="n"/>
      <c r="Y45" s="22">
        <f>IF(OR($E45=0,X$78=0),0,IF(AND(X45="N/A",$G45&lt;&gt;""),0,$F45+SUMPRODUCT(($G$14:$G$71=$A45)*($E$14:$E$71=1)*(X$14:X$71="N/A")*$F$14:$F$71)))</f>
        <v/>
      </c>
      <c r="Z45" s="22">
        <f>IF(X45="SI",Y45,0)</f>
        <v/>
      </c>
      <c r="AA45" s="22">
        <f>SUM(J45,M45,P45,S45,V45,Y45)</f>
        <v/>
      </c>
      <c r="AB45" s="22">
        <f>SUM(K45,N45,Q45,T45,W45,Z45)</f>
        <v/>
      </c>
      <c r="AC45" s="23">
        <f>IF(AA45=0,"",AB45/AA45)</f>
        <v/>
      </c>
      <c r="AD45" s="22">
        <f>CRITERIOS!Q33</f>
        <v/>
      </c>
      <c r="AE45" s="22">
        <f>IF(AND(E45=1,H45&lt;&gt;"X",((I45="N/A")+(L45="N/A")+(O45="N/A")+(R45="N/A")+(U45="N/A")+(X45="N/A"))&gt;0),"REVISAR","")</f>
        <v/>
      </c>
    </row>
    <row r="46">
      <c r="A46" s="24">
        <f>CRITERIOS!B34</f>
        <v/>
      </c>
      <c r="B46" s="24">
        <f>CRITERIOS!C34</f>
        <v/>
      </c>
      <c r="C46" s="25">
        <f>CRITERIOS!D34</f>
        <v/>
      </c>
      <c r="D46" s="24">
        <f>CRITERIOS!E34</f>
        <v/>
      </c>
      <c r="E46" s="24">
        <f>IFERROR(IF(AND(OR(CRITERIOS!F34="Todos",CRITERIOS!F34=$B$4),INDEX(CRITERIOS!H34:J34,MATCH($B$5,VARIABLES!$E$2:$E$4,0))=1),1,0),0)</f>
        <v/>
      </c>
      <c r="F46" s="24">
        <f>IFERROR(IF(E46=1,INDEX(CRITERIOS!K34:M34,MATCH($B$5,VARIABLES!$E$2:$E$4,0)),0),0)</f>
        <v/>
      </c>
      <c r="G46" s="24">
        <f>IF(CRITERIOS!N34="","",CRITERIOS!N34)</f>
        <v/>
      </c>
      <c r="H46" s="24">
        <f>IF(CRITERIOS!O34="","",CRITERIOS!O34)</f>
        <v/>
      </c>
      <c r="I46" s="21" t="n"/>
      <c r="J46" s="22">
        <f>IF(OR($E46=0,I$78=0),0,IF(AND(I46="N/A",$G46&lt;&gt;""),0,$F46+SUMPRODUCT(($G$14:$G$71=$A46)*($E$14:$E$71=1)*(I$14:I$71="N/A")*$F$14:$F$71)))</f>
        <v/>
      </c>
      <c r="K46" s="22">
        <f>IF(I46="SI",J46,0)</f>
        <v/>
      </c>
      <c r="L46" s="21" t="n"/>
      <c r="M46" s="22">
        <f>IF(OR($E46=0,L$78=0),0,IF(AND(L46="N/A",$G46&lt;&gt;""),0,$F46+SUMPRODUCT(($G$14:$G$71=$A46)*($E$14:$E$71=1)*(L$14:L$71="N/A")*$F$14:$F$71)))</f>
        <v/>
      </c>
      <c r="N46" s="22">
        <f>IF(L46="SI",M46,0)</f>
        <v/>
      </c>
      <c r="O46" s="21" t="n"/>
      <c r="P46" s="22">
        <f>IF(OR($E46=0,O$78=0),0,IF(AND(O46="N/A",$G46&lt;&gt;""),0,$F46+SUMPRODUCT(($G$14:$G$71=$A46)*($E$14:$E$71=1)*(O$14:O$71="N/A")*$F$14:$F$71)))</f>
        <v/>
      </c>
      <c r="Q46" s="22">
        <f>IF(O46="SI",P46,0)</f>
        <v/>
      </c>
      <c r="R46" s="21" t="n"/>
      <c r="S46" s="22">
        <f>IF(OR($E46=0,R$78=0),0,IF(AND(R46="N/A",$G46&lt;&gt;""),0,$F46+SUMPRODUCT(($G$14:$G$71=$A46)*($E$14:$E$71=1)*(R$14:R$71="N/A")*$F$14:$F$71)))</f>
        <v/>
      </c>
      <c r="T46" s="22">
        <f>IF(R46="SI",S46,0)</f>
        <v/>
      </c>
      <c r="U46" s="21" t="n"/>
      <c r="V46" s="22">
        <f>IF(OR($E46=0,U$78=0),0,IF(AND(U46="N/A",$G46&lt;&gt;""),0,$F46+SUMPRODUCT(($G$14:$G$71=$A46)*($E$14:$E$71=1)*(U$14:U$71="N/A")*$F$14:$F$71)))</f>
        <v/>
      </c>
      <c r="W46" s="22">
        <f>IF(U46="SI",V46,0)</f>
        <v/>
      </c>
      <c r="X46" s="21" t="n"/>
      <c r="Y46" s="22">
        <f>IF(OR($E46=0,X$78=0),0,IF(AND(X46="N/A",$G46&lt;&gt;""),0,$F46+SUMPRODUCT(($G$14:$G$71=$A46)*($E$14:$E$71=1)*(X$14:X$71="N/A")*$F$14:$F$71)))</f>
        <v/>
      </c>
      <c r="Z46" s="22">
        <f>IF(X46="SI",Y46,0)</f>
        <v/>
      </c>
      <c r="AA46" s="22">
        <f>SUM(J46,M46,P46,S46,V46,Y46)</f>
        <v/>
      </c>
      <c r="AB46" s="22">
        <f>SUM(K46,N46,Q46,T46,W46,Z46)</f>
        <v/>
      </c>
      <c r="AC46" s="23">
        <f>IF(AA46=0,"",AB46/AA46)</f>
        <v/>
      </c>
      <c r="AD46" s="22">
        <f>CRITERIOS!Q34</f>
        <v/>
      </c>
      <c r="AE46" s="22">
        <f>IF(AND(E46=1,H46&lt;&gt;"X",((I46="N/A")+(L46="N/A")+(O46="N/A")+(R46="N/A")+(U46="N/A")+(X46="N/A"))&gt;0),"REVISAR","")</f>
        <v/>
      </c>
    </row>
    <row r="47">
      <c r="A47" s="22">
        <f>CRITERIOS!B35</f>
        <v/>
      </c>
      <c r="B47" s="22">
        <f>CRITERIOS!C35</f>
        <v/>
      </c>
      <c r="C47" s="8">
        <f>CRITERIOS!D35</f>
        <v/>
      </c>
      <c r="D47" s="22">
        <f>CRITERIOS!E35</f>
        <v/>
      </c>
      <c r="E47" s="22">
        <f>IFERROR(IF(AND(OR(CRITERIOS!F35="Todos",CRITERIOS!F35=$B$4),INDEX(CRITERIOS!H35:J35,MATCH($B$5,VARIABLES!$E$2:$E$4,0))=1),1,0),0)</f>
        <v/>
      </c>
      <c r="F47" s="22">
        <f>IFERROR(IF(E47=1,INDEX(CRITERIOS!K35:M35,MATCH($B$5,VARIABLES!$E$2:$E$4,0)),0),0)</f>
        <v/>
      </c>
      <c r="G47" s="22">
        <f>IF(CRITERIOS!N35="","",CRITERIOS!N35)</f>
        <v/>
      </c>
      <c r="H47" s="22">
        <f>IF(CRITERIOS!O35="","",CRITERIOS!O35)</f>
        <v/>
      </c>
      <c r="I47" s="21" t="n"/>
      <c r="J47" s="22">
        <f>IF(OR($E47=0,I$78=0),0,IF(AND(I47="N/A",$G47&lt;&gt;""),0,$F47+SUMPRODUCT(($G$14:$G$71=$A47)*($E$14:$E$71=1)*(I$14:I$71="N/A")*$F$14:$F$71)))</f>
        <v/>
      </c>
      <c r="K47" s="22">
        <f>IF(I47="SI",J47,0)</f>
        <v/>
      </c>
      <c r="L47" s="21" t="n"/>
      <c r="M47" s="22">
        <f>IF(OR($E47=0,L$78=0),0,IF(AND(L47="N/A",$G47&lt;&gt;""),0,$F47+SUMPRODUCT(($G$14:$G$71=$A47)*($E$14:$E$71=1)*(L$14:L$71="N/A")*$F$14:$F$71)))</f>
        <v/>
      </c>
      <c r="N47" s="22">
        <f>IF(L47="SI",M47,0)</f>
        <v/>
      </c>
      <c r="O47" s="21" t="n"/>
      <c r="P47" s="22">
        <f>IF(OR($E47=0,O$78=0),0,IF(AND(O47="N/A",$G47&lt;&gt;""),0,$F47+SUMPRODUCT(($G$14:$G$71=$A47)*($E$14:$E$71=1)*(O$14:O$71="N/A")*$F$14:$F$71)))</f>
        <v/>
      </c>
      <c r="Q47" s="22">
        <f>IF(O47="SI",P47,0)</f>
        <v/>
      </c>
      <c r="R47" s="21" t="n"/>
      <c r="S47" s="22">
        <f>IF(OR($E47=0,R$78=0),0,IF(AND(R47="N/A",$G47&lt;&gt;""),0,$F47+SUMPRODUCT(($G$14:$G$71=$A47)*($E$14:$E$71=1)*(R$14:R$71="N/A")*$F$14:$F$71)))</f>
        <v/>
      </c>
      <c r="T47" s="22">
        <f>IF(R47="SI",S47,0)</f>
        <v/>
      </c>
      <c r="U47" s="21" t="n"/>
      <c r="V47" s="22">
        <f>IF(OR($E47=0,U$78=0),0,IF(AND(U47="N/A",$G47&lt;&gt;""),0,$F47+SUMPRODUCT(($G$14:$G$71=$A47)*($E$14:$E$71=1)*(U$14:U$71="N/A")*$F$14:$F$71)))</f>
        <v/>
      </c>
      <c r="W47" s="22">
        <f>IF(U47="SI",V47,0)</f>
        <v/>
      </c>
      <c r="X47" s="21" t="n"/>
      <c r="Y47" s="22">
        <f>IF(OR($E47=0,X$78=0),0,IF(AND(X47="N/A",$G47&lt;&gt;""),0,$F47+SUMPRODUCT(($G$14:$G$71=$A47)*($E$14:$E$71=1)*(X$14:X$71="N/A")*$F$14:$F$71)))</f>
        <v/>
      </c>
      <c r="Z47" s="22">
        <f>IF(X47="SI",Y47,0)</f>
        <v/>
      </c>
      <c r="AA47" s="22">
        <f>SUM(J47,M47,P47,S47,V47,Y47)</f>
        <v/>
      </c>
      <c r="AB47" s="22">
        <f>SUM(K47,N47,Q47,T47,W47,Z47)</f>
        <v/>
      </c>
      <c r="AC47" s="23">
        <f>IF(AA47=0,"",AB47/AA47)</f>
        <v/>
      </c>
      <c r="AD47" s="22">
        <f>CRITERIOS!Q35</f>
        <v/>
      </c>
      <c r="AE47" s="22">
        <f>IF(AND(E47=1,H47&lt;&gt;"X",((I47="N/A")+(L47="N/A")+(O47="N/A")+(R47="N/A")+(U47="N/A")+(X47="N/A"))&gt;0),"REVISAR","")</f>
        <v/>
      </c>
    </row>
    <row r="48">
      <c r="A48" s="24">
        <f>CRITERIOS!B36</f>
        <v/>
      </c>
      <c r="B48" s="24">
        <f>CRITERIOS!C36</f>
        <v/>
      </c>
      <c r="C48" s="25">
        <f>CRITERIOS!D36</f>
        <v/>
      </c>
      <c r="D48" s="24">
        <f>CRITERIOS!E36</f>
        <v/>
      </c>
      <c r="E48" s="24">
        <f>IFERROR(IF(AND(OR(CRITERIOS!F36="Todos",CRITERIOS!F36=$B$4),INDEX(CRITERIOS!H36:J36,MATCH($B$5,VARIABLES!$E$2:$E$4,0))=1),1,0),0)</f>
        <v/>
      </c>
      <c r="F48" s="24">
        <f>IFERROR(IF(E48=1,INDEX(CRITERIOS!K36:M36,MATCH($B$5,VARIABLES!$E$2:$E$4,0)),0),0)</f>
        <v/>
      </c>
      <c r="G48" s="24">
        <f>IF(CRITERIOS!N36="","",CRITERIOS!N36)</f>
        <v/>
      </c>
      <c r="H48" s="24">
        <f>IF(CRITERIOS!O36="","",CRITERIOS!O36)</f>
        <v/>
      </c>
      <c r="I48" s="21" t="n"/>
      <c r="J48" s="22">
        <f>IF(OR($E48=0,I$78=0),0,IF(AND(I48="N/A",$G48&lt;&gt;""),0,$F48+SUMPRODUCT(($G$14:$G$71=$A48)*($E$14:$E$71=1)*(I$14:I$71="N/A")*$F$14:$F$71)))</f>
        <v/>
      </c>
      <c r="K48" s="22">
        <f>IF(I48="SI",J48,0)</f>
        <v/>
      </c>
      <c r="L48" s="21" t="n"/>
      <c r="M48" s="22">
        <f>IF(OR($E48=0,L$78=0),0,IF(AND(L48="N/A",$G48&lt;&gt;""),0,$F48+SUMPRODUCT(($G$14:$G$71=$A48)*($E$14:$E$71=1)*(L$14:L$71="N/A")*$F$14:$F$71)))</f>
        <v/>
      </c>
      <c r="N48" s="22">
        <f>IF(L48="SI",M48,0)</f>
        <v/>
      </c>
      <c r="O48" s="21" t="n"/>
      <c r="P48" s="22">
        <f>IF(OR($E48=0,O$78=0),0,IF(AND(O48="N/A",$G48&lt;&gt;""),0,$F48+SUMPRODUCT(($G$14:$G$71=$A48)*($E$14:$E$71=1)*(O$14:O$71="N/A")*$F$14:$F$71)))</f>
        <v/>
      </c>
      <c r="Q48" s="22">
        <f>IF(O48="SI",P48,0)</f>
        <v/>
      </c>
      <c r="R48" s="21" t="n"/>
      <c r="S48" s="22">
        <f>IF(OR($E48=0,R$78=0),0,IF(AND(R48="N/A",$G48&lt;&gt;""),0,$F48+SUMPRODUCT(($G$14:$G$71=$A48)*($E$14:$E$71=1)*(R$14:R$71="N/A")*$F$14:$F$71)))</f>
        <v/>
      </c>
      <c r="T48" s="22">
        <f>IF(R48="SI",S48,0)</f>
        <v/>
      </c>
      <c r="U48" s="21" t="n"/>
      <c r="V48" s="22">
        <f>IF(OR($E48=0,U$78=0),0,IF(AND(U48="N/A",$G48&lt;&gt;""),0,$F48+SUMPRODUCT(($G$14:$G$71=$A48)*($E$14:$E$71=1)*(U$14:U$71="N/A")*$F$14:$F$71)))</f>
        <v/>
      </c>
      <c r="W48" s="22">
        <f>IF(U48="SI",V48,0)</f>
        <v/>
      </c>
      <c r="X48" s="21" t="n"/>
      <c r="Y48" s="22">
        <f>IF(OR($E48=0,X$78=0),0,IF(AND(X48="N/A",$G48&lt;&gt;""),0,$F48+SUMPRODUCT(($G$14:$G$71=$A48)*($E$14:$E$71=1)*(X$14:X$71="N/A")*$F$14:$F$71)))</f>
        <v/>
      </c>
      <c r="Z48" s="22">
        <f>IF(X48="SI",Y48,0)</f>
        <v/>
      </c>
      <c r="AA48" s="22">
        <f>SUM(J48,M48,P48,S48,V48,Y48)</f>
        <v/>
      </c>
      <c r="AB48" s="22">
        <f>SUM(K48,N48,Q48,T48,W48,Z48)</f>
        <v/>
      </c>
      <c r="AC48" s="23">
        <f>IF(AA48=0,"",AB48/AA48)</f>
        <v/>
      </c>
      <c r="AD48" s="22">
        <f>CRITERIOS!Q36</f>
        <v/>
      </c>
      <c r="AE48" s="22">
        <f>IF(AND(E48=1,H48&lt;&gt;"X",((I48="N/A")+(L48="N/A")+(O48="N/A")+(R48="N/A")+(U48="N/A")+(X48="N/A"))&gt;0),"REVISAR","")</f>
        <v/>
      </c>
    </row>
    <row r="49">
      <c r="A49" s="24">
        <f>CRITERIOS!B37</f>
        <v/>
      </c>
      <c r="B49" s="24">
        <f>CRITERIOS!C37</f>
        <v/>
      </c>
      <c r="C49" s="25">
        <f>CRITERIOS!D37</f>
        <v/>
      </c>
      <c r="D49" s="24">
        <f>CRITERIOS!E37</f>
        <v/>
      </c>
      <c r="E49" s="24">
        <f>IFERROR(IF(AND(OR(CRITERIOS!F37="Todos",CRITERIOS!F37=$B$4),INDEX(CRITERIOS!H37:J37,MATCH($B$5,VARIABLES!$E$2:$E$4,0))=1),1,0),0)</f>
        <v/>
      </c>
      <c r="F49" s="24">
        <f>IFERROR(IF(E49=1,INDEX(CRITERIOS!K37:M37,MATCH($B$5,VARIABLES!$E$2:$E$4,0)),0),0)</f>
        <v/>
      </c>
      <c r="G49" s="24">
        <f>IF(CRITERIOS!N37="","",CRITERIOS!N37)</f>
        <v/>
      </c>
      <c r="H49" s="24">
        <f>IF(CRITERIOS!O37="","",CRITERIOS!O37)</f>
        <v/>
      </c>
      <c r="I49" s="21" t="n"/>
      <c r="J49" s="22">
        <f>IF(OR($E49=0,I$78=0),0,IF(AND(I49="N/A",$G49&lt;&gt;""),0,$F49+SUMPRODUCT(($G$14:$G$71=$A49)*($E$14:$E$71=1)*(I$14:I$71="N/A")*$F$14:$F$71)))</f>
        <v/>
      </c>
      <c r="K49" s="22">
        <f>IF(I49="SI",J49,0)</f>
        <v/>
      </c>
      <c r="L49" s="21" t="n"/>
      <c r="M49" s="22">
        <f>IF(OR($E49=0,L$78=0),0,IF(AND(L49="N/A",$G49&lt;&gt;""),0,$F49+SUMPRODUCT(($G$14:$G$71=$A49)*($E$14:$E$71=1)*(L$14:L$71="N/A")*$F$14:$F$71)))</f>
        <v/>
      </c>
      <c r="N49" s="22">
        <f>IF(L49="SI",M49,0)</f>
        <v/>
      </c>
      <c r="O49" s="21" t="n"/>
      <c r="P49" s="22">
        <f>IF(OR($E49=0,O$78=0),0,IF(AND(O49="N/A",$G49&lt;&gt;""),0,$F49+SUMPRODUCT(($G$14:$G$71=$A49)*($E$14:$E$71=1)*(O$14:O$71="N/A")*$F$14:$F$71)))</f>
        <v/>
      </c>
      <c r="Q49" s="22">
        <f>IF(O49="SI",P49,0)</f>
        <v/>
      </c>
      <c r="R49" s="21" t="n"/>
      <c r="S49" s="22">
        <f>IF(OR($E49=0,R$78=0),0,IF(AND(R49="N/A",$G49&lt;&gt;""),0,$F49+SUMPRODUCT(($G$14:$G$71=$A49)*($E$14:$E$71=1)*(R$14:R$71="N/A")*$F$14:$F$71)))</f>
        <v/>
      </c>
      <c r="T49" s="22">
        <f>IF(R49="SI",S49,0)</f>
        <v/>
      </c>
      <c r="U49" s="21" t="n"/>
      <c r="V49" s="22">
        <f>IF(OR($E49=0,U$78=0),0,IF(AND(U49="N/A",$G49&lt;&gt;""),0,$F49+SUMPRODUCT(($G$14:$G$71=$A49)*($E$14:$E$71=1)*(U$14:U$71="N/A")*$F$14:$F$71)))</f>
        <v/>
      </c>
      <c r="W49" s="22">
        <f>IF(U49="SI",V49,0)</f>
        <v/>
      </c>
      <c r="X49" s="21" t="n"/>
      <c r="Y49" s="22">
        <f>IF(OR($E49=0,X$78=0),0,IF(AND(X49="N/A",$G49&lt;&gt;""),0,$F49+SUMPRODUCT(($G$14:$G$71=$A49)*($E$14:$E$71=1)*(X$14:X$71="N/A")*$F$14:$F$71)))</f>
        <v/>
      </c>
      <c r="Z49" s="22">
        <f>IF(X49="SI",Y49,0)</f>
        <v/>
      </c>
      <c r="AA49" s="22">
        <f>SUM(J49,M49,P49,S49,V49,Y49)</f>
        <v/>
      </c>
      <c r="AB49" s="22">
        <f>SUM(K49,N49,Q49,T49,W49,Z49)</f>
        <v/>
      </c>
      <c r="AC49" s="23">
        <f>IF(AA49=0,"",AB49/AA49)</f>
        <v/>
      </c>
      <c r="AD49" s="22">
        <f>CRITERIOS!Q37</f>
        <v/>
      </c>
      <c r="AE49" s="22">
        <f>IF(AND(E49=1,H49&lt;&gt;"X",((I49="N/A")+(L49="N/A")+(O49="N/A")+(R49="N/A")+(U49="N/A")+(X49="N/A"))&gt;0),"REVISAR","")</f>
        <v/>
      </c>
    </row>
    <row r="50">
      <c r="A50" s="24">
        <f>CRITERIOS!B38</f>
        <v/>
      </c>
      <c r="B50" s="24">
        <f>CRITERIOS!C38</f>
        <v/>
      </c>
      <c r="C50" s="25">
        <f>CRITERIOS!D38</f>
        <v/>
      </c>
      <c r="D50" s="24">
        <f>CRITERIOS!E38</f>
        <v/>
      </c>
      <c r="E50" s="24">
        <f>IFERROR(IF(AND(OR(CRITERIOS!F38="Todos",CRITERIOS!F38=$B$4),INDEX(CRITERIOS!H38:J38,MATCH($B$5,VARIABLES!$E$2:$E$4,0))=1),1,0),0)</f>
        <v/>
      </c>
      <c r="F50" s="24">
        <f>IFERROR(IF(E50=1,INDEX(CRITERIOS!K38:M38,MATCH($B$5,VARIABLES!$E$2:$E$4,0)),0),0)</f>
        <v/>
      </c>
      <c r="G50" s="24">
        <f>IF(CRITERIOS!N38="","",CRITERIOS!N38)</f>
        <v/>
      </c>
      <c r="H50" s="24">
        <f>IF(CRITERIOS!O38="","",CRITERIOS!O38)</f>
        <v/>
      </c>
      <c r="I50" s="21" t="n"/>
      <c r="J50" s="22">
        <f>IF(OR($E50=0,I$78=0),0,IF(AND(I50="N/A",$G50&lt;&gt;""),0,$F50+SUMPRODUCT(($G$14:$G$71=$A50)*($E$14:$E$71=1)*(I$14:I$71="N/A")*$F$14:$F$71)))</f>
        <v/>
      </c>
      <c r="K50" s="22">
        <f>IF(I50="SI",J50,0)</f>
        <v/>
      </c>
      <c r="L50" s="21" t="n"/>
      <c r="M50" s="22">
        <f>IF(OR($E50=0,L$78=0),0,IF(AND(L50="N/A",$G50&lt;&gt;""),0,$F50+SUMPRODUCT(($G$14:$G$71=$A50)*($E$14:$E$71=1)*(L$14:L$71="N/A")*$F$14:$F$71)))</f>
        <v/>
      </c>
      <c r="N50" s="22">
        <f>IF(L50="SI",M50,0)</f>
        <v/>
      </c>
      <c r="O50" s="21" t="n"/>
      <c r="P50" s="22">
        <f>IF(OR($E50=0,O$78=0),0,IF(AND(O50="N/A",$G50&lt;&gt;""),0,$F50+SUMPRODUCT(($G$14:$G$71=$A50)*($E$14:$E$71=1)*(O$14:O$71="N/A")*$F$14:$F$71)))</f>
        <v/>
      </c>
      <c r="Q50" s="22">
        <f>IF(O50="SI",P50,0)</f>
        <v/>
      </c>
      <c r="R50" s="21" t="n"/>
      <c r="S50" s="22">
        <f>IF(OR($E50=0,R$78=0),0,IF(AND(R50="N/A",$G50&lt;&gt;""),0,$F50+SUMPRODUCT(($G$14:$G$71=$A50)*($E$14:$E$71=1)*(R$14:R$71="N/A")*$F$14:$F$71)))</f>
        <v/>
      </c>
      <c r="T50" s="22">
        <f>IF(R50="SI",S50,0)</f>
        <v/>
      </c>
      <c r="U50" s="21" t="n"/>
      <c r="V50" s="22">
        <f>IF(OR($E50=0,U$78=0),0,IF(AND(U50="N/A",$G50&lt;&gt;""),0,$F50+SUMPRODUCT(($G$14:$G$71=$A50)*($E$14:$E$71=1)*(U$14:U$71="N/A")*$F$14:$F$71)))</f>
        <v/>
      </c>
      <c r="W50" s="22">
        <f>IF(U50="SI",V50,0)</f>
        <v/>
      </c>
      <c r="X50" s="21" t="n"/>
      <c r="Y50" s="22">
        <f>IF(OR($E50=0,X$78=0),0,IF(AND(X50="N/A",$G50&lt;&gt;""),0,$F50+SUMPRODUCT(($G$14:$G$71=$A50)*($E$14:$E$71=1)*(X$14:X$71="N/A")*$F$14:$F$71)))</f>
        <v/>
      </c>
      <c r="Z50" s="22">
        <f>IF(X50="SI",Y50,0)</f>
        <v/>
      </c>
      <c r="AA50" s="22">
        <f>SUM(J50,M50,P50,S50,V50,Y50)</f>
        <v/>
      </c>
      <c r="AB50" s="22">
        <f>SUM(K50,N50,Q50,T50,W50,Z50)</f>
        <v/>
      </c>
      <c r="AC50" s="23">
        <f>IF(AA50=0,"",AB50/AA50)</f>
        <v/>
      </c>
      <c r="AD50" s="22">
        <f>CRITERIOS!Q38</f>
        <v/>
      </c>
      <c r="AE50" s="22">
        <f>IF(AND(E50=1,H50&lt;&gt;"X",((I50="N/A")+(L50="N/A")+(O50="N/A")+(R50="N/A")+(U50="N/A")+(X50="N/A"))&gt;0),"REVISAR","")</f>
        <v/>
      </c>
    </row>
    <row r="51">
      <c r="A51" s="24">
        <f>CRITERIOS!B39</f>
        <v/>
      </c>
      <c r="B51" s="24">
        <f>CRITERIOS!C39</f>
        <v/>
      </c>
      <c r="C51" s="25">
        <f>CRITERIOS!D39</f>
        <v/>
      </c>
      <c r="D51" s="24">
        <f>CRITERIOS!E39</f>
        <v/>
      </c>
      <c r="E51" s="24">
        <f>IFERROR(IF(AND(OR(CRITERIOS!F39="Todos",CRITERIOS!F39=$B$4),INDEX(CRITERIOS!H39:J39,MATCH($B$5,VARIABLES!$E$2:$E$4,0))=1),1,0),0)</f>
        <v/>
      </c>
      <c r="F51" s="24">
        <f>IFERROR(IF(E51=1,INDEX(CRITERIOS!K39:M39,MATCH($B$5,VARIABLES!$E$2:$E$4,0)),0),0)</f>
        <v/>
      </c>
      <c r="G51" s="24">
        <f>IF(CRITERIOS!N39="","",CRITERIOS!N39)</f>
        <v/>
      </c>
      <c r="H51" s="24">
        <f>IF(CRITERIOS!O39="","",CRITERIOS!O39)</f>
        <v/>
      </c>
      <c r="I51" s="21" t="n"/>
      <c r="J51" s="22">
        <f>IF(OR($E51=0,I$78=0),0,IF(AND(I51="N/A",$G51&lt;&gt;""),0,$F51+SUMPRODUCT(($G$14:$G$71=$A51)*($E$14:$E$71=1)*(I$14:I$71="N/A")*$F$14:$F$71)))</f>
        <v/>
      </c>
      <c r="K51" s="22">
        <f>IF(I51="SI",J51,0)</f>
        <v/>
      </c>
      <c r="L51" s="21" t="n"/>
      <c r="M51" s="22">
        <f>IF(OR($E51=0,L$78=0),0,IF(AND(L51="N/A",$G51&lt;&gt;""),0,$F51+SUMPRODUCT(($G$14:$G$71=$A51)*($E$14:$E$71=1)*(L$14:L$71="N/A")*$F$14:$F$71)))</f>
        <v/>
      </c>
      <c r="N51" s="22">
        <f>IF(L51="SI",M51,0)</f>
        <v/>
      </c>
      <c r="O51" s="21" t="n"/>
      <c r="P51" s="22">
        <f>IF(OR($E51=0,O$78=0),0,IF(AND(O51="N/A",$G51&lt;&gt;""),0,$F51+SUMPRODUCT(($G$14:$G$71=$A51)*($E$14:$E$71=1)*(O$14:O$71="N/A")*$F$14:$F$71)))</f>
        <v/>
      </c>
      <c r="Q51" s="22">
        <f>IF(O51="SI",P51,0)</f>
        <v/>
      </c>
      <c r="R51" s="21" t="n"/>
      <c r="S51" s="22">
        <f>IF(OR($E51=0,R$78=0),0,IF(AND(R51="N/A",$G51&lt;&gt;""),0,$F51+SUMPRODUCT(($G$14:$G$71=$A51)*($E$14:$E$71=1)*(R$14:R$71="N/A")*$F$14:$F$71)))</f>
        <v/>
      </c>
      <c r="T51" s="22">
        <f>IF(R51="SI",S51,0)</f>
        <v/>
      </c>
      <c r="U51" s="21" t="n"/>
      <c r="V51" s="22">
        <f>IF(OR($E51=0,U$78=0),0,IF(AND(U51="N/A",$G51&lt;&gt;""),0,$F51+SUMPRODUCT(($G$14:$G$71=$A51)*($E$14:$E$71=1)*(U$14:U$71="N/A")*$F$14:$F$71)))</f>
        <v/>
      </c>
      <c r="W51" s="22">
        <f>IF(U51="SI",V51,0)</f>
        <v/>
      </c>
      <c r="X51" s="21" t="n"/>
      <c r="Y51" s="22">
        <f>IF(OR($E51=0,X$78=0),0,IF(AND(X51="N/A",$G51&lt;&gt;""),0,$F51+SUMPRODUCT(($G$14:$G$71=$A51)*($E$14:$E$71=1)*(X$14:X$71="N/A")*$F$14:$F$71)))</f>
        <v/>
      </c>
      <c r="Z51" s="22">
        <f>IF(X51="SI",Y51,0)</f>
        <v/>
      </c>
      <c r="AA51" s="22">
        <f>SUM(J51,M51,P51,S51,V51,Y51)</f>
        <v/>
      </c>
      <c r="AB51" s="22">
        <f>SUM(K51,N51,Q51,T51,W51,Z51)</f>
        <v/>
      </c>
      <c r="AC51" s="23">
        <f>IF(AA51=0,"",AB51/AA51)</f>
        <v/>
      </c>
      <c r="AD51" s="22">
        <f>CRITERIOS!Q39</f>
        <v/>
      </c>
      <c r="AE51" s="22">
        <f>IF(AND(E51=1,H51&lt;&gt;"X",((I51="N/A")+(L51="N/A")+(O51="N/A")+(R51="N/A")+(U51="N/A")+(X51="N/A"))&gt;0),"REVISAR","")</f>
        <v/>
      </c>
    </row>
    <row r="52">
      <c r="A52" s="24">
        <f>CRITERIOS!B40</f>
        <v/>
      </c>
      <c r="B52" s="24">
        <f>CRITERIOS!C40</f>
        <v/>
      </c>
      <c r="C52" s="25">
        <f>CRITERIOS!D40</f>
        <v/>
      </c>
      <c r="D52" s="24">
        <f>CRITERIOS!E40</f>
        <v/>
      </c>
      <c r="E52" s="24">
        <f>IFERROR(IF(AND(OR(CRITERIOS!F40="Todos",CRITERIOS!F40=$B$4),INDEX(CRITERIOS!H40:J40,MATCH($B$5,VARIABLES!$E$2:$E$4,0))=1),1,0),0)</f>
        <v/>
      </c>
      <c r="F52" s="24">
        <f>IFERROR(IF(E52=1,INDEX(CRITERIOS!K40:M40,MATCH($B$5,VARIABLES!$E$2:$E$4,0)),0),0)</f>
        <v/>
      </c>
      <c r="G52" s="24">
        <f>IF(CRITERIOS!N40="","",CRITERIOS!N40)</f>
        <v/>
      </c>
      <c r="H52" s="24">
        <f>IF(CRITERIOS!O40="","",CRITERIOS!O40)</f>
        <v/>
      </c>
      <c r="I52" s="21" t="n"/>
      <c r="J52" s="22">
        <f>IF(OR($E52=0,I$78=0),0,IF(AND(I52="N/A",$G52&lt;&gt;""),0,$F52+SUMPRODUCT(($G$14:$G$71=$A52)*($E$14:$E$71=1)*(I$14:I$71="N/A")*$F$14:$F$71)))</f>
        <v/>
      </c>
      <c r="K52" s="22">
        <f>IF(I52="SI",J52,0)</f>
        <v/>
      </c>
      <c r="L52" s="21" t="n"/>
      <c r="M52" s="22">
        <f>IF(OR($E52=0,L$78=0),0,IF(AND(L52="N/A",$G52&lt;&gt;""),0,$F52+SUMPRODUCT(($G$14:$G$71=$A52)*($E$14:$E$71=1)*(L$14:L$71="N/A")*$F$14:$F$71)))</f>
        <v/>
      </c>
      <c r="N52" s="22">
        <f>IF(L52="SI",M52,0)</f>
        <v/>
      </c>
      <c r="O52" s="21" t="n"/>
      <c r="P52" s="22">
        <f>IF(OR($E52=0,O$78=0),0,IF(AND(O52="N/A",$G52&lt;&gt;""),0,$F52+SUMPRODUCT(($G$14:$G$71=$A52)*($E$14:$E$71=1)*(O$14:O$71="N/A")*$F$14:$F$71)))</f>
        <v/>
      </c>
      <c r="Q52" s="22">
        <f>IF(O52="SI",P52,0)</f>
        <v/>
      </c>
      <c r="R52" s="21" t="n"/>
      <c r="S52" s="22">
        <f>IF(OR($E52=0,R$78=0),0,IF(AND(R52="N/A",$G52&lt;&gt;""),0,$F52+SUMPRODUCT(($G$14:$G$71=$A52)*($E$14:$E$71=1)*(R$14:R$71="N/A")*$F$14:$F$71)))</f>
        <v/>
      </c>
      <c r="T52" s="22">
        <f>IF(R52="SI",S52,0)</f>
        <v/>
      </c>
      <c r="U52" s="21" t="n"/>
      <c r="V52" s="22">
        <f>IF(OR($E52=0,U$78=0),0,IF(AND(U52="N/A",$G52&lt;&gt;""),0,$F52+SUMPRODUCT(($G$14:$G$71=$A52)*($E$14:$E$71=1)*(U$14:U$71="N/A")*$F$14:$F$71)))</f>
        <v/>
      </c>
      <c r="W52" s="22">
        <f>IF(U52="SI",V52,0)</f>
        <v/>
      </c>
      <c r="X52" s="21" t="n"/>
      <c r="Y52" s="22">
        <f>IF(OR($E52=0,X$78=0),0,IF(AND(X52="N/A",$G52&lt;&gt;""),0,$F52+SUMPRODUCT(($G$14:$G$71=$A52)*($E$14:$E$71=1)*(X$14:X$71="N/A")*$F$14:$F$71)))</f>
        <v/>
      </c>
      <c r="Z52" s="22">
        <f>IF(X52="SI",Y52,0)</f>
        <v/>
      </c>
      <c r="AA52" s="22">
        <f>SUM(J52,M52,P52,S52,V52,Y52)</f>
        <v/>
      </c>
      <c r="AB52" s="22">
        <f>SUM(K52,N52,Q52,T52,W52,Z52)</f>
        <v/>
      </c>
      <c r="AC52" s="23">
        <f>IF(AA52=0,"",AB52/AA52)</f>
        <v/>
      </c>
      <c r="AD52" s="22">
        <f>CRITERIOS!Q40</f>
        <v/>
      </c>
      <c r="AE52" s="22">
        <f>IF(AND(E52=1,H52&lt;&gt;"X",((I52="N/A")+(L52="N/A")+(O52="N/A")+(R52="N/A")+(U52="N/A")+(X52="N/A"))&gt;0),"REVISAR","")</f>
        <v/>
      </c>
    </row>
    <row r="53">
      <c r="A53" s="22">
        <f>CRITERIOS!B41</f>
        <v/>
      </c>
      <c r="B53" s="22">
        <f>CRITERIOS!C41</f>
        <v/>
      </c>
      <c r="C53" s="8">
        <f>CRITERIOS!D41</f>
        <v/>
      </c>
      <c r="D53" s="22">
        <f>CRITERIOS!E41</f>
        <v/>
      </c>
      <c r="E53" s="22">
        <f>IFERROR(IF(AND(OR(CRITERIOS!F41="Todos",CRITERIOS!F41=$B$4),INDEX(CRITERIOS!H41:J41,MATCH($B$5,VARIABLES!$E$2:$E$4,0))=1),1,0),0)</f>
        <v/>
      </c>
      <c r="F53" s="22">
        <f>IFERROR(IF(E53=1,INDEX(CRITERIOS!K41:M41,MATCH($B$5,VARIABLES!$E$2:$E$4,0)),0),0)</f>
        <v/>
      </c>
      <c r="G53" s="22">
        <f>IF(CRITERIOS!N41="","",CRITERIOS!N41)</f>
        <v/>
      </c>
      <c r="H53" s="22">
        <f>IF(CRITERIOS!O41="","",CRITERIOS!O41)</f>
        <v/>
      </c>
      <c r="I53" s="21" t="n"/>
      <c r="J53" s="22">
        <f>IF(OR($E53=0,I$78=0),0,IF(AND(I53="N/A",$G53&lt;&gt;""),0,$F53+SUMPRODUCT(($G$14:$G$71=$A53)*($E$14:$E$71=1)*(I$14:I$71="N/A")*$F$14:$F$71)))</f>
        <v/>
      </c>
      <c r="K53" s="22">
        <f>IF(I53="SI",J53,0)</f>
        <v/>
      </c>
      <c r="L53" s="21" t="n"/>
      <c r="M53" s="22">
        <f>IF(OR($E53=0,L$78=0),0,IF(AND(L53="N/A",$G53&lt;&gt;""),0,$F53+SUMPRODUCT(($G$14:$G$71=$A53)*($E$14:$E$71=1)*(L$14:L$71="N/A")*$F$14:$F$71)))</f>
        <v/>
      </c>
      <c r="N53" s="22">
        <f>IF(L53="SI",M53,0)</f>
        <v/>
      </c>
      <c r="O53" s="21" t="n"/>
      <c r="P53" s="22">
        <f>IF(OR($E53=0,O$78=0),0,IF(AND(O53="N/A",$G53&lt;&gt;""),0,$F53+SUMPRODUCT(($G$14:$G$71=$A53)*($E$14:$E$71=1)*(O$14:O$71="N/A")*$F$14:$F$71)))</f>
        <v/>
      </c>
      <c r="Q53" s="22">
        <f>IF(O53="SI",P53,0)</f>
        <v/>
      </c>
      <c r="R53" s="21" t="n"/>
      <c r="S53" s="22">
        <f>IF(OR($E53=0,R$78=0),0,IF(AND(R53="N/A",$G53&lt;&gt;""),0,$F53+SUMPRODUCT(($G$14:$G$71=$A53)*($E$14:$E$71=1)*(R$14:R$71="N/A")*$F$14:$F$71)))</f>
        <v/>
      </c>
      <c r="T53" s="22">
        <f>IF(R53="SI",S53,0)</f>
        <v/>
      </c>
      <c r="U53" s="21" t="n"/>
      <c r="V53" s="22">
        <f>IF(OR($E53=0,U$78=0),0,IF(AND(U53="N/A",$G53&lt;&gt;""),0,$F53+SUMPRODUCT(($G$14:$G$71=$A53)*($E$14:$E$71=1)*(U$14:U$71="N/A")*$F$14:$F$71)))</f>
        <v/>
      </c>
      <c r="W53" s="22">
        <f>IF(U53="SI",V53,0)</f>
        <v/>
      </c>
      <c r="X53" s="21" t="n"/>
      <c r="Y53" s="22">
        <f>IF(OR($E53=0,X$78=0),0,IF(AND(X53="N/A",$G53&lt;&gt;""),0,$F53+SUMPRODUCT(($G$14:$G$71=$A53)*($E$14:$E$71=1)*(X$14:X$71="N/A")*$F$14:$F$71)))</f>
        <v/>
      </c>
      <c r="Z53" s="22">
        <f>IF(X53="SI",Y53,0)</f>
        <v/>
      </c>
      <c r="AA53" s="22">
        <f>SUM(J53,M53,P53,S53,V53,Y53)</f>
        <v/>
      </c>
      <c r="AB53" s="22">
        <f>SUM(K53,N53,Q53,T53,W53,Z53)</f>
        <v/>
      </c>
      <c r="AC53" s="23">
        <f>IF(AA53=0,"",AB53/AA53)</f>
        <v/>
      </c>
      <c r="AD53" s="22">
        <f>CRITERIOS!Q41</f>
        <v/>
      </c>
      <c r="AE53" s="22">
        <f>IF(AND(E53=1,H53&lt;&gt;"X",((I53="N/A")+(L53="N/A")+(O53="N/A")+(R53="N/A")+(U53="N/A")+(X53="N/A"))&gt;0),"REVISAR","")</f>
        <v/>
      </c>
    </row>
    <row r="54">
      <c r="A54" s="22">
        <f>CRITERIOS!B42</f>
        <v/>
      </c>
      <c r="B54" s="22">
        <f>CRITERIOS!C42</f>
        <v/>
      </c>
      <c r="C54" s="8">
        <f>CRITERIOS!D42</f>
        <v/>
      </c>
      <c r="D54" s="22">
        <f>CRITERIOS!E42</f>
        <v/>
      </c>
      <c r="E54" s="22">
        <f>IFERROR(IF(AND(OR(CRITERIOS!F42="Todos",CRITERIOS!F42=$B$4),INDEX(CRITERIOS!H42:J42,MATCH($B$5,VARIABLES!$E$2:$E$4,0))=1),1,0),0)</f>
        <v/>
      </c>
      <c r="F54" s="22">
        <f>IFERROR(IF(E54=1,INDEX(CRITERIOS!K42:M42,MATCH($B$5,VARIABLES!$E$2:$E$4,0)),0),0)</f>
        <v/>
      </c>
      <c r="G54" s="22">
        <f>IF(CRITERIOS!N42="","",CRITERIOS!N42)</f>
        <v/>
      </c>
      <c r="H54" s="22">
        <f>IF(CRITERIOS!O42="","",CRITERIOS!O42)</f>
        <v/>
      </c>
      <c r="I54" s="21" t="n"/>
      <c r="J54" s="22">
        <f>IF(OR($E54=0,I$78=0),0,IF(AND(I54="N/A",$G54&lt;&gt;""),0,$F54+SUMPRODUCT(($G$14:$G$71=$A54)*($E$14:$E$71=1)*(I$14:I$71="N/A")*$F$14:$F$71)))</f>
        <v/>
      </c>
      <c r="K54" s="22">
        <f>IF(I54="SI",J54,0)</f>
        <v/>
      </c>
      <c r="L54" s="21" t="n"/>
      <c r="M54" s="22">
        <f>IF(OR($E54=0,L$78=0),0,IF(AND(L54="N/A",$G54&lt;&gt;""),0,$F54+SUMPRODUCT(($G$14:$G$71=$A54)*($E$14:$E$71=1)*(L$14:L$71="N/A")*$F$14:$F$71)))</f>
        <v/>
      </c>
      <c r="N54" s="22">
        <f>IF(L54="SI",M54,0)</f>
        <v/>
      </c>
      <c r="O54" s="21" t="n"/>
      <c r="P54" s="22">
        <f>IF(OR($E54=0,O$78=0),0,IF(AND(O54="N/A",$G54&lt;&gt;""),0,$F54+SUMPRODUCT(($G$14:$G$71=$A54)*($E$14:$E$71=1)*(O$14:O$71="N/A")*$F$14:$F$71)))</f>
        <v/>
      </c>
      <c r="Q54" s="22">
        <f>IF(O54="SI",P54,0)</f>
        <v/>
      </c>
      <c r="R54" s="21" t="n"/>
      <c r="S54" s="22">
        <f>IF(OR($E54=0,R$78=0),0,IF(AND(R54="N/A",$G54&lt;&gt;""),0,$F54+SUMPRODUCT(($G$14:$G$71=$A54)*($E$14:$E$71=1)*(R$14:R$71="N/A")*$F$14:$F$71)))</f>
        <v/>
      </c>
      <c r="T54" s="22">
        <f>IF(R54="SI",S54,0)</f>
        <v/>
      </c>
      <c r="U54" s="21" t="n"/>
      <c r="V54" s="22">
        <f>IF(OR($E54=0,U$78=0),0,IF(AND(U54="N/A",$G54&lt;&gt;""),0,$F54+SUMPRODUCT(($G$14:$G$71=$A54)*($E$14:$E$71=1)*(U$14:U$71="N/A")*$F$14:$F$71)))</f>
        <v/>
      </c>
      <c r="W54" s="22">
        <f>IF(U54="SI",V54,0)</f>
        <v/>
      </c>
      <c r="X54" s="21" t="n"/>
      <c r="Y54" s="22">
        <f>IF(OR($E54=0,X$78=0),0,IF(AND(X54="N/A",$G54&lt;&gt;""),0,$F54+SUMPRODUCT(($G$14:$G$71=$A54)*($E$14:$E$71=1)*(X$14:X$71="N/A")*$F$14:$F$71)))</f>
        <v/>
      </c>
      <c r="Z54" s="22">
        <f>IF(X54="SI",Y54,0)</f>
        <v/>
      </c>
      <c r="AA54" s="22">
        <f>SUM(J54,M54,P54,S54,V54,Y54)</f>
        <v/>
      </c>
      <c r="AB54" s="22">
        <f>SUM(K54,N54,Q54,T54,W54,Z54)</f>
        <v/>
      </c>
      <c r="AC54" s="23">
        <f>IF(AA54=0,"",AB54/AA54)</f>
        <v/>
      </c>
      <c r="AD54" s="22">
        <f>CRITERIOS!Q42</f>
        <v/>
      </c>
      <c r="AE54" s="22">
        <f>IF(AND(E54=1,H54&lt;&gt;"X",((I54="N/A")+(L54="N/A")+(O54="N/A")+(R54="N/A")+(U54="N/A")+(X54="N/A"))&gt;0),"REVISAR","")</f>
        <v/>
      </c>
    </row>
    <row r="55">
      <c r="A55" s="24">
        <f>CRITERIOS!B43</f>
        <v/>
      </c>
      <c r="B55" s="24">
        <f>CRITERIOS!C43</f>
        <v/>
      </c>
      <c r="C55" s="25">
        <f>CRITERIOS!D43</f>
        <v/>
      </c>
      <c r="D55" s="24">
        <f>CRITERIOS!E43</f>
        <v/>
      </c>
      <c r="E55" s="24">
        <f>IFERROR(IF(AND(OR(CRITERIOS!F43="Todos",CRITERIOS!F43=$B$4),INDEX(CRITERIOS!H43:J43,MATCH($B$5,VARIABLES!$E$2:$E$4,0))=1),1,0),0)</f>
        <v/>
      </c>
      <c r="F55" s="24">
        <f>IFERROR(IF(E55=1,INDEX(CRITERIOS!K43:M43,MATCH($B$5,VARIABLES!$E$2:$E$4,0)),0),0)</f>
        <v/>
      </c>
      <c r="G55" s="24">
        <f>IF(CRITERIOS!N43="","",CRITERIOS!N43)</f>
        <v/>
      </c>
      <c r="H55" s="24">
        <f>IF(CRITERIOS!O43="","",CRITERIOS!O43)</f>
        <v/>
      </c>
      <c r="I55" s="21" t="n"/>
      <c r="J55" s="22">
        <f>IF(OR($E55=0,I$78=0),0,IF(AND(I55="N/A",$G55&lt;&gt;""),0,$F55+SUMPRODUCT(($G$14:$G$71=$A55)*($E$14:$E$71=1)*(I$14:I$71="N/A")*$F$14:$F$71)))</f>
        <v/>
      </c>
      <c r="K55" s="22">
        <f>IF(I55="SI",J55,0)</f>
        <v/>
      </c>
      <c r="L55" s="21" t="n"/>
      <c r="M55" s="22">
        <f>IF(OR($E55=0,L$78=0),0,IF(AND(L55="N/A",$G55&lt;&gt;""),0,$F55+SUMPRODUCT(($G$14:$G$71=$A55)*($E$14:$E$71=1)*(L$14:L$71="N/A")*$F$14:$F$71)))</f>
        <v/>
      </c>
      <c r="N55" s="22">
        <f>IF(L55="SI",M55,0)</f>
        <v/>
      </c>
      <c r="O55" s="21" t="n"/>
      <c r="P55" s="22">
        <f>IF(OR($E55=0,O$78=0),0,IF(AND(O55="N/A",$G55&lt;&gt;""),0,$F55+SUMPRODUCT(($G$14:$G$71=$A55)*($E$14:$E$71=1)*(O$14:O$71="N/A")*$F$14:$F$71)))</f>
        <v/>
      </c>
      <c r="Q55" s="22">
        <f>IF(O55="SI",P55,0)</f>
        <v/>
      </c>
      <c r="R55" s="21" t="n"/>
      <c r="S55" s="22">
        <f>IF(OR($E55=0,R$78=0),0,IF(AND(R55="N/A",$G55&lt;&gt;""),0,$F55+SUMPRODUCT(($G$14:$G$71=$A55)*($E$14:$E$71=1)*(R$14:R$71="N/A")*$F$14:$F$71)))</f>
        <v/>
      </c>
      <c r="T55" s="22">
        <f>IF(R55="SI",S55,0)</f>
        <v/>
      </c>
      <c r="U55" s="21" t="n"/>
      <c r="V55" s="22">
        <f>IF(OR($E55=0,U$78=0),0,IF(AND(U55="N/A",$G55&lt;&gt;""),0,$F55+SUMPRODUCT(($G$14:$G$71=$A55)*($E$14:$E$71=1)*(U$14:U$71="N/A")*$F$14:$F$71)))</f>
        <v/>
      </c>
      <c r="W55" s="22">
        <f>IF(U55="SI",V55,0)</f>
        <v/>
      </c>
      <c r="X55" s="21" t="n"/>
      <c r="Y55" s="22">
        <f>IF(OR($E55=0,X$78=0),0,IF(AND(X55="N/A",$G55&lt;&gt;""),0,$F55+SUMPRODUCT(($G$14:$G$71=$A55)*($E$14:$E$71=1)*(X$14:X$71="N/A")*$F$14:$F$71)))</f>
        <v/>
      </c>
      <c r="Z55" s="22">
        <f>IF(X55="SI",Y55,0)</f>
        <v/>
      </c>
      <c r="AA55" s="22">
        <f>SUM(J55,M55,P55,S55,V55,Y55)</f>
        <v/>
      </c>
      <c r="AB55" s="22">
        <f>SUM(K55,N55,Q55,T55,W55,Z55)</f>
        <v/>
      </c>
      <c r="AC55" s="23">
        <f>IF(AA55=0,"",AB55/AA55)</f>
        <v/>
      </c>
      <c r="AD55" s="22">
        <f>CRITERIOS!Q43</f>
        <v/>
      </c>
      <c r="AE55" s="22">
        <f>IF(AND(E55=1,H55&lt;&gt;"X",((I55="N/A")+(L55="N/A")+(O55="N/A")+(R55="N/A")+(U55="N/A")+(X55="N/A"))&gt;0),"REVISAR","")</f>
        <v/>
      </c>
    </row>
    <row r="56">
      <c r="A56" s="24">
        <f>CRITERIOS!B44</f>
        <v/>
      </c>
      <c r="B56" s="24">
        <f>CRITERIOS!C44</f>
        <v/>
      </c>
      <c r="C56" s="25">
        <f>CRITERIOS!D44</f>
        <v/>
      </c>
      <c r="D56" s="24">
        <f>CRITERIOS!E44</f>
        <v/>
      </c>
      <c r="E56" s="24">
        <f>IFERROR(IF(AND(OR(CRITERIOS!F44="Todos",CRITERIOS!F44=$B$4),INDEX(CRITERIOS!H44:J44,MATCH($B$5,VARIABLES!$E$2:$E$4,0))=1),1,0),0)</f>
        <v/>
      </c>
      <c r="F56" s="24">
        <f>IFERROR(IF(E56=1,INDEX(CRITERIOS!K44:M44,MATCH($B$5,VARIABLES!$E$2:$E$4,0)),0),0)</f>
        <v/>
      </c>
      <c r="G56" s="24">
        <f>IF(CRITERIOS!N44="","",CRITERIOS!N44)</f>
        <v/>
      </c>
      <c r="H56" s="24">
        <f>IF(CRITERIOS!O44="","",CRITERIOS!O44)</f>
        <v/>
      </c>
      <c r="I56" s="21" t="n"/>
      <c r="J56" s="22">
        <f>IF(OR($E56=0,I$78=0),0,IF(AND(I56="N/A",$G56&lt;&gt;""),0,$F56+SUMPRODUCT(($G$14:$G$71=$A56)*($E$14:$E$71=1)*(I$14:I$71="N/A")*$F$14:$F$71)))</f>
        <v/>
      </c>
      <c r="K56" s="22">
        <f>IF(I56="SI",J56,0)</f>
        <v/>
      </c>
      <c r="L56" s="21" t="n"/>
      <c r="M56" s="22">
        <f>IF(OR($E56=0,L$78=0),0,IF(AND(L56="N/A",$G56&lt;&gt;""),0,$F56+SUMPRODUCT(($G$14:$G$71=$A56)*($E$14:$E$71=1)*(L$14:L$71="N/A")*$F$14:$F$71)))</f>
        <v/>
      </c>
      <c r="N56" s="22">
        <f>IF(L56="SI",M56,0)</f>
        <v/>
      </c>
      <c r="O56" s="21" t="n"/>
      <c r="P56" s="22">
        <f>IF(OR($E56=0,O$78=0),0,IF(AND(O56="N/A",$G56&lt;&gt;""),0,$F56+SUMPRODUCT(($G$14:$G$71=$A56)*($E$14:$E$71=1)*(O$14:O$71="N/A")*$F$14:$F$71)))</f>
        <v/>
      </c>
      <c r="Q56" s="22">
        <f>IF(O56="SI",P56,0)</f>
        <v/>
      </c>
      <c r="R56" s="21" t="n"/>
      <c r="S56" s="22">
        <f>IF(OR($E56=0,R$78=0),0,IF(AND(R56="N/A",$G56&lt;&gt;""),0,$F56+SUMPRODUCT(($G$14:$G$71=$A56)*($E$14:$E$71=1)*(R$14:R$71="N/A")*$F$14:$F$71)))</f>
        <v/>
      </c>
      <c r="T56" s="22">
        <f>IF(R56="SI",S56,0)</f>
        <v/>
      </c>
      <c r="U56" s="21" t="n"/>
      <c r="V56" s="22">
        <f>IF(OR($E56=0,U$78=0),0,IF(AND(U56="N/A",$G56&lt;&gt;""),0,$F56+SUMPRODUCT(($G$14:$G$71=$A56)*($E$14:$E$71=1)*(U$14:U$71="N/A")*$F$14:$F$71)))</f>
        <v/>
      </c>
      <c r="W56" s="22">
        <f>IF(U56="SI",V56,0)</f>
        <v/>
      </c>
      <c r="X56" s="21" t="n"/>
      <c r="Y56" s="22">
        <f>IF(OR($E56=0,X$78=0),0,IF(AND(X56="N/A",$G56&lt;&gt;""),0,$F56+SUMPRODUCT(($G$14:$G$71=$A56)*($E$14:$E$71=1)*(X$14:X$71="N/A")*$F$14:$F$71)))</f>
        <v/>
      </c>
      <c r="Z56" s="22">
        <f>IF(X56="SI",Y56,0)</f>
        <v/>
      </c>
      <c r="AA56" s="22">
        <f>SUM(J56,M56,P56,S56,V56,Y56)</f>
        <v/>
      </c>
      <c r="AB56" s="22">
        <f>SUM(K56,N56,Q56,T56,W56,Z56)</f>
        <v/>
      </c>
      <c r="AC56" s="23">
        <f>IF(AA56=0,"",AB56/AA56)</f>
        <v/>
      </c>
      <c r="AD56" s="22">
        <f>CRITERIOS!Q44</f>
        <v/>
      </c>
      <c r="AE56" s="22">
        <f>IF(AND(E56=1,H56&lt;&gt;"X",((I56="N/A")+(L56="N/A")+(O56="N/A")+(R56="N/A")+(U56="N/A")+(X56="N/A"))&gt;0),"REVISAR","")</f>
        <v/>
      </c>
    </row>
    <row r="57">
      <c r="A57" s="24">
        <f>CRITERIOS!B45</f>
        <v/>
      </c>
      <c r="B57" s="24">
        <f>CRITERIOS!C45</f>
        <v/>
      </c>
      <c r="C57" s="25">
        <f>CRITERIOS!D45</f>
        <v/>
      </c>
      <c r="D57" s="24">
        <f>CRITERIOS!E45</f>
        <v/>
      </c>
      <c r="E57" s="24">
        <f>IFERROR(IF(AND(OR(CRITERIOS!F45="Todos",CRITERIOS!F45=$B$4),INDEX(CRITERIOS!H45:J45,MATCH($B$5,VARIABLES!$E$2:$E$4,0))=1),1,0),0)</f>
        <v/>
      </c>
      <c r="F57" s="24">
        <f>IFERROR(IF(E57=1,INDEX(CRITERIOS!K45:M45,MATCH($B$5,VARIABLES!$E$2:$E$4,0)),0),0)</f>
        <v/>
      </c>
      <c r="G57" s="24">
        <f>IF(CRITERIOS!N45="","",CRITERIOS!N45)</f>
        <v/>
      </c>
      <c r="H57" s="24">
        <f>IF(CRITERIOS!O45="","",CRITERIOS!O45)</f>
        <v/>
      </c>
      <c r="I57" s="21" t="n"/>
      <c r="J57" s="22">
        <f>IF(OR($E57=0,I$78=0),0,IF(AND(I57="N/A",$G57&lt;&gt;""),0,$F57+SUMPRODUCT(($G$14:$G$71=$A57)*($E$14:$E$71=1)*(I$14:I$71="N/A")*$F$14:$F$71)))</f>
        <v/>
      </c>
      <c r="K57" s="22">
        <f>IF(I57="SI",J57,0)</f>
        <v/>
      </c>
      <c r="L57" s="21" t="n"/>
      <c r="M57" s="22">
        <f>IF(OR($E57=0,L$78=0),0,IF(AND(L57="N/A",$G57&lt;&gt;""),0,$F57+SUMPRODUCT(($G$14:$G$71=$A57)*($E$14:$E$71=1)*(L$14:L$71="N/A")*$F$14:$F$71)))</f>
        <v/>
      </c>
      <c r="N57" s="22">
        <f>IF(L57="SI",M57,0)</f>
        <v/>
      </c>
      <c r="O57" s="21" t="n"/>
      <c r="P57" s="22">
        <f>IF(OR($E57=0,O$78=0),0,IF(AND(O57="N/A",$G57&lt;&gt;""),0,$F57+SUMPRODUCT(($G$14:$G$71=$A57)*($E$14:$E$71=1)*(O$14:O$71="N/A")*$F$14:$F$71)))</f>
        <v/>
      </c>
      <c r="Q57" s="22">
        <f>IF(O57="SI",P57,0)</f>
        <v/>
      </c>
      <c r="R57" s="21" t="n"/>
      <c r="S57" s="22">
        <f>IF(OR($E57=0,R$78=0),0,IF(AND(R57="N/A",$G57&lt;&gt;""),0,$F57+SUMPRODUCT(($G$14:$G$71=$A57)*($E$14:$E$71=1)*(R$14:R$71="N/A")*$F$14:$F$71)))</f>
        <v/>
      </c>
      <c r="T57" s="22">
        <f>IF(R57="SI",S57,0)</f>
        <v/>
      </c>
      <c r="U57" s="21" t="n"/>
      <c r="V57" s="22">
        <f>IF(OR($E57=0,U$78=0),0,IF(AND(U57="N/A",$G57&lt;&gt;""),0,$F57+SUMPRODUCT(($G$14:$G$71=$A57)*($E$14:$E$71=1)*(U$14:U$71="N/A")*$F$14:$F$71)))</f>
        <v/>
      </c>
      <c r="W57" s="22">
        <f>IF(U57="SI",V57,0)</f>
        <v/>
      </c>
      <c r="X57" s="21" t="n"/>
      <c r="Y57" s="22">
        <f>IF(OR($E57=0,X$78=0),0,IF(AND(X57="N/A",$G57&lt;&gt;""),0,$F57+SUMPRODUCT(($G$14:$G$71=$A57)*($E$14:$E$71=1)*(X$14:X$71="N/A")*$F$14:$F$71)))</f>
        <v/>
      </c>
      <c r="Z57" s="22">
        <f>IF(X57="SI",Y57,0)</f>
        <v/>
      </c>
      <c r="AA57" s="22">
        <f>SUM(J57,M57,P57,S57,V57,Y57)</f>
        <v/>
      </c>
      <c r="AB57" s="22">
        <f>SUM(K57,N57,Q57,T57,W57,Z57)</f>
        <v/>
      </c>
      <c r="AC57" s="23">
        <f>IF(AA57=0,"",AB57/AA57)</f>
        <v/>
      </c>
      <c r="AD57" s="22">
        <f>CRITERIOS!Q45</f>
        <v/>
      </c>
      <c r="AE57" s="22">
        <f>IF(AND(E57=1,H57&lt;&gt;"X",((I57="N/A")+(L57="N/A")+(O57="N/A")+(R57="N/A")+(U57="N/A")+(X57="N/A"))&gt;0),"REVISAR","")</f>
        <v/>
      </c>
    </row>
    <row r="58">
      <c r="A58" s="24">
        <f>CRITERIOS!B46</f>
        <v/>
      </c>
      <c r="B58" s="24">
        <f>CRITERIOS!C46</f>
        <v/>
      </c>
      <c r="C58" s="25">
        <f>CRITERIOS!D46</f>
        <v/>
      </c>
      <c r="D58" s="24">
        <f>CRITERIOS!E46</f>
        <v/>
      </c>
      <c r="E58" s="24">
        <f>IFERROR(IF(AND(OR(CRITERIOS!F46="Todos",CRITERIOS!F46=$B$4),INDEX(CRITERIOS!H46:J46,MATCH($B$5,VARIABLES!$E$2:$E$4,0))=1),1,0),0)</f>
        <v/>
      </c>
      <c r="F58" s="24">
        <f>IFERROR(IF(E58=1,INDEX(CRITERIOS!K46:M46,MATCH($B$5,VARIABLES!$E$2:$E$4,0)),0),0)</f>
        <v/>
      </c>
      <c r="G58" s="24">
        <f>IF(CRITERIOS!N46="","",CRITERIOS!N46)</f>
        <v/>
      </c>
      <c r="H58" s="24">
        <f>IF(CRITERIOS!O46="","",CRITERIOS!O46)</f>
        <v/>
      </c>
      <c r="I58" s="21" t="n"/>
      <c r="J58" s="22">
        <f>IF(OR($E58=0,I$78=0),0,IF(AND(I58="N/A",$G58&lt;&gt;""),0,$F58+SUMPRODUCT(($G$14:$G$71=$A58)*($E$14:$E$71=1)*(I$14:I$71="N/A")*$F$14:$F$71)))</f>
        <v/>
      </c>
      <c r="K58" s="22">
        <f>IF(I58="SI",J58,0)</f>
        <v/>
      </c>
      <c r="L58" s="21" t="n"/>
      <c r="M58" s="22">
        <f>IF(OR($E58=0,L$78=0),0,IF(AND(L58="N/A",$G58&lt;&gt;""),0,$F58+SUMPRODUCT(($G$14:$G$71=$A58)*($E$14:$E$71=1)*(L$14:L$71="N/A")*$F$14:$F$71)))</f>
        <v/>
      </c>
      <c r="N58" s="22">
        <f>IF(L58="SI",M58,0)</f>
        <v/>
      </c>
      <c r="O58" s="21" t="n"/>
      <c r="P58" s="22">
        <f>IF(OR($E58=0,O$78=0),0,IF(AND(O58="N/A",$G58&lt;&gt;""),0,$F58+SUMPRODUCT(($G$14:$G$71=$A58)*($E$14:$E$71=1)*(O$14:O$71="N/A")*$F$14:$F$71)))</f>
        <v/>
      </c>
      <c r="Q58" s="22">
        <f>IF(O58="SI",P58,0)</f>
        <v/>
      </c>
      <c r="R58" s="21" t="n"/>
      <c r="S58" s="22">
        <f>IF(OR($E58=0,R$78=0),0,IF(AND(R58="N/A",$G58&lt;&gt;""),0,$F58+SUMPRODUCT(($G$14:$G$71=$A58)*($E$14:$E$71=1)*(R$14:R$71="N/A")*$F$14:$F$71)))</f>
        <v/>
      </c>
      <c r="T58" s="22">
        <f>IF(R58="SI",S58,0)</f>
        <v/>
      </c>
      <c r="U58" s="21" t="n"/>
      <c r="V58" s="22">
        <f>IF(OR($E58=0,U$78=0),0,IF(AND(U58="N/A",$G58&lt;&gt;""),0,$F58+SUMPRODUCT(($G$14:$G$71=$A58)*($E$14:$E$71=1)*(U$14:U$71="N/A")*$F$14:$F$71)))</f>
        <v/>
      </c>
      <c r="W58" s="22">
        <f>IF(U58="SI",V58,0)</f>
        <v/>
      </c>
      <c r="X58" s="21" t="n"/>
      <c r="Y58" s="22">
        <f>IF(OR($E58=0,X$78=0),0,IF(AND(X58="N/A",$G58&lt;&gt;""),0,$F58+SUMPRODUCT(($G$14:$G$71=$A58)*($E$14:$E$71=1)*(X$14:X$71="N/A")*$F$14:$F$71)))</f>
        <v/>
      </c>
      <c r="Z58" s="22">
        <f>IF(X58="SI",Y58,0)</f>
        <v/>
      </c>
      <c r="AA58" s="22">
        <f>SUM(J58,M58,P58,S58,V58,Y58)</f>
        <v/>
      </c>
      <c r="AB58" s="22">
        <f>SUM(K58,N58,Q58,T58,W58,Z58)</f>
        <v/>
      </c>
      <c r="AC58" s="23">
        <f>IF(AA58=0,"",AB58/AA58)</f>
        <v/>
      </c>
      <c r="AD58" s="22">
        <f>CRITERIOS!Q46</f>
        <v/>
      </c>
      <c r="AE58" s="22">
        <f>IF(AND(E58=1,H58&lt;&gt;"X",((I58="N/A")+(L58="N/A")+(O58="N/A")+(R58="N/A")+(U58="N/A")+(X58="N/A"))&gt;0),"REVISAR","")</f>
        <v/>
      </c>
    </row>
    <row r="59">
      <c r="A59" s="24">
        <f>CRITERIOS!B47</f>
        <v/>
      </c>
      <c r="B59" s="24">
        <f>CRITERIOS!C47</f>
        <v/>
      </c>
      <c r="C59" s="25">
        <f>CRITERIOS!D47</f>
        <v/>
      </c>
      <c r="D59" s="24">
        <f>CRITERIOS!E47</f>
        <v/>
      </c>
      <c r="E59" s="24">
        <f>IFERROR(IF(AND(OR(CRITERIOS!F47="Todos",CRITERIOS!F47=$B$4),INDEX(CRITERIOS!H47:J47,MATCH($B$5,VARIABLES!$E$2:$E$4,0))=1),1,0),0)</f>
        <v/>
      </c>
      <c r="F59" s="24">
        <f>IFERROR(IF(E59=1,INDEX(CRITERIOS!K47:M47,MATCH($B$5,VARIABLES!$E$2:$E$4,0)),0),0)</f>
        <v/>
      </c>
      <c r="G59" s="24">
        <f>IF(CRITERIOS!N47="","",CRITERIOS!N47)</f>
        <v/>
      </c>
      <c r="H59" s="24">
        <f>IF(CRITERIOS!O47="","",CRITERIOS!O47)</f>
        <v/>
      </c>
      <c r="I59" s="21" t="n"/>
      <c r="J59" s="22">
        <f>IF(OR($E59=0,I$78=0),0,IF(AND(I59="N/A",$G59&lt;&gt;""),0,$F59+SUMPRODUCT(($G$14:$G$71=$A59)*($E$14:$E$71=1)*(I$14:I$71="N/A")*$F$14:$F$71)))</f>
        <v/>
      </c>
      <c r="K59" s="22">
        <f>IF(I59="SI",J59,0)</f>
        <v/>
      </c>
      <c r="L59" s="21" t="n"/>
      <c r="M59" s="22">
        <f>IF(OR($E59=0,L$78=0),0,IF(AND(L59="N/A",$G59&lt;&gt;""),0,$F59+SUMPRODUCT(($G$14:$G$71=$A59)*($E$14:$E$71=1)*(L$14:L$71="N/A")*$F$14:$F$71)))</f>
        <v/>
      </c>
      <c r="N59" s="22">
        <f>IF(L59="SI",M59,0)</f>
        <v/>
      </c>
      <c r="O59" s="21" t="n"/>
      <c r="P59" s="22">
        <f>IF(OR($E59=0,O$78=0),0,IF(AND(O59="N/A",$G59&lt;&gt;""),0,$F59+SUMPRODUCT(($G$14:$G$71=$A59)*($E$14:$E$71=1)*(O$14:O$71="N/A")*$F$14:$F$71)))</f>
        <v/>
      </c>
      <c r="Q59" s="22">
        <f>IF(O59="SI",P59,0)</f>
        <v/>
      </c>
      <c r="R59" s="21" t="n"/>
      <c r="S59" s="22">
        <f>IF(OR($E59=0,R$78=0),0,IF(AND(R59="N/A",$G59&lt;&gt;""),0,$F59+SUMPRODUCT(($G$14:$G$71=$A59)*($E$14:$E$71=1)*(R$14:R$71="N/A")*$F$14:$F$71)))</f>
        <v/>
      </c>
      <c r="T59" s="22">
        <f>IF(R59="SI",S59,0)</f>
        <v/>
      </c>
      <c r="U59" s="21" t="n"/>
      <c r="V59" s="22">
        <f>IF(OR($E59=0,U$78=0),0,IF(AND(U59="N/A",$G59&lt;&gt;""),0,$F59+SUMPRODUCT(($G$14:$G$71=$A59)*($E$14:$E$71=1)*(U$14:U$71="N/A")*$F$14:$F$71)))</f>
        <v/>
      </c>
      <c r="W59" s="22">
        <f>IF(U59="SI",V59,0)</f>
        <v/>
      </c>
      <c r="X59" s="21" t="n"/>
      <c r="Y59" s="22">
        <f>IF(OR($E59=0,X$78=0),0,IF(AND(X59="N/A",$G59&lt;&gt;""),0,$F59+SUMPRODUCT(($G$14:$G$71=$A59)*($E$14:$E$71=1)*(X$14:X$71="N/A")*$F$14:$F$71)))</f>
        <v/>
      </c>
      <c r="Z59" s="22">
        <f>IF(X59="SI",Y59,0)</f>
        <v/>
      </c>
      <c r="AA59" s="22">
        <f>SUM(J59,M59,P59,S59,V59,Y59)</f>
        <v/>
      </c>
      <c r="AB59" s="22">
        <f>SUM(K59,N59,Q59,T59,W59,Z59)</f>
        <v/>
      </c>
      <c r="AC59" s="23">
        <f>IF(AA59=0,"",AB59/AA59)</f>
        <v/>
      </c>
      <c r="AD59" s="22">
        <f>CRITERIOS!Q47</f>
        <v/>
      </c>
      <c r="AE59" s="22">
        <f>IF(AND(E59=1,H59&lt;&gt;"X",((I59="N/A")+(L59="N/A")+(O59="N/A")+(R59="N/A")+(U59="N/A")+(X59="N/A"))&gt;0),"REVISAR","")</f>
        <v/>
      </c>
    </row>
    <row r="60">
      <c r="A60" s="24">
        <f>CRITERIOS!B48</f>
        <v/>
      </c>
      <c r="B60" s="24">
        <f>CRITERIOS!C48</f>
        <v/>
      </c>
      <c r="C60" s="25">
        <f>CRITERIOS!D48</f>
        <v/>
      </c>
      <c r="D60" s="24">
        <f>CRITERIOS!E48</f>
        <v/>
      </c>
      <c r="E60" s="24">
        <f>IFERROR(IF(AND(OR(CRITERIOS!F48="Todos",CRITERIOS!F48=$B$4),INDEX(CRITERIOS!H48:J48,MATCH($B$5,VARIABLES!$E$2:$E$4,0))=1),1,0),0)</f>
        <v/>
      </c>
      <c r="F60" s="24">
        <f>IFERROR(IF(E60=1,INDEX(CRITERIOS!K48:M48,MATCH($B$5,VARIABLES!$E$2:$E$4,0)),0),0)</f>
        <v/>
      </c>
      <c r="G60" s="24">
        <f>IF(CRITERIOS!N48="","",CRITERIOS!N48)</f>
        <v/>
      </c>
      <c r="H60" s="24">
        <f>IF(CRITERIOS!O48="","",CRITERIOS!O48)</f>
        <v/>
      </c>
      <c r="I60" s="21" t="n"/>
      <c r="J60" s="22">
        <f>IF(OR($E60=0,I$78=0),0,IF(AND(I60="N/A",$G60&lt;&gt;""),0,$F60+SUMPRODUCT(($G$14:$G$71=$A60)*($E$14:$E$71=1)*(I$14:I$71="N/A")*$F$14:$F$71)))</f>
        <v/>
      </c>
      <c r="K60" s="22">
        <f>IF(I60="SI",J60,0)</f>
        <v/>
      </c>
      <c r="L60" s="21" t="n"/>
      <c r="M60" s="22">
        <f>IF(OR($E60=0,L$78=0),0,IF(AND(L60="N/A",$G60&lt;&gt;""),0,$F60+SUMPRODUCT(($G$14:$G$71=$A60)*($E$14:$E$71=1)*(L$14:L$71="N/A")*$F$14:$F$71)))</f>
        <v/>
      </c>
      <c r="N60" s="22">
        <f>IF(L60="SI",M60,0)</f>
        <v/>
      </c>
      <c r="O60" s="21" t="n"/>
      <c r="P60" s="22">
        <f>IF(OR($E60=0,O$78=0),0,IF(AND(O60="N/A",$G60&lt;&gt;""),0,$F60+SUMPRODUCT(($G$14:$G$71=$A60)*($E$14:$E$71=1)*(O$14:O$71="N/A")*$F$14:$F$71)))</f>
        <v/>
      </c>
      <c r="Q60" s="22">
        <f>IF(O60="SI",P60,0)</f>
        <v/>
      </c>
      <c r="R60" s="21" t="n"/>
      <c r="S60" s="22">
        <f>IF(OR($E60=0,R$78=0),0,IF(AND(R60="N/A",$G60&lt;&gt;""),0,$F60+SUMPRODUCT(($G$14:$G$71=$A60)*($E$14:$E$71=1)*(R$14:R$71="N/A")*$F$14:$F$71)))</f>
        <v/>
      </c>
      <c r="T60" s="22">
        <f>IF(R60="SI",S60,0)</f>
        <v/>
      </c>
      <c r="U60" s="21" t="n"/>
      <c r="V60" s="22">
        <f>IF(OR($E60=0,U$78=0),0,IF(AND(U60="N/A",$G60&lt;&gt;""),0,$F60+SUMPRODUCT(($G$14:$G$71=$A60)*($E$14:$E$71=1)*(U$14:U$71="N/A")*$F$14:$F$71)))</f>
        <v/>
      </c>
      <c r="W60" s="22">
        <f>IF(U60="SI",V60,0)</f>
        <v/>
      </c>
      <c r="X60" s="21" t="n"/>
      <c r="Y60" s="22">
        <f>IF(OR($E60=0,X$78=0),0,IF(AND(X60="N/A",$G60&lt;&gt;""),0,$F60+SUMPRODUCT(($G$14:$G$71=$A60)*($E$14:$E$71=1)*(X$14:X$71="N/A")*$F$14:$F$71)))</f>
        <v/>
      </c>
      <c r="Z60" s="22">
        <f>IF(X60="SI",Y60,0)</f>
        <v/>
      </c>
      <c r="AA60" s="22">
        <f>SUM(J60,M60,P60,S60,V60,Y60)</f>
        <v/>
      </c>
      <c r="AB60" s="22">
        <f>SUM(K60,N60,Q60,T60,W60,Z60)</f>
        <v/>
      </c>
      <c r="AC60" s="23">
        <f>IF(AA60=0,"",AB60/AA60)</f>
        <v/>
      </c>
      <c r="AD60" s="22">
        <f>CRITERIOS!Q48</f>
        <v/>
      </c>
      <c r="AE60" s="22">
        <f>IF(AND(E60=1,H60&lt;&gt;"X",((I60="N/A")+(L60="N/A")+(O60="N/A")+(R60="N/A")+(U60="N/A")+(X60="N/A"))&gt;0),"REVISAR","")</f>
        <v/>
      </c>
    </row>
    <row r="61">
      <c r="A61" s="22">
        <f>CRITERIOS!B49</f>
        <v/>
      </c>
      <c r="B61" s="22">
        <f>CRITERIOS!C49</f>
        <v/>
      </c>
      <c r="C61" s="8">
        <f>CRITERIOS!D49</f>
        <v/>
      </c>
      <c r="D61" s="22">
        <f>CRITERIOS!E49</f>
        <v/>
      </c>
      <c r="E61" s="22">
        <f>IFERROR(IF(AND(OR(CRITERIOS!F49="Todos",CRITERIOS!F49=$B$4),INDEX(CRITERIOS!H49:J49,MATCH($B$5,VARIABLES!$E$2:$E$4,0))=1),1,0),0)</f>
        <v/>
      </c>
      <c r="F61" s="22">
        <f>IFERROR(IF(E61=1,INDEX(CRITERIOS!K49:M49,MATCH($B$5,VARIABLES!$E$2:$E$4,0)),0),0)</f>
        <v/>
      </c>
      <c r="G61" s="22">
        <f>IF(CRITERIOS!N49="","",CRITERIOS!N49)</f>
        <v/>
      </c>
      <c r="H61" s="22">
        <f>IF(CRITERIOS!O49="","",CRITERIOS!O49)</f>
        <v/>
      </c>
      <c r="I61" s="21" t="n"/>
      <c r="J61" s="22">
        <f>IF(OR($E61=0,I$78=0),0,IF(AND(I61="N/A",$G61&lt;&gt;""),0,$F61+SUMPRODUCT(($G$14:$G$71=$A61)*($E$14:$E$71=1)*(I$14:I$71="N/A")*$F$14:$F$71)))</f>
        <v/>
      </c>
      <c r="K61" s="22">
        <f>IF(I61="SI",J61,0)</f>
        <v/>
      </c>
      <c r="L61" s="21" t="n"/>
      <c r="M61" s="22">
        <f>IF(OR($E61=0,L$78=0),0,IF(AND(L61="N/A",$G61&lt;&gt;""),0,$F61+SUMPRODUCT(($G$14:$G$71=$A61)*($E$14:$E$71=1)*(L$14:L$71="N/A")*$F$14:$F$71)))</f>
        <v/>
      </c>
      <c r="N61" s="22">
        <f>IF(L61="SI",M61,0)</f>
        <v/>
      </c>
      <c r="O61" s="21" t="n"/>
      <c r="P61" s="22">
        <f>IF(OR($E61=0,O$78=0),0,IF(AND(O61="N/A",$G61&lt;&gt;""),0,$F61+SUMPRODUCT(($G$14:$G$71=$A61)*($E$14:$E$71=1)*(O$14:O$71="N/A")*$F$14:$F$71)))</f>
        <v/>
      </c>
      <c r="Q61" s="22">
        <f>IF(O61="SI",P61,0)</f>
        <v/>
      </c>
      <c r="R61" s="21" t="n"/>
      <c r="S61" s="22">
        <f>IF(OR($E61=0,R$78=0),0,IF(AND(R61="N/A",$G61&lt;&gt;""),0,$F61+SUMPRODUCT(($G$14:$G$71=$A61)*($E$14:$E$71=1)*(R$14:R$71="N/A")*$F$14:$F$71)))</f>
        <v/>
      </c>
      <c r="T61" s="22">
        <f>IF(R61="SI",S61,0)</f>
        <v/>
      </c>
      <c r="U61" s="21" t="n"/>
      <c r="V61" s="22">
        <f>IF(OR($E61=0,U$78=0),0,IF(AND(U61="N/A",$G61&lt;&gt;""),0,$F61+SUMPRODUCT(($G$14:$G$71=$A61)*($E$14:$E$71=1)*(U$14:U$71="N/A")*$F$14:$F$71)))</f>
        <v/>
      </c>
      <c r="W61" s="22">
        <f>IF(U61="SI",V61,0)</f>
        <v/>
      </c>
      <c r="X61" s="21" t="n"/>
      <c r="Y61" s="22">
        <f>IF(OR($E61=0,X$78=0),0,IF(AND(X61="N/A",$G61&lt;&gt;""),0,$F61+SUMPRODUCT(($G$14:$G$71=$A61)*($E$14:$E$71=1)*(X$14:X$71="N/A")*$F$14:$F$71)))</f>
        <v/>
      </c>
      <c r="Z61" s="22">
        <f>IF(X61="SI",Y61,0)</f>
        <v/>
      </c>
      <c r="AA61" s="22">
        <f>SUM(J61,M61,P61,S61,V61,Y61)</f>
        <v/>
      </c>
      <c r="AB61" s="22">
        <f>SUM(K61,N61,Q61,T61,W61,Z61)</f>
        <v/>
      </c>
      <c r="AC61" s="23">
        <f>IF(AA61=0,"",AB61/AA61)</f>
        <v/>
      </c>
      <c r="AD61" s="22">
        <f>CRITERIOS!Q49</f>
        <v/>
      </c>
      <c r="AE61" s="22">
        <f>IF(AND(E61=1,H61&lt;&gt;"X",((I61="N/A")+(L61="N/A")+(O61="N/A")+(R61="N/A")+(U61="N/A")+(X61="N/A"))&gt;0),"REVISAR","")</f>
        <v/>
      </c>
    </row>
    <row r="62">
      <c r="A62" s="24">
        <f>CRITERIOS!B50</f>
        <v/>
      </c>
      <c r="B62" s="24">
        <f>CRITERIOS!C50</f>
        <v/>
      </c>
      <c r="C62" s="25">
        <f>CRITERIOS!D50</f>
        <v/>
      </c>
      <c r="D62" s="24">
        <f>CRITERIOS!E50</f>
        <v/>
      </c>
      <c r="E62" s="24">
        <f>IFERROR(IF(AND(OR(CRITERIOS!F50="Todos",CRITERIOS!F50=$B$4),INDEX(CRITERIOS!H50:J50,MATCH($B$5,VARIABLES!$E$2:$E$4,0))=1),1,0),0)</f>
        <v/>
      </c>
      <c r="F62" s="24">
        <f>IFERROR(IF(E62=1,INDEX(CRITERIOS!K50:M50,MATCH($B$5,VARIABLES!$E$2:$E$4,0)),0),0)</f>
        <v/>
      </c>
      <c r="G62" s="24">
        <f>IF(CRITERIOS!N50="","",CRITERIOS!N50)</f>
        <v/>
      </c>
      <c r="H62" s="24">
        <f>IF(CRITERIOS!O50="","",CRITERIOS!O50)</f>
        <v/>
      </c>
      <c r="I62" s="21" t="n"/>
      <c r="J62" s="22">
        <f>IF(OR($E62=0,I$78=0),0,IF(AND(I62="N/A",$G62&lt;&gt;""),0,$F62+SUMPRODUCT(($G$14:$G$71=$A62)*($E$14:$E$71=1)*(I$14:I$71="N/A")*$F$14:$F$71)))</f>
        <v/>
      </c>
      <c r="K62" s="22">
        <f>IF(I62="SI",J62,0)</f>
        <v/>
      </c>
      <c r="L62" s="21" t="n"/>
      <c r="M62" s="22">
        <f>IF(OR($E62=0,L$78=0),0,IF(AND(L62="N/A",$G62&lt;&gt;""),0,$F62+SUMPRODUCT(($G$14:$G$71=$A62)*($E$14:$E$71=1)*(L$14:L$71="N/A")*$F$14:$F$71)))</f>
        <v/>
      </c>
      <c r="N62" s="22">
        <f>IF(L62="SI",M62,0)</f>
        <v/>
      </c>
      <c r="O62" s="21" t="n"/>
      <c r="P62" s="22">
        <f>IF(OR($E62=0,O$78=0),0,IF(AND(O62="N/A",$G62&lt;&gt;""),0,$F62+SUMPRODUCT(($G$14:$G$71=$A62)*($E$14:$E$71=1)*(O$14:O$71="N/A")*$F$14:$F$71)))</f>
        <v/>
      </c>
      <c r="Q62" s="22">
        <f>IF(O62="SI",P62,0)</f>
        <v/>
      </c>
      <c r="R62" s="21" t="n"/>
      <c r="S62" s="22">
        <f>IF(OR($E62=0,R$78=0),0,IF(AND(R62="N/A",$G62&lt;&gt;""),0,$F62+SUMPRODUCT(($G$14:$G$71=$A62)*($E$14:$E$71=1)*(R$14:R$71="N/A")*$F$14:$F$71)))</f>
        <v/>
      </c>
      <c r="T62" s="22">
        <f>IF(R62="SI",S62,0)</f>
        <v/>
      </c>
      <c r="U62" s="21" t="n"/>
      <c r="V62" s="22">
        <f>IF(OR($E62=0,U$78=0),0,IF(AND(U62="N/A",$G62&lt;&gt;""),0,$F62+SUMPRODUCT(($G$14:$G$71=$A62)*($E$14:$E$71=1)*(U$14:U$71="N/A")*$F$14:$F$71)))</f>
        <v/>
      </c>
      <c r="W62" s="22">
        <f>IF(U62="SI",V62,0)</f>
        <v/>
      </c>
      <c r="X62" s="21" t="n"/>
      <c r="Y62" s="22">
        <f>IF(OR($E62=0,X$78=0),0,IF(AND(X62="N/A",$G62&lt;&gt;""),0,$F62+SUMPRODUCT(($G$14:$G$71=$A62)*($E$14:$E$71=1)*(X$14:X$71="N/A")*$F$14:$F$71)))</f>
        <v/>
      </c>
      <c r="Z62" s="22">
        <f>IF(X62="SI",Y62,0)</f>
        <v/>
      </c>
      <c r="AA62" s="22">
        <f>SUM(J62,M62,P62,S62,V62,Y62)</f>
        <v/>
      </c>
      <c r="AB62" s="22">
        <f>SUM(K62,N62,Q62,T62,W62,Z62)</f>
        <v/>
      </c>
      <c r="AC62" s="23">
        <f>IF(AA62=0,"",AB62/AA62)</f>
        <v/>
      </c>
      <c r="AD62" s="22">
        <f>CRITERIOS!Q50</f>
        <v/>
      </c>
      <c r="AE62" s="22">
        <f>IF(AND(E62=1,H62&lt;&gt;"X",((I62="N/A")+(L62="N/A")+(O62="N/A")+(R62="N/A")+(U62="N/A")+(X62="N/A"))&gt;0),"REVISAR","")</f>
        <v/>
      </c>
    </row>
    <row r="63">
      <c r="A63" s="24">
        <f>CRITERIOS!B51</f>
        <v/>
      </c>
      <c r="B63" s="24">
        <f>CRITERIOS!C51</f>
        <v/>
      </c>
      <c r="C63" s="25">
        <f>CRITERIOS!D51</f>
        <v/>
      </c>
      <c r="D63" s="24">
        <f>CRITERIOS!E51</f>
        <v/>
      </c>
      <c r="E63" s="24">
        <f>IFERROR(IF(AND(OR(CRITERIOS!F51="Todos",CRITERIOS!F51=$B$4),INDEX(CRITERIOS!H51:J51,MATCH($B$5,VARIABLES!$E$2:$E$4,0))=1),1,0),0)</f>
        <v/>
      </c>
      <c r="F63" s="24">
        <f>IFERROR(IF(E63=1,INDEX(CRITERIOS!K51:M51,MATCH($B$5,VARIABLES!$E$2:$E$4,0)),0),0)</f>
        <v/>
      </c>
      <c r="G63" s="24">
        <f>IF(CRITERIOS!N51="","",CRITERIOS!N51)</f>
        <v/>
      </c>
      <c r="H63" s="24">
        <f>IF(CRITERIOS!O51="","",CRITERIOS!O51)</f>
        <v/>
      </c>
      <c r="I63" s="21" t="n"/>
      <c r="J63" s="22">
        <f>IF(OR($E63=0,I$78=0),0,IF(AND(I63="N/A",$G63&lt;&gt;""),0,$F63+SUMPRODUCT(($G$14:$G$71=$A63)*($E$14:$E$71=1)*(I$14:I$71="N/A")*$F$14:$F$71)))</f>
        <v/>
      </c>
      <c r="K63" s="22">
        <f>IF(I63="SI",J63,0)</f>
        <v/>
      </c>
      <c r="L63" s="21" t="n"/>
      <c r="M63" s="22">
        <f>IF(OR($E63=0,L$78=0),0,IF(AND(L63="N/A",$G63&lt;&gt;""),0,$F63+SUMPRODUCT(($G$14:$G$71=$A63)*($E$14:$E$71=1)*(L$14:L$71="N/A")*$F$14:$F$71)))</f>
        <v/>
      </c>
      <c r="N63" s="22">
        <f>IF(L63="SI",M63,0)</f>
        <v/>
      </c>
      <c r="O63" s="21" t="n"/>
      <c r="P63" s="22">
        <f>IF(OR($E63=0,O$78=0),0,IF(AND(O63="N/A",$G63&lt;&gt;""),0,$F63+SUMPRODUCT(($G$14:$G$71=$A63)*($E$14:$E$71=1)*(O$14:O$71="N/A")*$F$14:$F$71)))</f>
        <v/>
      </c>
      <c r="Q63" s="22">
        <f>IF(O63="SI",P63,0)</f>
        <v/>
      </c>
      <c r="R63" s="21" t="n"/>
      <c r="S63" s="22">
        <f>IF(OR($E63=0,R$78=0),0,IF(AND(R63="N/A",$G63&lt;&gt;""),0,$F63+SUMPRODUCT(($G$14:$G$71=$A63)*($E$14:$E$71=1)*(R$14:R$71="N/A")*$F$14:$F$71)))</f>
        <v/>
      </c>
      <c r="T63" s="22">
        <f>IF(R63="SI",S63,0)</f>
        <v/>
      </c>
      <c r="U63" s="21" t="n"/>
      <c r="V63" s="22">
        <f>IF(OR($E63=0,U$78=0),0,IF(AND(U63="N/A",$G63&lt;&gt;""),0,$F63+SUMPRODUCT(($G$14:$G$71=$A63)*($E$14:$E$71=1)*(U$14:U$71="N/A")*$F$14:$F$71)))</f>
        <v/>
      </c>
      <c r="W63" s="22">
        <f>IF(U63="SI",V63,0)</f>
        <v/>
      </c>
      <c r="X63" s="21" t="n"/>
      <c r="Y63" s="22">
        <f>IF(OR($E63=0,X$78=0),0,IF(AND(X63="N/A",$G63&lt;&gt;""),0,$F63+SUMPRODUCT(($G$14:$G$71=$A63)*($E$14:$E$71=1)*(X$14:X$71="N/A")*$F$14:$F$71)))</f>
        <v/>
      </c>
      <c r="Z63" s="22">
        <f>IF(X63="SI",Y63,0)</f>
        <v/>
      </c>
      <c r="AA63" s="22">
        <f>SUM(J63,M63,P63,S63,V63,Y63)</f>
        <v/>
      </c>
      <c r="AB63" s="22">
        <f>SUM(K63,N63,Q63,T63,W63,Z63)</f>
        <v/>
      </c>
      <c r="AC63" s="23">
        <f>IF(AA63=0,"",AB63/AA63)</f>
        <v/>
      </c>
      <c r="AD63" s="22">
        <f>CRITERIOS!Q51</f>
        <v/>
      </c>
      <c r="AE63" s="22">
        <f>IF(AND(E63=1,H63&lt;&gt;"X",((I63="N/A")+(L63="N/A")+(O63="N/A")+(R63="N/A")+(U63="N/A")+(X63="N/A"))&gt;0),"REVISAR","")</f>
        <v/>
      </c>
    </row>
    <row r="64">
      <c r="A64" s="22">
        <f>CRITERIOS!B52</f>
        <v/>
      </c>
      <c r="B64" s="22">
        <f>CRITERIOS!C52</f>
        <v/>
      </c>
      <c r="C64" s="8">
        <f>CRITERIOS!D52</f>
        <v/>
      </c>
      <c r="D64" s="22">
        <f>CRITERIOS!E52</f>
        <v/>
      </c>
      <c r="E64" s="22">
        <f>IFERROR(IF(AND(OR(CRITERIOS!F52="Todos",CRITERIOS!F52=$B$4),INDEX(CRITERIOS!H52:J52,MATCH($B$5,VARIABLES!$E$2:$E$4,0))=1),1,0),0)</f>
        <v/>
      </c>
      <c r="F64" s="22">
        <f>IFERROR(IF(E64=1,INDEX(CRITERIOS!K52:M52,MATCH($B$5,VARIABLES!$E$2:$E$4,0)),0),0)</f>
        <v/>
      </c>
      <c r="G64" s="22">
        <f>IF(CRITERIOS!N52="","",CRITERIOS!N52)</f>
        <v/>
      </c>
      <c r="H64" s="22">
        <f>IF(CRITERIOS!O52="","",CRITERIOS!O52)</f>
        <v/>
      </c>
      <c r="I64" s="21" t="n"/>
      <c r="J64" s="22">
        <f>IF(OR($E64=0,I$78=0),0,IF(AND(I64="N/A",$G64&lt;&gt;""),0,$F64+SUMPRODUCT(($G$14:$G$71=$A64)*($E$14:$E$71=1)*(I$14:I$71="N/A")*$F$14:$F$71)))</f>
        <v/>
      </c>
      <c r="K64" s="22">
        <f>IF(I64="SI",J64,0)</f>
        <v/>
      </c>
      <c r="L64" s="21" t="n"/>
      <c r="M64" s="22">
        <f>IF(OR($E64=0,L$78=0),0,IF(AND(L64="N/A",$G64&lt;&gt;""),0,$F64+SUMPRODUCT(($G$14:$G$71=$A64)*($E$14:$E$71=1)*(L$14:L$71="N/A")*$F$14:$F$71)))</f>
        <v/>
      </c>
      <c r="N64" s="22">
        <f>IF(L64="SI",M64,0)</f>
        <v/>
      </c>
      <c r="O64" s="21" t="n"/>
      <c r="P64" s="22">
        <f>IF(OR($E64=0,O$78=0),0,IF(AND(O64="N/A",$G64&lt;&gt;""),0,$F64+SUMPRODUCT(($G$14:$G$71=$A64)*($E$14:$E$71=1)*(O$14:O$71="N/A")*$F$14:$F$71)))</f>
        <v/>
      </c>
      <c r="Q64" s="22">
        <f>IF(O64="SI",P64,0)</f>
        <v/>
      </c>
      <c r="R64" s="21" t="n"/>
      <c r="S64" s="22">
        <f>IF(OR($E64=0,R$78=0),0,IF(AND(R64="N/A",$G64&lt;&gt;""),0,$F64+SUMPRODUCT(($G$14:$G$71=$A64)*($E$14:$E$71=1)*(R$14:R$71="N/A")*$F$14:$F$71)))</f>
        <v/>
      </c>
      <c r="T64" s="22">
        <f>IF(R64="SI",S64,0)</f>
        <v/>
      </c>
      <c r="U64" s="21" t="n"/>
      <c r="V64" s="22">
        <f>IF(OR($E64=0,U$78=0),0,IF(AND(U64="N/A",$G64&lt;&gt;""),0,$F64+SUMPRODUCT(($G$14:$G$71=$A64)*($E$14:$E$71=1)*(U$14:U$71="N/A")*$F$14:$F$71)))</f>
        <v/>
      </c>
      <c r="W64" s="22">
        <f>IF(U64="SI",V64,0)</f>
        <v/>
      </c>
      <c r="X64" s="21" t="n"/>
      <c r="Y64" s="22">
        <f>IF(OR($E64=0,X$78=0),0,IF(AND(X64="N/A",$G64&lt;&gt;""),0,$F64+SUMPRODUCT(($G$14:$G$71=$A64)*($E$14:$E$71=1)*(X$14:X$71="N/A")*$F$14:$F$71)))</f>
        <v/>
      </c>
      <c r="Z64" s="22">
        <f>IF(X64="SI",Y64,0)</f>
        <v/>
      </c>
      <c r="AA64" s="22">
        <f>SUM(J64,M64,P64,S64,V64,Y64)</f>
        <v/>
      </c>
      <c r="AB64" s="22">
        <f>SUM(K64,N64,Q64,T64,W64,Z64)</f>
        <v/>
      </c>
      <c r="AC64" s="23">
        <f>IF(AA64=0,"",AB64/AA64)</f>
        <v/>
      </c>
      <c r="AD64" s="22">
        <f>CRITERIOS!Q52</f>
        <v/>
      </c>
      <c r="AE64" s="22">
        <f>IF(AND(E64=1,H64&lt;&gt;"X",((I64="N/A")+(L64="N/A")+(O64="N/A")+(R64="N/A")+(U64="N/A")+(X64="N/A"))&gt;0),"REVISAR","")</f>
        <v/>
      </c>
    </row>
    <row r="65">
      <c r="A65" s="24">
        <f>CRITERIOS!B53</f>
        <v/>
      </c>
      <c r="B65" s="24">
        <f>CRITERIOS!C53</f>
        <v/>
      </c>
      <c r="C65" s="25">
        <f>CRITERIOS!D53</f>
        <v/>
      </c>
      <c r="D65" s="24">
        <f>CRITERIOS!E53</f>
        <v/>
      </c>
      <c r="E65" s="24">
        <f>IFERROR(IF(AND(OR(CRITERIOS!F53="Todos",CRITERIOS!F53=$B$4),INDEX(CRITERIOS!H53:J53,MATCH($B$5,VARIABLES!$E$2:$E$4,0))=1),1,0),0)</f>
        <v/>
      </c>
      <c r="F65" s="24">
        <f>IFERROR(IF(E65=1,INDEX(CRITERIOS!K53:M53,MATCH($B$5,VARIABLES!$E$2:$E$4,0)),0),0)</f>
        <v/>
      </c>
      <c r="G65" s="24">
        <f>IF(CRITERIOS!N53="","",CRITERIOS!N53)</f>
        <v/>
      </c>
      <c r="H65" s="24">
        <f>IF(CRITERIOS!O53="","",CRITERIOS!O53)</f>
        <v/>
      </c>
      <c r="I65" s="21" t="n"/>
      <c r="J65" s="22">
        <f>IF(OR($E65=0,I$78=0),0,IF(AND(I65="N/A",$G65&lt;&gt;""),0,$F65+SUMPRODUCT(($G$14:$G$71=$A65)*($E$14:$E$71=1)*(I$14:I$71="N/A")*$F$14:$F$71)))</f>
        <v/>
      </c>
      <c r="K65" s="22">
        <f>IF(I65="SI",J65,0)</f>
        <v/>
      </c>
      <c r="L65" s="21" t="n"/>
      <c r="M65" s="22">
        <f>IF(OR($E65=0,L$78=0),0,IF(AND(L65="N/A",$G65&lt;&gt;""),0,$F65+SUMPRODUCT(($G$14:$G$71=$A65)*($E$14:$E$71=1)*(L$14:L$71="N/A")*$F$14:$F$71)))</f>
        <v/>
      </c>
      <c r="N65" s="22">
        <f>IF(L65="SI",M65,0)</f>
        <v/>
      </c>
      <c r="O65" s="21" t="n"/>
      <c r="P65" s="22">
        <f>IF(OR($E65=0,O$78=0),0,IF(AND(O65="N/A",$G65&lt;&gt;""),0,$F65+SUMPRODUCT(($G$14:$G$71=$A65)*($E$14:$E$71=1)*(O$14:O$71="N/A")*$F$14:$F$71)))</f>
        <v/>
      </c>
      <c r="Q65" s="22">
        <f>IF(O65="SI",P65,0)</f>
        <v/>
      </c>
      <c r="R65" s="21" t="n"/>
      <c r="S65" s="22">
        <f>IF(OR($E65=0,R$78=0),0,IF(AND(R65="N/A",$G65&lt;&gt;""),0,$F65+SUMPRODUCT(($G$14:$G$71=$A65)*($E$14:$E$71=1)*(R$14:R$71="N/A")*$F$14:$F$71)))</f>
        <v/>
      </c>
      <c r="T65" s="22">
        <f>IF(R65="SI",S65,0)</f>
        <v/>
      </c>
      <c r="U65" s="21" t="n"/>
      <c r="V65" s="22">
        <f>IF(OR($E65=0,U$78=0),0,IF(AND(U65="N/A",$G65&lt;&gt;""),0,$F65+SUMPRODUCT(($G$14:$G$71=$A65)*($E$14:$E$71=1)*(U$14:U$71="N/A")*$F$14:$F$71)))</f>
        <v/>
      </c>
      <c r="W65" s="22">
        <f>IF(U65="SI",V65,0)</f>
        <v/>
      </c>
      <c r="X65" s="21" t="n"/>
      <c r="Y65" s="22">
        <f>IF(OR($E65=0,X$78=0),0,IF(AND(X65="N/A",$G65&lt;&gt;""),0,$F65+SUMPRODUCT(($G$14:$G$71=$A65)*($E$14:$E$71=1)*(X$14:X$71="N/A")*$F$14:$F$71)))</f>
        <v/>
      </c>
      <c r="Z65" s="22">
        <f>IF(X65="SI",Y65,0)</f>
        <v/>
      </c>
      <c r="AA65" s="22">
        <f>SUM(J65,M65,P65,S65,V65,Y65)</f>
        <v/>
      </c>
      <c r="AB65" s="22">
        <f>SUM(K65,N65,Q65,T65,W65,Z65)</f>
        <v/>
      </c>
      <c r="AC65" s="23">
        <f>IF(AA65=0,"",AB65/AA65)</f>
        <v/>
      </c>
      <c r="AD65" s="22">
        <f>CRITERIOS!Q53</f>
        <v/>
      </c>
      <c r="AE65" s="22">
        <f>IF(AND(E65=1,H65&lt;&gt;"X",((I65="N/A")+(L65="N/A")+(O65="N/A")+(R65="N/A")+(U65="N/A")+(X65="N/A"))&gt;0),"REVISAR","")</f>
        <v/>
      </c>
    </row>
    <row r="66">
      <c r="A66" s="24">
        <f>CRITERIOS!B54</f>
        <v/>
      </c>
      <c r="B66" s="24">
        <f>CRITERIOS!C54</f>
        <v/>
      </c>
      <c r="C66" s="25">
        <f>CRITERIOS!D54</f>
        <v/>
      </c>
      <c r="D66" s="24">
        <f>CRITERIOS!E54</f>
        <v/>
      </c>
      <c r="E66" s="24">
        <f>IFERROR(IF(AND(OR(CRITERIOS!F54="Todos",CRITERIOS!F54=$B$4),INDEX(CRITERIOS!H54:J54,MATCH($B$5,VARIABLES!$E$2:$E$4,0))=1),1,0),0)</f>
        <v/>
      </c>
      <c r="F66" s="24">
        <f>IFERROR(IF(E66=1,INDEX(CRITERIOS!K54:M54,MATCH($B$5,VARIABLES!$E$2:$E$4,0)),0),0)</f>
        <v/>
      </c>
      <c r="G66" s="24">
        <f>IF(CRITERIOS!N54="","",CRITERIOS!N54)</f>
        <v/>
      </c>
      <c r="H66" s="24">
        <f>IF(CRITERIOS!O54="","",CRITERIOS!O54)</f>
        <v/>
      </c>
      <c r="I66" s="21" t="n"/>
      <c r="J66" s="22">
        <f>IF(OR($E66=0,I$78=0),0,IF(AND(I66="N/A",$G66&lt;&gt;""),0,$F66+SUMPRODUCT(($G$14:$G$71=$A66)*($E$14:$E$71=1)*(I$14:I$71="N/A")*$F$14:$F$71)))</f>
        <v/>
      </c>
      <c r="K66" s="22">
        <f>IF(I66="SI",J66,0)</f>
        <v/>
      </c>
      <c r="L66" s="21" t="n"/>
      <c r="M66" s="22">
        <f>IF(OR($E66=0,L$78=0),0,IF(AND(L66="N/A",$G66&lt;&gt;""),0,$F66+SUMPRODUCT(($G$14:$G$71=$A66)*($E$14:$E$71=1)*(L$14:L$71="N/A")*$F$14:$F$71)))</f>
        <v/>
      </c>
      <c r="N66" s="22">
        <f>IF(L66="SI",M66,0)</f>
        <v/>
      </c>
      <c r="O66" s="21" t="n"/>
      <c r="P66" s="22">
        <f>IF(OR($E66=0,O$78=0),0,IF(AND(O66="N/A",$G66&lt;&gt;""),0,$F66+SUMPRODUCT(($G$14:$G$71=$A66)*($E$14:$E$71=1)*(O$14:O$71="N/A")*$F$14:$F$71)))</f>
        <v/>
      </c>
      <c r="Q66" s="22">
        <f>IF(O66="SI",P66,0)</f>
        <v/>
      </c>
      <c r="R66" s="21" t="n"/>
      <c r="S66" s="22">
        <f>IF(OR($E66=0,R$78=0),0,IF(AND(R66="N/A",$G66&lt;&gt;""),0,$F66+SUMPRODUCT(($G$14:$G$71=$A66)*($E$14:$E$71=1)*(R$14:R$71="N/A")*$F$14:$F$71)))</f>
        <v/>
      </c>
      <c r="T66" s="22">
        <f>IF(R66="SI",S66,0)</f>
        <v/>
      </c>
      <c r="U66" s="21" t="n"/>
      <c r="V66" s="22">
        <f>IF(OR($E66=0,U$78=0),0,IF(AND(U66="N/A",$G66&lt;&gt;""),0,$F66+SUMPRODUCT(($G$14:$G$71=$A66)*($E$14:$E$71=1)*(U$14:U$71="N/A")*$F$14:$F$71)))</f>
        <v/>
      </c>
      <c r="W66" s="22">
        <f>IF(U66="SI",V66,0)</f>
        <v/>
      </c>
      <c r="X66" s="21" t="n"/>
      <c r="Y66" s="22">
        <f>IF(OR($E66=0,X$78=0),0,IF(AND(X66="N/A",$G66&lt;&gt;""),0,$F66+SUMPRODUCT(($G$14:$G$71=$A66)*($E$14:$E$71=1)*(X$14:X$71="N/A")*$F$14:$F$71)))</f>
        <v/>
      </c>
      <c r="Z66" s="22">
        <f>IF(X66="SI",Y66,0)</f>
        <v/>
      </c>
      <c r="AA66" s="22">
        <f>SUM(J66,M66,P66,S66,V66,Y66)</f>
        <v/>
      </c>
      <c r="AB66" s="22">
        <f>SUM(K66,N66,Q66,T66,W66,Z66)</f>
        <v/>
      </c>
      <c r="AC66" s="23">
        <f>IF(AA66=0,"",AB66/AA66)</f>
        <v/>
      </c>
      <c r="AD66" s="22">
        <f>CRITERIOS!Q54</f>
        <v/>
      </c>
      <c r="AE66" s="22">
        <f>IF(AND(E66=1,H66&lt;&gt;"X",((I66="N/A")+(L66="N/A")+(O66="N/A")+(R66="N/A")+(U66="N/A")+(X66="N/A"))&gt;0),"REVISAR","")</f>
        <v/>
      </c>
    </row>
    <row r="67">
      <c r="A67" s="24">
        <f>CRITERIOS!B55</f>
        <v/>
      </c>
      <c r="B67" s="24">
        <f>CRITERIOS!C55</f>
        <v/>
      </c>
      <c r="C67" s="25">
        <f>CRITERIOS!D55</f>
        <v/>
      </c>
      <c r="D67" s="24">
        <f>CRITERIOS!E55</f>
        <v/>
      </c>
      <c r="E67" s="24">
        <f>IFERROR(IF(AND(OR(CRITERIOS!F55="Todos",CRITERIOS!F55=$B$4),INDEX(CRITERIOS!H55:J55,MATCH($B$5,VARIABLES!$E$2:$E$4,0))=1),1,0),0)</f>
        <v/>
      </c>
      <c r="F67" s="24">
        <f>IFERROR(IF(E67=1,INDEX(CRITERIOS!K55:M55,MATCH($B$5,VARIABLES!$E$2:$E$4,0)),0),0)</f>
        <v/>
      </c>
      <c r="G67" s="24">
        <f>IF(CRITERIOS!N55="","",CRITERIOS!N55)</f>
        <v/>
      </c>
      <c r="H67" s="24">
        <f>IF(CRITERIOS!O55="","",CRITERIOS!O55)</f>
        <v/>
      </c>
      <c r="I67" s="21" t="n"/>
      <c r="J67" s="22">
        <f>IF(OR($E67=0,I$78=0),0,IF(AND(I67="N/A",$G67&lt;&gt;""),0,$F67+SUMPRODUCT(($G$14:$G$71=$A67)*($E$14:$E$71=1)*(I$14:I$71="N/A")*$F$14:$F$71)))</f>
        <v/>
      </c>
      <c r="K67" s="22">
        <f>IF(I67="SI",J67,0)</f>
        <v/>
      </c>
      <c r="L67" s="21" t="n"/>
      <c r="M67" s="22">
        <f>IF(OR($E67=0,L$78=0),0,IF(AND(L67="N/A",$G67&lt;&gt;""),0,$F67+SUMPRODUCT(($G$14:$G$71=$A67)*($E$14:$E$71=1)*(L$14:L$71="N/A")*$F$14:$F$71)))</f>
        <v/>
      </c>
      <c r="N67" s="22">
        <f>IF(L67="SI",M67,0)</f>
        <v/>
      </c>
      <c r="O67" s="21" t="n"/>
      <c r="P67" s="22">
        <f>IF(OR($E67=0,O$78=0),0,IF(AND(O67="N/A",$G67&lt;&gt;""),0,$F67+SUMPRODUCT(($G$14:$G$71=$A67)*($E$14:$E$71=1)*(O$14:O$71="N/A")*$F$14:$F$71)))</f>
        <v/>
      </c>
      <c r="Q67" s="22">
        <f>IF(O67="SI",P67,0)</f>
        <v/>
      </c>
      <c r="R67" s="21" t="n"/>
      <c r="S67" s="22">
        <f>IF(OR($E67=0,R$78=0),0,IF(AND(R67="N/A",$G67&lt;&gt;""),0,$F67+SUMPRODUCT(($G$14:$G$71=$A67)*($E$14:$E$71=1)*(R$14:R$71="N/A")*$F$14:$F$71)))</f>
        <v/>
      </c>
      <c r="T67" s="22">
        <f>IF(R67="SI",S67,0)</f>
        <v/>
      </c>
      <c r="U67" s="21" t="n"/>
      <c r="V67" s="22">
        <f>IF(OR($E67=0,U$78=0),0,IF(AND(U67="N/A",$G67&lt;&gt;""),0,$F67+SUMPRODUCT(($G$14:$G$71=$A67)*($E$14:$E$71=1)*(U$14:U$71="N/A")*$F$14:$F$71)))</f>
        <v/>
      </c>
      <c r="W67" s="22">
        <f>IF(U67="SI",V67,0)</f>
        <v/>
      </c>
      <c r="X67" s="21" t="n"/>
      <c r="Y67" s="22">
        <f>IF(OR($E67=0,X$78=0),0,IF(AND(X67="N/A",$G67&lt;&gt;""),0,$F67+SUMPRODUCT(($G$14:$G$71=$A67)*($E$14:$E$71=1)*(X$14:X$71="N/A")*$F$14:$F$71)))</f>
        <v/>
      </c>
      <c r="Z67" s="22">
        <f>IF(X67="SI",Y67,0)</f>
        <v/>
      </c>
      <c r="AA67" s="22">
        <f>SUM(J67,M67,P67,S67,V67,Y67)</f>
        <v/>
      </c>
      <c r="AB67" s="22">
        <f>SUM(K67,N67,Q67,T67,W67,Z67)</f>
        <v/>
      </c>
      <c r="AC67" s="23">
        <f>IF(AA67=0,"",AB67/AA67)</f>
        <v/>
      </c>
      <c r="AD67" s="22">
        <f>CRITERIOS!Q55</f>
        <v/>
      </c>
      <c r="AE67" s="22">
        <f>IF(AND(E67=1,H67&lt;&gt;"X",((I67="N/A")+(L67="N/A")+(O67="N/A")+(R67="N/A")+(U67="N/A")+(X67="N/A"))&gt;0),"REVISAR","")</f>
        <v/>
      </c>
    </row>
    <row r="68">
      <c r="A68" s="24">
        <f>CRITERIOS!B56</f>
        <v/>
      </c>
      <c r="B68" s="24">
        <f>CRITERIOS!C56</f>
        <v/>
      </c>
      <c r="C68" s="25">
        <f>CRITERIOS!D56</f>
        <v/>
      </c>
      <c r="D68" s="24">
        <f>CRITERIOS!E56</f>
        <v/>
      </c>
      <c r="E68" s="24">
        <f>IFERROR(IF(AND(OR(CRITERIOS!F56="Todos",CRITERIOS!F56=$B$4),INDEX(CRITERIOS!H56:J56,MATCH($B$5,VARIABLES!$E$2:$E$4,0))=1),1,0),0)</f>
        <v/>
      </c>
      <c r="F68" s="24">
        <f>IFERROR(IF(E68=1,INDEX(CRITERIOS!K56:M56,MATCH($B$5,VARIABLES!$E$2:$E$4,0)),0),0)</f>
        <v/>
      </c>
      <c r="G68" s="24">
        <f>IF(CRITERIOS!N56="","",CRITERIOS!N56)</f>
        <v/>
      </c>
      <c r="H68" s="24">
        <f>IF(CRITERIOS!O56="","",CRITERIOS!O56)</f>
        <v/>
      </c>
      <c r="I68" s="21" t="n"/>
      <c r="J68" s="22">
        <f>IF(OR($E68=0,I$78=0),0,IF(AND(I68="N/A",$G68&lt;&gt;""),0,$F68+SUMPRODUCT(($G$14:$G$71=$A68)*($E$14:$E$71=1)*(I$14:I$71="N/A")*$F$14:$F$71)))</f>
        <v/>
      </c>
      <c r="K68" s="22">
        <f>IF(I68="SI",J68,0)</f>
        <v/>
      </c>
      <c r="L68" s="21" t="n"/>
      <c r="M68" s="22">
        <f>IF(OR($E68=0,L$78=0),0,IF(AND(L68="N/A",$G68&lt;&gt;""),0,$F68+SUMPRODUCT(($G$14:$G$71=$A68)*($E$14:$E$71=1)*(L$14:L$71="N/A")*$F$14:$F$71)))</f>
        <v/>
      </c>
      <c r="N68" s="22">
        <f>IF(L68="SI",M68,0)</f>
        <v/>
      </c>
      <c r="O68" s="21" t="n"/>
      <c r="P68" s="22">
        <f>IF(OR($E68=0,O$78=0),0,IF(AND(O68="N/A",$G68&lt;&gt;""),0,$F68+SUMPRODUCT(($G$14:$G$71=$A68)*($E$14:$E$71=1)*(O$14:O$71="N/A")*$F$14:$F$71)))</f>
        <v/>
      </c>
      <c r="Q68" s="22">
        <f>IF(O68="SI",P68,0)</f>
        <v/>
      </c>
      <c r="R68" s="21" t="n"/>
      <c r="S68" s="22">
        <f>IF(OR($E68=0,R$78=0),0,IF(AND(R68="N/A",$G68&lt;&gt;""),0,$F68+SUMPRODUCT(($G$14:$G$71=$A68)*($E$14:$E$71=1)*(R$14:R$71="N/A")*$F$14:$F$71)))</f>
        <v/>
      </c>
      <c r="T68" s="22">
        <f>IF(R68="SI",S68,0)</f>
        <v/>
      </c>
      <c r="U68" s="21" t="n"/>
      <c r="V68" s="22">
        <f>IF(OR($E68=0,U$78=0),0,IF(AND(U68="N/A",$G68&lt;&gt;""),0,$F68+SUMPRODUCT(($G$14:$G$71=$A68)*($E$14:$E$71=1)*(U$14:U$71="N/A")*$F$14:$F$71)))</f>
        <v/>
      </c>
      <c r="W68" s="22">
        <f>IF(U68="SI",V68,0)</f>
        <v/>
      </c>
      <c r="X68" s="21" t="n"/>
      <c r="Y68" s="22">
        <f>IF(OR($E68=0,X$78=0),0,IF(AND(X68="N/A",$G68&lt;&gt;""),0,$F68+SUMPRODUCT(($G$14:$G$71=$A68)*($E$14:$E$71=1)*(X$14:X$71="N/A")*$F$14:$F$71)))</f>
        <v/>
      </c>
      <c r="Z68" s="22">
        <f>IF(X68="SI",Y68,0)</f>
        <v/>
      </c>
      <c r="AA68" s="22">
        <f>SUM(J68,M68,P68,S68,V68,Y68)</f>
        <v/>
      </c>
      <c r="AB68" s="22">
        <f>SUM(K68,N68,Q68,T68,W68,Z68)</f>
        <v/>
      </c>
      <c r="AC68" s="23">
        <f>IF(AA68=0,"",AB68/AA68)</f>
        <v/>
      </c>
      <c r="AD68" s="22">
        <f>CRITERIOS!Q56</f>
        <v/>
      </c>
      <c r="AE68" s="22">
        <f>IF(AND(E68=1,H68&lt;&gt;"X",((I68="N/A")+(L68="N/A")+(O68="N/A")+(R68="N/A")+(U68="N/A")+(X68="N/A"))&gt;0),"REVISAR","")</f>
        <v/>
      </c>
    </row>
    <row r="69">
      <c r="A69" s="22">
        <f>CRITERIOS!B57</f>
        <v/>
      </c>
      <c r="B69" s="22">
        <f>CRITERIOS!C57</f>
        <v/>
      </c>
      <c r="C69" s="8">
        <f>CRITERIOS!D57</f>
        <v/>
      </c>
      <c r="D69" s="22">
        <f>CRITERIOS!E57</f>
        <v/>
      </c>
      <c r="E69" s="22">
        <f>IFERROR(IF(AND(OR(CRITERIOS!F57="Todos",CRITERIOS!F57=$B$4),INDEX(CRITERIOS!H57:J57,MATCH($B$5,VARIABLES!$E$2:$E$4,0))=1),1,0),0)</f>
        <v/>
      </c>
      <c r="F69" s="22">
        <f>IFERROR(IF(E69=1,INDEX(CRITERIOS!K57:M57,MATCH($B$5,VARIABLES!$E$2:$E$4,0)),0),0)</f>
        <v/>
      </c>
      <c r="G69" s="22">
        <f>IF(CRITERIOS!N57="","",CRITERIOS!N57)</f>
        <v/>
      </c>
      <c r="H69" s="22">
        <f>IF(CRITERIOS!O57="","",CRITERIOS!O57)</f>
        <v/>
      </c>
      <c r="I69" s="21" t="n"/>
      <c r="J69" s="22">
        <f>IF(OR($E69=0,I$78=0),0,IF(AND(I69="N/A",$G69&lt;&gt;""),0,$F69+SUMPRODUCT(($G$14:$G$71=$A69)*($E$14:$E$71=1)*(I$14:I$71="N/A")*$F$14:$F$71)))</f>
        <v/>
      </c>
      <c r="K69" s="22">
        <f>IF(I69="SI",J69,0)</f>
        <v/>
      </c>
      <c r="L69" s="21" t="n"/>
      <c r="M69" s="22">
        <f>IF(OR($E69=0,L$78=0),0,IF(AND(L69="N/A",$G69&lt;&gt;""),0,$F69+SUMPRODUCT(($G$14:$G$71=$A69)*($E$14:$E$71=1)*(L$14:L$71="N/A")*$F$14:$F$71)))</f>
        <v/>
      </c>
      <c r="N69" s="22">
        <f>IF(L69="SI",M69,0)</f>
        <v/>
      </c>
      <c r="O69" s="21" t="n"/>
      <c r="P69" s="22">
        <f>IF(OR($E69=0,O$78=0),0,IF(AND(O69="N/A",$G69&lt;&gt;""),0,$F69+SUMPRODUCT(($G$14:$G$71=$A69)*($E$14:$E$71=1)*(O$14:O$71="N/A")*$F$14:$F$71)))</f>
        <v/>
      </c>
      <c r="Q69" s="22">
        <f>IF(O69="SI",P69,0)</f>
        <v/>
      </c>
      <c r="R69" s="21" t="n"/>
      <c r="S69" s="22">
        <f>IF(OR($E69=0,R$78=0),0,IF(AND(R69="N/A",$G69&lt;&gt;""),0,$F69+SUMPRODUCT(($G$14:$G$71=$A69)*($E$14:$E$71=1)*(R$14:R$71="N/A")*$F$14:$F$71)))</f>
        <v/>
      </c>
      <c r="T69" s="22">
        <f>IF(R69="SI",S69,0)</f>
        <v/>
      </c>
      <c r="U69" s="21" t="n"/>
      <c r="V69" s="22">
        <f>IF(OR($E69=0,U$78=0),0,IF(AND(U69="N/A",$G69&lt;&gt;""),0,$F69+SUMPRODUCT(($G$14:$G$71=$A69)*($E$14:$E$71=1)*(U$14:U$71="N/A")*$F$14:$F$71)))</f>
        <v/>
      </c>
      <c r="W69" s="22">
        <f>IF(U69="SI",V69,0)</f>
        <v/>
      </c>
      <c r="X69" s="21" t="n"/>
      <c r="Y69" s="22">
        <f>IF(OR($E69=0,X$78=0),0,IF(AND(X69="N/A",$G69&lt;&gt;""),0,$F69+SUMPRODUCT(($G$14:$G$71=$A69)*($E$14:$E$71=1)*(X$14:X$71="N/A")*$F$14:$F$71)))</f>
        <v/>
      </c>
      <c r="Z69" s="22">
        <f>IF(X69="SI",Y69,0)</f>
        <v/>
      </c>
      <c r="AA69" s="22">
        <f>SUM(J69,M69,P69,S69,V69,Y69)</f>
        <v/>
      </c>
      <c r="AB69" s="22">
        <f>SUM(K69,N69,Q69,T69,W69,Z69)</f>
        <v/>
      </c>
      <c r="AC69" s="23">
        <f>IF(AA69=0,"",AB69/AA69)</f>
        <v/>
      </c>
      <c r="AD69" s="22">
        <f>CRITERIOS!Q57</f>
        <v/>
      </c>
      <c r="AE69" s="22">
        <f>IF(AND(E69=1,H69&lt;&gt;"X",((I69="N/A")+(L69="N/A")+(O69="N/A")+(R69="N/A")+(U69="N/A")+(X69="N/A"))&gt;0),"REVISAR","")</f>
        <v/>
      </c>
    </row>
    <row r="70">
      <c r="A70" s="22">
        <f>CRITERIOS!B58</f>
        <v/>
      </c>
      <c r="B70" s="22">
        <f>CRITERIOS!C58</f>
        <v/>
      </c>
      <c r="C70" s="8">
        <f>CRITERIOS!D58</f>
        <v/>
      </c>
      <c r="D70" s="22">
        <f>CRITERIOS!E58</f>
        <v/>
      </c>
      <c r="E70" s="22">
        <f>IFERROR(IF(AND(OR(CRITERIOS!F58="Todos",CRITERIOS!F58=$B$4),INDEX(CRITERIOS!H58:J58,MATCH($B$5,VARIABLES!$E$2:$E$4,0))=1),1,0),0)</f>
        <v/>
      </c>
      <c r="F70" s="22">
        <f>IFERROR(IF(E70=1,INDEX(CRITERIOS!K58:M58,MATCH($B$5,VARIABLES!$E$2:$E$4,0)),0),0)</f>
        <v/>
      </c>
      <c r="G70" s="22">
        <f>IF(CRITERIOS!N58="","",CRITERIOS!N58)</f>
        <v/>
      </c>
      <c r="H70" s="22">
        <f>IF(CRITERIOS!O58="","",CRITERIOS!O58)</f>
        <v/>
      </c>
      <c r="I70" s="21" t="n"/>
      <c r="J70" s="22">
        <f>IF(OR($E70=0,I$78=0),0,IF(AND(I70="N/A",$G70&lt;&gt;""),0,$F70+SUMPRODUCT(($G$14:$G$71=$A70)*($E$14:$E$71=1)*(I$14:I$71="N/A")*$F$14:$F$71)))</f>
        <v/>
      </c>
      <c r="K70" s="22">
        <f>IF(I70="SI",J70,0)</f>
        <v/>
      </c>
      <c r="L70" s="21" t="n"/>
      <c r="M70" s="22">
        <f>IF(OR($E70=0,L$78=0),0,IF(AND(L70="N/A",$G70&lt;&gt;""),0,$F70+SUMPRODUCT(($G$14:$G$71=$A70)*($E$14:$E$71=1)*(L$14:L$71="N/A")*$F$14:$F$71)))</f>
        <v/>
      </c>
      <c r="N70" s="22">
        <f>IF(L70="SI",M70,0)</f>
        <v/>
      </c>
      <c r="O70" s="21" t="n"/>
      <c r="P70" s="22">
        <f>IF(OR($E70=0,O$78=0),0,IF(AND(O70="N/A",$G70&lt;&gt;""),0,$F70+SUMPRODUCT(($G$14:$G$71=$A70)*($E$14:$E$71=1)*(O$14:O$71="N/A")*$F$14:$F$71)))</f>
        <v/>
      </c>
      <c r="Q70" s="22">
        <f>IF(O70="SI",P70,0)</f>
        <v/>
      </c>
      <c r="R70" s="21" t="n"/>
      <c r="S70" s="22">
        <f>IF(OR($E70=0,R$78=0),0,IF(AND(R70="N/A",$G70&lt;&gt;""),0,$F70+SUMPRODUCT(($G$14:$G$71=$A70)*($E$14:$E$71=1)*(R$14:R$71="N/A")*$F$14:$F$71)))</f>
        <v/>
      </c>
      <c r="T70" s="22">
        <f>IF(R70="SI",S70,0)</f>
        <v/>
      </c>
      <c r="U70" s="21" t="n"/>
      <c r="V70" s="22">
        <f>IF(OR($E70=0,U$78=0),0,IF(AND(U70="N/A",$G70&lt;&gt;""),0,$F70+SUMPRODUCT(($G$14:$G$71=$A70)*($E$14:$E$71=1)*(U$14:U$71="N/A")*$F$14:$F$71)))</f>
        <v/>
      </c>
      <c r="W70" s="22">
        <f>IF(U70="SI",V70,0)</f>
        <v/>
      </c>
      <c r="X70" s="21" t="n"/>
      <c r="Y70" s="22">
        <f>IF(OR($E70=0,X$78=0),0,IF(AND(X70="N/A",$G70&lt;&gt;""),0,$F70+SUMPRODUCT(($G$14:$G$71=$A70)*($E$14:$E$71=1)*(X$14:X$71="N/A")*$F$14:$F$71)))</f>
        <v/>
      </c>
      <c r="Z70" s="22">
        <f>IF(X70="SI",Y70,0)</f>
        <v/>
      </c>
      <c r="AA70" s="22">
        <f>SUM(J70,M70,P70,S70,V70,Y70)</f>
        <v/>
      </c>
      <c r="AB70" s="22">
        <f>SUM(K70,N70,Q70,T70,W70,Z70)</f>
        <v/>
      </c>
      <c r="AC70" s="23">
        <f>IF(AA70=0,"",AB70/AA70)</f>
        <v/>
      </c>
      <c r="AD70" s="22">
        <f>CRITERIOS!Q58</f>
        <v/>
      </c>
      <c r="AE70" s="22">
        <f>IF(AND(E70=1,H70&lt;&gt;"X",((I70="N/A")+(L70="N/A")+(O70="N/A")+(R70="N/A")+(U70="N/A")+(X70="N/A"))&gt;0),"REVISAR","")</f>
        <v/>
      </c>
    </row>
    <row r="71">
      <c r="A71" s="24">
        <f>CRITERIOS!B59</f>
        <v/>
      </c>
      <c r="B71" s="24">
        <f>CRITERIOS!C59</f>
        <v/>
      </c>
      <c r="C71" s="25">
        <f>CRITERIOS!D59</f>
        <v/>
      </c>
      <c r="D71" s="24">
        <f>CRITERIOS!E59</f>
        <v/>
      </c>
      <c r="E71" s="24">
        <f>IFERROR(IF(AND(OR(CRITERIOS!F59="Todos",CRITERIOS!F59=$B$4),INDEX(CRITERIOS!H59:J59,MATCH($B$5,VARIABLES!$E$2:$E$4,0))=1),1,0),0)</f>
        <v/>
      </c>
      <c r="F71" s="24">
        <f>IFERROR(IF(E71=1,INDEX(CRITERIOS!K59:M59,MATCH($B$5,VARIABLES!$E$2:$E$4,0)),0),0)</f>
        <v/>
      </c>
      <c r="G71" s="24">
        <f>IF(CRITERIOS!N59="","",CRITERIOS!N59)</f>
        <v/>
      </c>
      <c r="H71" s="24">
        <f>IF(CRITERIOS!O59="","",CRITERIOS!O59)</f>
        <v/>
      </c>
      <c r="I71" s="21" t="n"/>
      <c r="J71" s="22">
        <f>IF(OR($E71=0,I$78=0),0,IF(AND(I71="N/A",$G71&lt;&gt;""),0,$F71+SUMPRODUCT(($G$14:$G$71=$A71)*($E$14:$E$71=1)*(I$14:I$71="N/A")*$F$14:$F$71)))</f>
        <v/>
      </c>
      <c r="K71" s="22">
        <f>IF(I71="SI",J71,0)</f>
        <v/>
      </c>
      <c r="L71" s="21" t="n"/>
      <c r="M71" s="22">
        <f>IF(OR($E71=0,L$78=0),0,IF(AND(L71="N/A",$G71&lt;&gt;""),0,$F71+SUMPRODUCT(($G$14:$G$71=$A71)*($E$14:$E$71=1)*(L$14:L$71="N/A")*$F$14:$F$71)))</f>
        <v/>
      </c>
      <c r="N71" s="22">
        <f>IF(L71="SI",M71,0)</f>
        <v/>
      </c>
      <c r="O71" s="21" t="n"/>
      <c r="P71" s="22">
        <f>IF(OR($E71=0,O$78=0),0,IF(AND(O71="N/A",$G71&lt;&gt;""),0,$F71+SUMPRODUCT(($G$14:$G$71=$A71)*($E$14:$E$71=1)*(O$14:O$71="N/A")*$F$14:$F$71)))</f>
        <v/>
      </c>
      <c r="Q71" s="22">
        <f>IF(O71="SI",P71,0)</f>
        <v/>
      </c>
      <c r="R71" s="21" t="n"/>
      <c r="S71" s="22">
        <f>IF(OR($E71=0,R$78=0),0,IF(AND(R71="N/A",$G71&lt;&gt;""),0,$F71+SUMPRODUCT(($G$14:$G$71=$A71)*($E$14:$E$71=1)*(R$14:R$71="N/A")*$F$14:$F$71)))</f>
        <v/>
      </c>
      <c r="T71" s="22">
        <f>IF(R71="SI",S71,0)</f>
        <v/>
      </c>
      <c r="U71" s="21" t="n"/>
      <c r="V71" s="22">
        <f>IF(OR($E71=0,U$78=0),0,IF(AND(U71="N/A",$G71&lt;&gt;""),0,$F71+SUMPRODUCT(($G$14:$G$71=$A71)*($E$14:$E$71=1)*(U$14:U$71="N/A")*$F$14:$F$71)))</f>
        <v/>
      </c>
      <c r="W71" s="22">
        <f>IF(U71="SI",V71,0)</f>
        <v/>
      </c>
      <c r="X71" s="21" t="n"/>
      <c r="Y71" s="22">
        <f>IF(OR($E71=0,X$78=0),0,IF(AND(X71="N/A",$G71&lt;&gt;""),0,$F71+SUMPRODUCT(($G$14:$G$71=$A71)*($E$14:$E$71=1)*(X$14:X$71="N/A")*$F$14:$F$71)))</f>
        <v/>
      </c>
      <c r="Z71" s="22">
        <f>IF(X71="SI",Y71,0)</f>
        <v/>
      </c>
      <c r="AA71" s="22">
        <f>SUM(J71,M71,P71,S71,V71,Y71)</f>
        <v/>
      </c>
      <c r="AB71" s="22">
        <f>SUM(K71,N71,Q71,T71,W71,Z71)</f>
        <v/>
      </c>
      <c r="AC71" s="23">
        <f>IF(AA71=0,"",AB71/AA71)</f>
        <v/>
      </c>
      <c r="AD71" s="22">
        <f>CRITERIOS!Q59</f>
        <v/>
      </c>
      <c r="AE71" s="22">
        <f>IF(AND(E71=1,H71&lt;&gt;"X",((I71="N/A")+(L71="N/A")+(O71="N/A")+(R71="N/A")+(U71="N/A")+(X71="N/A"))&gt;0),"REVISAR","")</f>
        <v/>
      </c>
    </row>
    <row r="73">
      <c r="C73" s="4" t="inlineStr">
        <is>
          <t>Puntaje de la conversación (/100)</t>
        </is>
      </c>
      <c r="K73" s="26">
        <f>IF(I78=1,SUM(K14:K71),"")</f>
        <v/>
      </c>
      <c r="N73" s="26">
        <f>IF(L78=1,SUM(N14:N71),"")</f>
        <v/>
      </c>
      <c r="Q73" s="26">
        <f>IF(O78=1,SUM(Q14:Q71),"")</f>
        <v/>
      </c>
      <c r="T73" s="26">
        <f>IF(R78=1,SUM(T14:T71),"")</f>
        <v/>
      </c>
      <c r="W73" s="26">
        <f>IF(U78=1,SUM(W14:W71),"")</f>
        <v/>
      </c>
      <c r="Z73" s="26">
        <f>IF(X78=1,SUM(Z14:Z71),"")</f>
        <v/>
      </c>
    </row>
    <row r="74">
      <c r="C74" s="4" t="inlineStr">
        <is>
          <t>Fase I: HD con NO (1 = reprueba)</t>
        </is>
      </c>
      <c r="I74">
        <f>IF(I78=1,IF(COUNTIFS($D$14:$D$71,"Control HD",I14:I71,"NO")&gt;0,1,0),0)</f>
        <v/>
      </c>
      <c r="L74">
        <f>IF(L78=1,IF(COUNTIFS($D$14:$D$71,"Control HD",L14:L71,"NO")&gt;0,1,0),0)</f>
        <v/>
      </c>
      <c r="O74">
        <f>IF(O78=1,IF(COUNTIFS($D$14:$D$71,"Control HD",O14:O71,"NO")&gt;0,1,0),0)</f>
        <v/>
      </c>
      <c r="R74">
        <f>IF(R78=1,IF(COUNTIFS($D$14:$D$71,"Control HD",R14:R71,"NO")&gt;0,1,0),0)</f>
        <v/>
      </c>
      <c r="U74">
        <f>IF(U78=1,IF(COUNTIFS($D$14:$D$71,"Control HD",U14:U71,"NO")&gt;0,1,0),0)</f>
        <v/>
      </c>
      <c r="X74">
        <f>IF(X78=1,IF(COUNTIFS($D$14:$D$71,"Control HD",X14:X71,"NO")&gt;0,1,0),0)</f>
        <v/>
      </c>
    </row>
    <row r="75">
      <c r="C75" s="4" t="inlineStr">
        <is>
          <t>ECU con error (1 = sí)</t>
        </is>
      </c>
      <c r="I75">
        <f>IF(I78=1,IF(COUNTIFS($D$14:$D$71,"ECU",I14:I71,"NO")&gt;0,1,0),0)</f>
        <v/>
      </c>
      <c r="L75">
        <f>IF(L78=1,IF(COUNTIFS($D$14:$D$71,"ECU",L14:L71,"NO")&gt;0,1,0),0)</f>
        <v/>
      </c>
      <c r="O75">
        <f>IF(O78=1,IF(COUNTIFS($D$14:$D$71,"ECU",O14:O71,"NO")&gt;0,1,0),0)</f>
        <v/>
      </c>
      <c r="R75">
        <f>IF(R78=1,IF(COUNTIFS($D$14:$D$71,"ECU",R14:R71,"NO")&gt;0,1,0),0)</f>
        <v/>
      </c>
      <c r="U75">
        <f>IF(U78=1,IF(COUNTIFS($D$14:$D$71,"ECU",U14:U71,"NO")&gt;0,1,0),0)</f>
        <v/>
      </c>
      <c r="X75">
        <f>IF(X78=1,IF(COUNTIFS($D$14:$D$71,"ECU",X14:X71,"NO")&gt;0,1,0),0)</f>
        <v/>
      </c>
    </row>
    <row r="76">
      <c r="C76" s="4" t="inlineStr">
        <is>
          <t>ECN con error (1 = sí)</t>
        </is>
      </c>
      <c r="I76">
        <f>IF(I78=1,IF(COUNTIFS($D$14:$D$71,"ECN",I14:I71,"NO")&gt;0,1,0),0)</f>
        <v/>
      </c>
      <c r="L76">
        <f>IF(L78=1,IF(COUNTIFS($D$14:$D$71,"ECN",L14:L71,"NO")&gt;0,1,0),0)</f>
        <v/>
      </c>
      <c r="O76">
        <f>IF(O78=1,IF(COUNTIFS($D$14:$D$71,"ECN",O14:O71,"NO")&gt;0,1,0),0)</f>
        <v/>
      </c>
      <c r="R76">
        <f>IF(R78=1,IF(COUNTIFS($D$14:$D$71,"ECN",R14:R71,"NO")&gt;0,1,0),0)</f>
        <v/>
      </c>
      <c r="U76">
        <f>IF(U78=1,IF(COUNTIFS($D$14:$D$71,"ECN",U14:U71,"NO")&gt;0,1,0),0)</f>
        <v/>
      </c>
      <c r="X76">
        <f>IF(X78=1,IF(COUNTIFS($D$14:$D$71,"ECN",X14:X71,"NO")&gt;0,1,0),0)</f>
        <v/>
      </c>
    </row>
    <row r="77">
      <c r="C77" s="4" t="inlineStr">
        <is>
          <t>ECC con error (1 = sí)</t>
        </is>
      </c>
      <c r="I77">
        <f>IF(I78=1,IF(COUNTIFS($D$14:$D$71,"ECC",I14:I71,"NO")&gt;0,1,0),0)</f>
        <v/>
      </c>
      <c r="L77">
        <f>IF(L78=1,IF(COUNTIFS($D$14:$D$71,"ECC",L14:L71,"NO")&gt;0,1,0),0)</f>
        <v/>
      </c>
      <c r="O77">
        <f>IF(O78=1,IF(COUNTIFS($D$14:$D$71,"ECC",O14:O71,"NO")&gt;0,1,0),0)</f>
        <v/>
      </c>
      <c r="R77">
        <f>IF(R78=1,IF(COUNTIFS($D$14:$D$71,"ECC",R14:R71,"NO")&gt;0,1,0),0)</f>
        <v/>
      </c>
      <c r="U77">
        <f>IF(U78=1,IF(COUNTIFS($D$14:$D$71,"ECC",U14:U71,"NO")&gt;0,1,0),0)</f>
        <v/>
      </c>
      <c r="X77">
        <f>IF(X78=1,IF(COUNTIFS($D$14:$D$71,"ECC",X14:X71,"NO")&gt;0,1,0),0)</f>
        <v/>
      </c>
    </row>
    <row r="78">
      <c r="C78" s="4" t="inlineStr">
        <is>
          <t>Conversación evaluada (1 = sí)</t>
        </is>
      </c>
      <c r="I78">
        <f>IF(COUNTA(I14:I71)&gt;0,1,0)</f>
        <v/>
      </c>
      <c r="L78">
        <f>IF(COUNTA(L14:L71)&gt;0,1,0)</f>
        <v/>
      </c>
      <c r="O78">
        <f>IF(COUNTA(O14:O71)&gt;0,1,0)</f>
        <v/>
      </c>
      <c r="R78">
        <f>IF(COUNTA(R14:R71)&gt;0,1,0)</f>
        <v/>
      </c>
      <c r="U78">
        <f>IF(COUNTA(U14:U71)&gt;0,1,0)</f>
        <v/>
      </c>
      <c r="X78">
        <f>IF(COUNTA(X14:X71)&gt;0,1,0)</f>
        <v/>
      </c>
    </row>
    <row r="79">
      <c r="C79" s="4" t="inlineStr">
        <is>
          <t>Casillas aplicables sin diligenciar</t>
        </is>
      </c>
      <c r="I79">
        <f>IF(I78=1,SUMPRODUCT(($E$14:$E$71=1)*(I14:I71="")),0)</f>
        <v/>
      </c>
      <c r="L79">
        <f>IF(L78=1,SUMPRODUCT(($E$14:$E$71=1)*(L14:L71="")),0)</f>
        <v/>
      </c>
      <c r="O79">
        <f>IF(O78=1,SUMPRODUCT(($E$14:$E$71=1)*(O14:O71="")),0)</f>
        <v/>
      </c>
      <c r="R79">
        <f>IF(R78=1,SUMPRODUCT(($E$14:$E$71=1)*(R14:R71="")),0)</f>
        <v/>
      </c>
      <c r="U79">
        <f>IF(U78=1,SUMPRODUCT(($E$14:$E$71=1)*(U14:U71="")),0)</f>
        <v/>
      </c>
      <c r="X79">
        <f>IF(X78=1,SUMPRODUCT(($E$14:$E$71=1)*(X14:X71="")),0)</f>
        <v/>
      </c>
    </row>
  </sheetData>
  <mergeCells count="18">
    <mergeCell ref="X10:Z10"/>
    <mergeCell ref="I11:K11"/>
    <mergeCell ref="X11:Z11"/>
    <mergeCell ref="I10:K10"/>
    <mergeCell ref="L11:N11"/>
    <mergeCell ref="L10:N10"/>
    <mergeCell ref="R11:T11"/>
    <mergeCell ref="R10:T10"/>
    <mergeCell ref="X9:Z9"/>
    <mergeCell ref="U10:W10"/>
    <mergeCell ref="I9:K9"/>
    <mergeCell ref="O9:Q9"/>
    <mergeCell ref="L9:N9"/>
    <mergeCell ref="R9:T9"/>
    <mergeCell ref="U9:W9"/>
    <mergeCell ref="U11:W11"/>
    <mergeCell ref="O10:Q10"/>
    <mergeCell ref="O11:Q11"/>
  </mergeCells>
  <dataValidations count="5">
    <dataValidation sqref="I14:I71 L14:L71 O14:O71 R14:R71 U14:U71 X14:X71" showDropDown="0" showInputMessage="0" showErrorMessage="0" allowBlank="1" type="list">
      <formula1>"SI,NO,N/A"</formula1>
    </dataValidation>
    <dataValidation sqref="B4" showDropDown="0" showInputMessage="0" showErrorMessage="0" allowBlank="1" type="list">
      <formula1>VARIABLES!$D$2:$D$5</formula1>
    </dataValidation>
    <dataValidation sqref="B5" showDropDown="0" showInputMessage="0" showErrorMessage="0" allowBlank="1" type="list">
      <formula1>VARIABLES!$E$2:$E$4</formula1>
    </dataValidation>
    <dataValidation sqref="I11 L11 O11 R11 U11 X11" showDropDown="0" showInputMessage="0" showErrorMessage="0" allowBlank="1" type="list">
      <formula1>VARIABLES!$B$2:$B$3</formula1>
    </dataValidation>
    <dataValidation sqref="B6" showDropDown="0" showInputMessage="0" showErrorMessage="0" allowBlank="1" type="list">
      <formula1>VARIABLES!$C$2:$C$13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79"/>
  <sheetViews>
    <sheetView workbookViewId="0">
      <pane xSplit="3" ySplit="13" topLeftCell="D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60" customWidth="1" min="3" max="3"/>
    <col width="11" customWidth="1" min="4" max="4"/>
    <col outlineLevel="1" width="7" customWidth="1" min="5" max="5"/>
    <col outlineLevel="1" width="7" customWidth="1" min="6" max="6"/>
    <col outlineLevel="1" width="9" customWidth="1" min="7" max="7"/>
    <col outlineLevel="1" width="8" customWidth="1" min="8" max="8"/>
    <col width="11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11" customWidth="1" min="15" max="15"/>
    <col width="8" customWidth="1" min="16" max="16"/>
    <col width="8" customWidth="1" min="17" max="17"/>
    <col width="11" customWidth="1" min="18" max="18"/>
    <col width="8" customWidth="1" min="19" max="19"/>
    <col width="8" customWidth="1" min="20" max="20"/>
    <col width="11" customWidth="1" min="21" max="21"/>
    <col width="8" customWidth="1" min="22" max="22"/>
    <col width="8" customWidth="1" min="23" max="23"/>
    <col width="11" customWidth="1" min="24" max="24"/>
    <col width="8" customWidth="1" min="25" max="25"/>
    <col width="8" customWidth="1" min="26" max="26"/>
    <col outlineLevel="1" width="10" customWidth="1" min="27" max="27"/>
    <col outlineLevel="1" width="10" customWidth="1" min="28" max="28"/>
    <col width="10" customWidth="1" min="29" max="29"/>
    <col outlineLevel="1" width="10" customWidth="1" min="30" max="30"/>
    <col width="10" customWidth="1" min="31" max="31"/>
  </cols>
  <sheetData>
    <row r="1">
      <c r="A1" s="3" t="inlineStr">
        <is>
          <t>FORMATO DE MONITOREO COMERCIAL · PREVENTA Y VENTA</t>
        </is>
      </c>
    </row>
    <row r="3">
      <c r="A3" s="4" t="inlineStr">
        <is>
          <t>Asesor</t>
        </is>
      </c>
      <c r="B3" s="5" t="n"/>
      <c r="I3" s="4" t="inlineStr">
        <is>
          <t>Fase I (Habeas Data)</t>
        </is>
      </c>
      <c r="P3" s="16">
        <f>IF($B$7=0,"",IF(SUM(I74,L74,O74,R74,U74,X74)&gt;0,"Reprobada","Aprobada"))</f>
        <v/>
      </c>
      <c r="S3" s="4" t="inlineStr">
        <is>
          <t>ECU · % sin error</t>
        </is>
      </c>
      <c r="Z3" s="17">
        <f>IF($B$7=0,"",1-SUM(I75,L75,O75,R75,U75,X75)/$B$7)</f>
        <v/>
      </c>
    </row>
    <row r="4">
      <c r="A4" s="4" t="inlineStr">
        <is>
          <t>Canal</t>
        </is>
      </c>
      <c r="B4" s="5" t="n"/>
      <c r="I4" s="4" t="inlineStr">
        <is>
          <t>Nota /100</t>
        </is>
      </c>
      <c r="P4" s="18">
        <f>IF($B$7=0,"",IF(P3="Reprobada",0,AVERAGE(K73,N73,Q73,T73,W73,Z73)*1))</f>
        <v/>
      </c>
      <c r="S4" s="4" t="inlineStr">
        <is>
          <t>ECN · % sin error</t>
        </is>
      </c>
      <c r="Z4" s="17">
        <f>IF($B$7=0,"",1-SUM(I76,L76,O76,R76,U76,X76)/$B$7)</f>
        <v/>
      </c>
    </row>
    <row r="5">
      <c r="A5" s="4" t="inlineStr">
        <is>
          <t>Gestión</t>
        </is>
      </c>
      <c r="B5" s="5" t="n"/>
      <c r="I5" s="4" t="inlineStr">
        <is>
          <t>Nota /300</t>
        </is>
      </c>
      <c r="P5" s="18">
        <f>IF(P4="","",P4*3)</f>
        <v/>
      </c>
      <c r="S5" s="4" t="inlineStr">
        <is>
          <t>ECC · % sin error</t>
        </is>
      </c>
      <c r="Z5" s="17">
        <f>IF($B$7=0,"",1-SUM(I77,L77,O77,R77,U77,X77)/$B$7)</f>
        <v/>
      </c>
    </row>
    <row r="6">
      <c r="A6" s="4" t="inlineStr">
        <is>
          <t>Mes</t>
        </is>
      </c>
      <c r="B6" s="5" t="n"/>
      <c r="I6" s="4" t="inlineStr">
        <is>
          <t>Nivel</t>
        </is>
      </c>
      <c r="P6" s="16">
        <f>IF(P4="","",IF(P3="Reprobada","Crítico",LOOKUP(P4/100,'TABLA GENERAL'!$I$7:$I$10,'TABLA GENERAL'!$F$7:$F$10)))</f>
        <v/>
      </c>
      <c r="S6" s="4" t="inlineStr">
        <is>
          <t>Alerta Dirección</t>
        </is>
      </c>
      <c r="Z6" s="16">
        <f>IF($B$7=0,"",IF(SUMPRODUCT($AD$14:$AD$71*((I14:I71="NO")+(L14:L71="NO")+(O14:O71="NO")+(R14:R71="NO")+(U14:U71="NO")+(X14:X71="NO")))&gt;0,"SÍ - reportar","No"))</f>
        <v/>
      </c>
    </row>
    <row r="7">
      <c r="A7" s="4" t="inlineStr">
        <is>
          <t>Conversaciones evaluadas</t>
        </is>
      </c>
      <c r="B7">
        <f>SUM(I78,L78,O78,R78,U78,X78)</f>
        <v/>
      </c>
      <c r="I7" s="4" t="inlineStr">
        <is>
          <t>Estado</t>
        </is>
      </c>
      <c r="P7" s="16">
        <f>IF(P4="","",IF(P3="Reprobada","Reprobado",IF(P4/100&gt;='TABLA GENERAL'!$C$21,"Aprobado","Plan de acción")))</f>
        <v/>
      </c>
      <c r="S7" s="4" t="inlineStr">
        <is>
          <t>Casillas por revisar</t>
        </is>
      </c>
      <c r="Z7" s="16">
        <f>SUM(I79,L79,O79,R79,U79,X79)+COUNTIF(AE14:AE71,"REVISAR")</f>
        <v/>
      </c>
    </row>
    <row r="9">
      <c r="I9" s="6" t="inlineStr">
        <is>
          <t>Conversación 1</t>
        </is>
      </c>
      <c r="L9" s="6" t="inlineStr">
        <is>
          <t>Conversación 2</t>
        </is>
      </c>
      <c r="O9" s="6" t="inlineStr">
        <is>
          <t>Conversación 3</t>
        </is>
      </c>
      <c r="R9" s="6" t="inlineStr">
        <is>
          <t>Conversación 4</t>
        </is>
      </c>
      <c r="U9" s="6" t="inlineStr">
        <is>
          <t>Conversación 5</t>
        </is>
      </c>
      <c r="X9" s="6" t="inlineStr">
        <is>
          <t>Conversación 6</t>
        </is>
      </c>
    </row>
    <row r="10">
      <c r="C10" s="4" t="inlineStr">
        <is>
          <t>Fecha / ID de la conversación</t>
        </is>
      </c>
      <c r="I10" s="5" t="n"/>
      <c r="L10" s="5" t="n"/>
      <c r="O10" s="5" t="n"/>
      <c r="R10" s="5" t="n"/>
      <c r="U10" s="5" t="n"/>
      <c r="X10" s="5" t="n"/>
    </row>
    <row r="11">
      <c r="C11" s="4" t="inlineStr">
        <is>
          <t>Modalidad</t>
        </is>
      </c>
      <c r="I11" s="5" t="n"/>
      <c r="L11" s="5" t="n"/>
      <c r="O11" s="5" t="n"/>
      <c r="R11" s="5" t="n"/>
      <c r="U11" s="5" t="n"/>
      <c r="X11" s="5" t="n"/>
    </row>
    <row r="13" ht="32" customHeight="1">
      <c r="A13" s="6" t="inlineStr">
        <is>
          <t>Código</t>
        </is>
      </c>
      <c r="B13" s="6" t="inlineStr">
        <is>
          <t>Dimensión</t>
        </is>
      </c>
      <c r="C13" s="6" t="inlineStr">
        <is>
          <t>Descripción</t>
        </is>
      </c>
      <c r="D13" s="6" t="inlineStr">
        <is>
          <t>Tipo</t>
        </is>
      </c>
      <c r="E13" s="6" t="inlineStr">
        <is>
          <t>Aplica</t>
        </is>
      </c>
      <c r="F13" s="6" t="inlineStr">
        <is>
          <t>Peso base</t>
        </is>
      </c>
      <c r="G13" s="6" t="inlineStr">
        <is>
          <t>Receptor N/A</t>
        </is>
      </c>
      <c r="H13" s="6" t="inlineStr">
        <is>
          <t>Admite N/A</t>
        </is>
      </c>
      <c r="I13" s="6" t="inlineStr">
        <is>
          <t>Resultado</t>
        </is>
      </c>
      <c r="J13" s="6" t="inlineStr">
        <is>
          <t>Peso estab.</t>
        </is>
      </c>
      <c r="K13" s="6" t="inlineStr">
        <is>
          <t>Peso logrado</t>
        </is>
      </c>
      <c r="L13" s="6" t="inlineStr">
        <is>
          <t>Resultado</t>
        </is>
      </c>
      <c r="M13" s="6" t="inlineStr">
        <is>
          <t>Peso estab.</t>
        </is>
      </c>
      <c r="N13" s="6" t="inlineStr">
        <is>
          <t>Peso logrado</t>
        </is>
      </c>
      <c r="O13" s="6" t="inlineStr">
        <is>
          <t>Resultado</t>
        </is>
      </c>
      <c r="P13" s="6" t="inlineStr">
        <is>
          <t>Peso estab.</t>
        </is>
      </c>
      <c r="Q13" s="6" t="inlineStr">
        <is>
          <t>Peso logrado</t>
        </is>
      </c>
      <c r="R13" s="6" t="inlineStr">
        <is>
          <t>Resultado</t>
        </is>
      </c>
      <c r="S13" s="6" t="inlineStr">
        <is>
          <t>Peso estab.</t>
        </is>
      </c>
      <c r="T13" s="6" t="inlineStr">
        <is>
          <t>Peso logrado</t>
        </is>
      </c>
      <c r="U13" s="6" t="inlineStr">
        <is>
          <t>Resultado</t>
        </is>
      </c>
      <c r="V13" s="6" t="inlineStr">
        <is>
          <t>Peso estab.</t>
        </is>
      </c>
      <c r="W13" s="6" t="inlineStr">
        <is>
          <t>Peso logrado</t>
        </is>
      </c>
      <c r="X13" s="6" t="inlineStr">
        <is>
          <t>Resultado</t>
        </is>
      </c>
      <c r="Y13" s="6" t="inlineStr">
        <is>
          <t>Peso estab.</t>
        </is>
      </c>
      <c r="Z13" s="6" t="inlineStr">
        <is>
          <t>Peso logrado</t>
        </is>
      </c>
      <c r="AA13" s="6" t="inlineStr">
        <is>
          <t>Σ peso estab.</t>
        </is>
      </c>
      <c r="AB13" s="6" t="inlineStr">
        <is>
          <t>Σ peso logrado</t>
        </is>
      </c>
      <c r="AC13" s="6" t="inlineStr">
        <is>
          <t>% cumplimiento</t>
        </is>
      </c>
      <c r="AD13" s="6" t="inlineStr">
        <is>
          <t>Alerta</t>
        </is>
      </c>
      <c r="AE13" s="6" t="inlineStr">
        <is>
          <t>Validación</t>
        </is>
      </c>
    </row>
    <row r="14">
      <c r="A14" s="19">
        <f>CRITERIOS!B2</f>
        <v/>
      </c>
      <c r="B14" s="19">
        <f>CRITERIOS!C2</f>
        <v/>
      </c>
      <c r="C14" s="20">
        <f>CRITERIOS!D2</f>
        <v/>
      </c>
      <c r="D14" s="19">
        <f>CRITERIOS!E2</f>
        <v/>
      </c>
      <c r="E14" s="19">
        <f>IFERROR(IF(AND(OR(CRITERIOS!F2="Todos",CRITERIOS!F2=$B$4),INDEX(CRITERIOS!H2:J2,MATCH($B$5,VARIABLES!$E$2:$E$4,0))=1),1,0),0)</f>
        <v/>
      </c>
      <c r="F14" s="19">
        <f>IFERROR(IF(E14=1,INDEX(CRITERIOS!K2:M2,MATCH($B$5,VARIABLES!$E$2:$E$4,0)),0),0)</f>
        <v/>
      </c>
      <c r="G14" s="19">
        <f>IF(CRITERIOS!N2="","",CRITERIOS!N2)</f>
        <v/>
      </c>
      <c r="H14" s="19">
        <f>IF(CRITERIOS!O2="","",CRITERIOS!O2)</f>
        <v/>
      </c>
      <c r="I14" s="21" t="n"/>
      <c r="J14" s="22">
        <f>IF(OR($E14=0,I$78=0),0,IF(AND(I14="N/A",$G14&lt;&gt;""),0,$F14+SUMPRODUCT(($G$14:$G$71=$A14)*($E$14:$E$71=1)*(I$14:I$71="N/A")*$F$14:$F$71)))</f>
        <v/>
      </c>
      <c r="K14" s="22">
        <f>IF(I14="SI",J14,0)</f>
        <v/>
      </c>
      <c r="L14" s="21" t="n"/>
      <c r="M14" s="22">
        <f>IF(OR($E14=0,L$78=0),0,IF(AND(L14="N/A",$G14&lt;&gt;""),0,$F14+SUMPRODUCT(($G$14:$G$71=$A14)*($E$14:$E$71=1)*(L$14:L$71="N/A")*$F$14:$F$71)))</f>
        <v/>
      </c>
      <c r="N14" s="22">
        <f>IF(L14="SI",M14,0)</f>
        <v/>
      </c>
      <c r="O14" s="21" t="n"/>
      <c r="P14" s="22">
        <f>IF(OR($E14=0,O$78=0),0,IF(AND(O14="N/A",$G14&lt;&gt;""),0,$F14+SUMPRODUCT(($G$14:$G$71=$A14)*($E$14:$E$71=1)*(O$14:O$71="N/A")*$F$14:$F$71)))</f>
        <v/>
      </c>
      <c r="Q14" s="22">
        <f>IF(O14="SI",P14,0)</f>
        <v/>
      </c>
      <c r="R14" s="21" t="n"/>
      <c r="S14" s="22">
        <f>IF(OR($E14=0,R$78=0),0,IF(AND(R14="N/A",$G14&lt;&gt;""),0,$F14+SUMPRODUCT(($G$14:$G$71=$A14)*($E$14:$E$71=1)*(R$14:R$71="N/A")*$F$14:$F$71)))</f>
        <v/>
      </c>
      <c r="T14" s="22">
        <f>IF(R14="SI",S14,0)</f>
        <v/>
      </c>
      <c r="U14" s="21" t="n"/>
      <c r="V14" s="22">
        <f>IF(OR($E14=0,U$78=0),0,IF(AND(U14="N/A",$G14&lt;&gt;""),0,$F14+SUMPRODUCT(($G$14:$G$71=$A14)*($E$14:$E$71=1)*(U$14:U$71="N/A")*$F$14:$F$71)))</f>
        <v/>
      </c>
      <c r="W14" s="22">
        <f>IF(U14="SI",V14,0)</f>
        <v/>
      </c>
      <c r="X14" s="21" t="n"/>
      <c r="Y14" s="22">
        <f>IF(OR($E14=0,X$78=0),0,IF(AND(X14="N/A",$G14&lt;&gt;""),0,$F14+SUMPRODUCT(($G$14:$G$71=$A14)*($E$14:$E$71=1)*(X$14:X$71="N/A")*$F$14:$F$71)))</f>
        <v/>
      </c>
      <c r="Z14" s="22">
        <f>IF(X14="SI",Y14,0)</f>
        <v/>
      </c>
      <c r="AA14" s="22">
        <f>SUM(J14,M14,P14,S14,V14,Y14)</f>
        <v/>
      </c>
      <c r="AB14" s="22">
        <f>SUM(K14,N14,Q14,T14,W14,Z14)</f>
        <v/>
      </c>
      <c r="AC14" s="23">
        <f>IF(AA14=0,"",AB14/AA14)</f>
        <v/>
      </c>
      <c r="AD14" s="22">
        <f>CRITERIOS!Q2</f>
        <v/>
      </c>
      <c r="AE14" s="22">
        <f>IF(AND(E14=1,H14&lt;&gt;"X",((I14="N/A")+(L14="N/A")+(O14="N/A")+(R14="N/A")+(U14="N/A")+(X14="N/A"))&gt;0),"REVISAR","")</f>
        <v/>
      </c>
    </row>
    <row r="15">
      <c r="A15" s="19">
        <f>CRITERIOS!B3</f>
        <v/>
      </c>
      <c r="B15" s="19">
        <f>CRITERIOS!C3</f>
        <v/>
      </c>
      <c r="C15" s="20">
        <f>CRITERIOS!D3</f>
        <v/>
      </c>
      <c r="D15" s="19">
        <f>CRITERIOS!E3</f>
        <v/>
      </c>
      <c r="E15" s="19">
        <f>IFERROR(IF(AND(OR(CRITERIOS!F3="Todos",CRITERIOS!F3=$B$4),INDEX(CRITERIOS!H3:J3,MATCH($B$5,VARIABLES!$E$2:$E$4,0))=1),1,0),0)</f>
        <v/>
      </c>
      <c r="F15" s="19">
        <f>IFERROR(IF(E15=1,INDEX(CRITERIOS!K3:M3,MATCH($B$5,VARIABLES!$E$2:$E$4,0)),0),0)</f>
        <v/>
      </c>
      <c r="G15" s="19">
        <f>IF(CRITERIOS!N3="","",CRITERIOS!N3)</f>
        <v/>
      </c>
      <c r="H15" s="19">
        <f>IF(CRITERIOS!O3="","",CRITERIOS!O3)</f>
        <v/>
      </c>
      <c r="I15" s="21" t="n"/>
      <c r="J15" s="22">
        <f>IF(OR($E15=0,I$78=0),0,IF(AND(I15="N/A",$G15&lt;&gt;""),0,$F15+SUMPRODUCT(($G$14:$G$71=$A15)*($E$14:$E$71=1)*(I$14:I$71="N/A")*$F$14:$F$71)))</f>
        <v/>
      </c>
      <c r="K15" s="22">
        <f>IF(I15="SI",J15,0)</f>
        <v/>
      </c>
      <c r="L15" s="21" t="n"/>
      <c r="M15" s="22">
        <f>IF(OR($E15=0,L$78=0),0,IF(AND(L15="N/A",$G15&lt;&gt;""),0,$F15+SUMPRODUCT(($G$14:$G$71=$A15)*($E$14:$E$71=1)*(L$14:L$71="N/A")*$F$14:$F$71)))</f>
        <v/>
      </c>
      <c r="N15" s="22">
        <f>IF(L15="SI",M15,0)</f>
        <v/>
      </c>
      <c r="O15" s="21" t="n"/>
      <c r="P15" s="22">
        <f>IF(OR($E15=0,O$78=0),0,IF(AND(O15="N/A",$G15&lt;&gt;""),0,$F15+SUMPRODUCT(($G$14:$G$71=$A15)*($E$14:$E$71=1)*(O$14:O$71="N/A")*$F$14:$F$71)))</f>
        <v/>
      </c>
      <c r="Q15" s="22">
        <f>IF(O15="SI",P15,0)</f>
        <v/>
      </c>
      <c r="R15" s="21" t="n"/>
      <c r="S15" s="22">
        <f>IF(OR($E15=0,R$78=0),0,IF(AND(R15="N/A",$G15&lt;&gt;""),0,$F15+SUMPRODUCT(($G$14:$G$71=$A15)*($E$14:$E$71=1)*(R$14:R$71="N/A")*$F$14:$F$71)))</f>
        <v/>
      </c>
      <c r="T15" s="22">
        <f>IF(R15="SI",S15,0)</f>
        <v/>
      </c>
      <c r="U15" s="21" t="n"/>
      <c r="V15" s="22">
        <f>IF(OR($E15=0,U$78=0),0,IF(AND(U15="N/A",$G15&lt;&gt;""),0,$F15+SUMPRODUCT(($G$14:$G$71=$A15)*($E$14:$E$71=1)*(U$14:U$71="N/A")*$F$14:$F$71)))</f>
        <v/>
      </c>
      <c r="W15" s="22">
        <f>IF(U15="SI",V15,0)</f>
        <v/>
      </c>
      <c r="X15" s="21" t="n"/>
      <c r="Y15" s="22">
        <f>IF(OR($E15=0,X$78=0),0,IF(AND(X15="N/A",$G15&lt;&gt;""),0,$F15+SUMPRODUCT(($G$14:$G$71=$A15)*($E$14:$E$71=1)*(X$14:X$71="N/A")*$F$14:$F$71)))</f>
        <v/>
      </c>
      <c r="Z15" s="22">
        <f>IF(X15="SI",Y15,0)</f>
        <v/>
      </c>
      <c r="AA15" s="22">
        <f>SUM(J15,M15,P15,S15,V15,Y15)</f>
        <v/>
      </c>
      <c r="AB15" s="22">
        <f>SUM(K15,N15,Q15,T15,W15,Z15)</f>
        <v/>
      </c>
      <c r="AC15" s="23">
        <f>IF(AA15=0,"",AB15/AA15)</f>
        <v/>
      </c>
      <c r="AD15" s="22">
        <f>CRITERIOS!Q3</f>
        <v/>
      </c>
      <c r="AE15" s="22">
        <f>IF(AND(E15=1,H15&lt;&gt;"X",((I15="N/A")+(L15="N/A")+(O15="N/A")+(R15="N/A")+(U15="N/A")+(X15="N/A"))&gt;0),"REVISAR","")</f>
        <v/>
      </c>
    </row>
    <row r="16">
      <c r="A16" s="19">
        <f>CRITERIOS!B4</f>
        <v/>
      </c>
      <c r="B16" s="19">
        <f>CRITERIOS!C4</f>
        <v/>
      </c>
      <c r="C16" s="20">
        <f>CRITERIOS!D4</f>
        <v/>
      </c>
      <c r="D16" s="19">
        <f>CRITERIOS!E4</f>
        <v/>
      </c>
      <c r="E16" s="19">
        <f>IFERROR(IF(AND(OR(CRITERIOS!F4="Todos",CRITERIOS!F4=$B$4),INDEX(CRITERIOS!H4:J4,MATCH($B$5,VARIABLES!$E$2:$E$4,0))=1),1,0),0)</f>
        <v/>
      </c>
      <c r="F16" s="19">
        <f>IFERROR(IF(E16=1,INDEX(CRITERIOS!K4:M4,MATCH($B$5,VARIABLES!$E$2:$E$4,0)),0),0)</f>
        <v/>
      </c>
      <c r="G16" s="19">
        <f>IF(CRITERIOS!N4="","",CRITERIOS!N4)</f>
        <v/>
      </c>
      <c r="H16" s="19">
        <f>IF(CRITERIOS!O4="","",CRITERIOS!O4)</f>
        <v/>
      </c>
      <c r="I16" s="21" t="n"/>
      <c r="J16" s="22">
        <f>IF(OR($E16=0,I$78=0),0,IF(AND(I16="N/A",$G16&lt;&gt;""),0,$F16+SUMPRODUCT(($G$14:$G$71=$A16)*($E$14:$E$71=1)*(I$14:I$71="N/A")*$F$14:$F$71)))</f>
        <v/>
      </c>
      <c r="K16" s="22">
        <f>IF(I16="SI",J16,0)</f>
        <v/>
      </c>
      <c r="L16" s="21" t="n"/>
      <c r="M16" s="22">
        <f>IF(OR($E16=0,L$78=0),0,IF(AND(L16="N/A",$G16&lt;&gt;""),0,$F16+SUMPRODUCT(($G$14:$G$71=$A16)*($E$14:$E$71=1)*(L$14:L$71="N/A")*$F$14:$F$71)))</f>
        <v/>
      </c>
      <c r="N16" s="22">
        <f>IF(L16="SI",M16,0)</f>
        <v/>
      </c>
      <c r="O16" s="21" t="n"/>
      <c r="P16" s="22">
        <f>IF(OR($E16=0,O$78=0),0,IF(AND(O16="N/A",$G16&lt;&gt;""),0,$F16+SUMPRODUCT(($G$14:$G$71=$A16)*($E$14:$E$71=1)*(O$14:O$71="N/A")*$F$14:$F$71)))</f>
        <v/>
      </c>
      <c r="Q16" s="22">
        <f>IF(O16="SI",P16,0)</f>
        <v/>
      </c>
      <c r="R16" s="21" t="n"/>
      <c r="S16" s="22">
        <f>IF(OR($E16=0,R$78=0),0,IF(AND(R16="N/A",$G16&lt;&gt;""),0,$F16+SUMPRODUCT(($G$14:$G$71=$A16)*($E$14:$E$71=1)*(R$14:R$71="N/A")*$F$14:$F$71)))</f>
        <v/>
      </c>
      <c r="T16" s="22">
        <f>IF(R16="SI",S16,0)</f>
        <v/>
      </c>
      <c r="U16" s="21" t="n"/>
      <c r="V16" s="22">
        <f>IF(OR($E16=0,U$78=0),0,IF(AND(U16="N/A",$G16&lt;&gt;""),0,$F16+SUMPRODUCT(($G$14:$G$71=$A16)*($E$14:$E$71=1)*(U$14:U$71="N/A")*$F$14:$F$71)))</f>
        <v/>
      </c>
      <c r="W16" s="22">
        <f>IF(U16="SI",V16,0)</f>
        <v/>
      </c>
      <c r="X16" s="21" t="n"/>
      <c r="Y16" s="22">
        <f>IF(OR($E16=0,X$78=0),0,IF(AND(X16="N/A",$G16&lt;&gt;""),0,$F16+SUMPRODUCT(($G$14:$G$71=$A16)*($E$14:$E$71=1)*(X$14:X$71="N/A")*$F$14:$F$71)))</f>
        <v/>
      </c>
      <c r="Z16" s="22">
        <f>IF(X16="SI",Y16,0)</f>
        <v/>
      </c>
      <c r="AA16" s="22">
        <f>SUM(J16,M16,P16,S16,V16,Y16)</f>
        <v/>
      </c>
      <c r="AB16" s="22">
        <f>SUM(K16,N16,Q16,T16,W16,Z16)</f>
        <v/>
      </c>
      <c r="AC16" s="23">
        <f>IF(AA16=0,"",AB16/AA16)</f>
        <v/>
      </c>
      <c r="AD16" s="22">
        <f>CRITERIOS!Q4</f>
        <v/>
      </c>
      <c r="AE16" s="22">
        <f>IF(AND(E16=1,H16&lt;&gt;"X",((I16="N/A")+(L16="N/A")+(O16="N/A")+(R16="N/A")+(U16="N/A")+(X16="N/A"))&gt;0),"REVISAR","")</f>
        <v/>
      </c>
    </row>
    <row r="17">
      <c r="A17" s="19">
        <f>CRITERIOS!B5</f>
        <v/>
      </c>
      <c r="B17" s="19">
        <f>CRITERIOS!C5</f>
        <v/>
      </c>
      <c r="C17" s="20">
        <f>CRITERIOS!D5</f>
        <v/>
      </c>
      <c r="D17" s="19">
        <f>CRITERIOS!E5</f>
        <v/>
      </c>
      <c r="E17" s="19">
        <f>IFERROR(IF(AND(OR(CRITERIOS!F5="Todos",CRITERIOS!F5=$B$4),INDEX(CRITERIOS!H5:J5,MATCH($B$5,VARIABLES!$E$2:$E$4,0))=1),1,0),0)</f>
        <v/>
      </c>
      <c r="F17" s="19">
        <f>IFERROR(IF(E17=1,INDEX(CRITERIOS!K5:M5,MATCH($B$5,VARIABLES!$E$2:$E$4,0)),0),0)</f>
        <v/>
      </c>
      <c r="G17" s="19">
        <f>IF(CRITERIOS!N5="","",CRITERIOS!N5)</f>
        <v/>
      </c>
      <c r="H17" s="19">
        <f>IF(CRITERIOS!O5="","",CRITERIOS!O5)</f>
        <v/>
      </c>
      <c r="I17" s="21" t="n"/>
      <c r="J17" s="22">
        <f>IF(OR($E17=0,I$78=0),0,IF(AND(I17="N/A",$G17&lt;&gt;""),0,$F17+SUMPRODUCT(($G$14:$G$71=$A17)*($E$14:$E$71=1)*(I$14:I$71="N/A")*$F$14:$F$71)))</f>
        <v/>
      </c>
      <c r="K17" s="22">
        <f>IF(I17="SI",J17,0)</f>
        <v/>
      </c>
      <c r="L17" s="21" t="n"/>
      <c r="M17" s="22">
        <f>IF(OR($E17=0,L$78=0),0,IF(AND(L17="N/A",$G17&lt;&gt;""),0,$F17+SUMPRODUCT(($G$14:$G$71=$A17)*($E$14:$E$71=1)*(L$14:L$71="N/A")*$F$14:$F$71)))</f>
        <v/>
      </c>
      <c r="N17" s="22">
        <f>IF(L17="SI",M17,0)</f>
        <v/>
      </c>
      <c r="O17" s="21" t="n"/>
      <c r="P17" s="22">
        <f>IF(OR($E17=0,O$78=0),0,IF(AND(O17="N/A",$G17&lt;&gt;""),0,$F17+SUMPRODUCT(($G$14:$G$71=$A17)*($E$14:$E$71=1)*(O$14:O$71="N/A")*$F$14:$F$71)))</f>
        <v/>
      </c>
      <c r="Q17" s="22">
        <f>IF(O17="SI",P17,0)</f>
        <v/>
      </c>
      <c r="R17" s="21" t="n"/>
      <c r="S17" s="22">
        <f>IF(OR($E17=0,R$78=0),0,IF(AND(R17="N/A",$G17&lt;&gt;""),0,$F17+SUMPRODUCT(($G$14:$G$71=$A17)*($E$14:$E$71=1)*(R$14:R$71="N/A")*$F$14:$F$71)))</f>
        <v/>
      </c>
      <c r="T17" s="22">
        <f>IF(R17="SI",S17,0)</f>
        <v/>
      </c>
      <c r="U17" s="21" t="n"/>
      <c r="V17" s="22">
        <f>IF(OR($E17=0,U$78=0),0,IF(AND(U17="N/A",$G17&lt;&gt;""),0,$F17+SUMPRODUCT(($G$14:$G$71=$A17)*($E$14:$E$71=1)*(U$14:U$71="N/A")*$F$14:$F$71)))</f>
        <v/>
      </c>
      <c r="W17" s="22">
        <f>IF(U17="SI",V17,0)</f>
        <v/>
      </c>
      <c r="X17" s="21" t="n"/>
      <c r="Y17" s="22">
        <f>IF(OR($E17=0,X$78=0),0,IF(AND(X17="N/A",$G17&lt;&gt;""),0,$F17+SUMPRODUCT(($G$14:$G$71=$A17)*($E$14:$E$71=1)*(X$14:X$71="N/A")*$F$14:$F$71)))</f>
        <v/>
      </c>
      <c r="Z17" s="22">
        <f>IF(X17="SI",Y17,0)</f>
        <v/>
      </c>
      <c r="AA17" s="22">
        <f>SUM(J17,M17,P17,S17,V17,Y17)</f>
        <v/>
      </c>
      <c r="AB17" s="22">
        <f>SUM(K17,N17,Q17,T17,W17,Z17)</f>
        <v/>
      </c>
      <c r="AC17" s="23">
        <f>IF(AA17=0,"",AB17/AA17)</f>
        <v/>
      </c>
      <c r="AD17" s="22">
        <f>CRITERIOS!Q5</f>
        <v/>
      </c>
      <c r="AE17" s="22">
        <f>IF(AND(E17=1,H17&lt;&gt;"X",((I17="N/A")+(L17="N/A")+(O17="N/A")+(R17="N/A")+(U17="N/A")+(X17="N/A"))&gt;0),"REVISAR","")</f>
        <v/>
      </c>
    </row>
    <row r="18">
      <c r="A18" s="19">
        <f>CRITERIOS!B6</f>
        <v/>
      </c>
      <c r="B18" s="19">
        <f>CRITERIOS!C6</f>
        <v/>
      </c>
      <c r="C18" s="20">
        <f>CRITERIOS!D6</f>
        <v/>
      </c>
      <c r="D18" s="19">
        <f>CRITERIOS!E6</f>
        <v/>
      </c>
      <c r="E18" s="19">
        <f>IFERROR(IF(AND(OR(CRITERIOS!F6="Todos",CRITERIOS!F6=$B$4),INDEX(CRITERIOS!H6:J6,MATCH($B$5,VARIABLES!$E$2:$E$4,0))=1),1,0),0)</f>
        <v/>
      </c>
      <c r="F18" s="19">
        <f>IFERROR(IF(E18=1,INDEX(CRITERIOS!K6:M6,MATCH($B$5,VARIABLES!$E$2:$E$4,0)),0),0)</f>
        <v/>
      </c>
      <c r="G18" s="19">
        <f>IF(CRITERIOS!N6="","",CRITERIOS!N6)</f>
        <v/>
      </c>
      <c r="H18" s="19">
        <f>IF(CRITERIOS!O6="","",CRITERIOS!O6)</f>
        <v/>
      </c>
      <c r="I18" s="21" t="n"/>
      <c r="J18" s="22">
        <f>IF(OR($E18=0,I$78=0),0,IF(AND(I18="N/A",$G18&lt;&gt;""),0,$F18+SUMPRODUCT(($G$14:$G$71=$A18)*($E$14:$E$71=1)*(I$14:I$71="N/A")*$F$14:$F$71)))</f>
        <v/>
      </c>
      <c r="K18" s="22">
        <f>IF(I18="SI",J18,0)</f>
        <v/>
      </c>
      <c r="L18" s="21" t="n"/>
      <c r="M18" s="22">
        <f>IF(OR($E18=0,L$78=0),0,IF(AND(L18="N/A",$G18&lt;&gt;""),0,$F18+SUMPRODUCT(($G$14:$G$71=$A18)*($E$14:$E$71=1)*(L$14:L$71="N/A")*$F$14:$F$71)))</f>
        <v/>
      </c>
      <c r="N18" s="22">
        <f>IF(L18="SI",M18,0)</f>
        <v/>
      </c>
      <c r="O18" s="21" t="n"/>
      <c r="P18" s="22">
        <f>IF(OR($E18=0,O$78=0),0,IF(AND(O18="N/A",$G18&lt;&gt;""),0,$F18+SUMPRODUCT(($G$14:$G$71=$A18)*($E$14:$E$71=1)*(O$14:O$71="N/A")*$F$14:$F$71)))</f>
        <v/>
      </c>
      <c r="Q18" s="22">
        <f>IF(O18="SI",P18,0)</f>
        <v/>
      </c>
      <c r="R18" s="21" t="n"/>
      <c r="S18" s="22">
        <f>IF(OR($E18=0,R$78=0),0,IF(AND(R18="N/A",$G18&lt;&gt;""),0,$F18+SUMPRODUCT(($G$14:$G$71=$A18)*($E$14:$E$71=1)*(R$14:R$71="N/A")*$F$14:$F$71)))</f>
        <v/>
      </c>
      <c r="T18" s="22">
        <f>IF(R18="SI",S18,0)</f>
        <v/>
      </c>
      <c r="U18" s="21" t="n"/>
      <c r="V18" s="22">
        <f>IF(OR($E18=0,U$78=0),0,IF(AND(U18="N/A",$G18&lt;&gt;""),0,$F18+SUMPRODUCT(($G$14:$G$71=$A18)*($E$14:$E$71=1)*(U$14:U$71="N/A")*$F$14:$F$71)))</f>
        <v/>
      </c>
      <c r="W18" s="22">
        <f>IF(U18="SI",V18,0)</f>
        <v/>
      </c>
      <c r="X18" s="21" t="n"/>
      <c r="Y18" s="22">
        <f>IF(OR($E18=0,X$78=0),0,IF(AND(X18="N/A",$G18&lt;&gt;""),0,$F18+SUMPRODUCT(($G$14:$G$71=$A18)*($E$14:$E$71=1)*(X$14:X$71="N/A")*$F$14:$F$71)))</f>
        <v/>
      </c>
      <c r="Z18" s="22">
        <f>IF(X18="SI",Y18,0)</f>
        <v/>
      </c>
      <c r="AA18" s="22">
        <f>SUM(J18,M18,P18,S18,V18,Y18)</f>
        <v/>
      </c>
      <c r="AB18" s="22">
        <f>SUM(K18,N18,Q18,T18,W18,Z18)</f>
        <v/>
      </c>
      <c r="AC18" s="23">
        <f>IF(AA18=0,"",AB18/AA18)</f>
        <v/>
      </c>
      <c r="AD18" s="22">
        <f>CRITERIOS!Q6</f>
        <v/>
      </c>
      <c r="AE18" s="22">
        <f>IF(AND(E18=1,H18&lt;&gt;"X",((I18="N/A")+(L18="N/A")+(O18="N/A")+(R18="N/A")+(U18="N/A")+(X18="N/A"))&gt;0),"REVISAR","")</f>
        <v/>
      </c>
    </row>
    <row r="19">
      <c r="A19" s="19">
        <f>CRITERIOS!B7</f>
        <v/>
      </c>
      <c r="B19" s="19">
        <f>CRITERIOS!C7</f>
        <v/>
      </c>
      <c r="C19" s="20">
        <f>CRITERIOS!D7</f>
        <v/>
      </c>
      <c r="D19" s="19">
        <f>CRITERIOS!E7</f>
        <v/>
      </c>
      <c r="E19" s="19">
        <f>IFERROR(IF(AND(OR(CRITERIOS!F7="Todos",CRITERIOS!F7=$B$4),INDEX(CRITERIOS!H7:J7,MATCH($B$5,VARIABLES!$E$2:$E$4,0))=1),1,0),0)</f>
        <v/>
      </c>
      <c r="F19" s="19">
        <f>IFERROR(IF(E19=1,INDEX(CRITERIOS!K7:M7,MATCH($B$5,VARIABLES!$E$2:$E$4,0)),0),0)</f>
        <v/>
      </c>
      <c r="G19" s="19">
        <f>IF(CRITERIOS!N7="","",CRITERIOS!N7)</f>
        <v/>
      </c>
      <c r="H19" s="19">
        <f>IF(CRITERIOS!O7="","",CRITERIOS!O7)</f>
        <v/>
      </c>
      <c r="I19" s="21" t="n"/>
      <c r="J19" s="22">
        <f>IF(OR($E19=0,I$78=0),0,IF(AND(I19="N/A",$G19&lt;&gt;""),0,$F19+SUMPRODUCT(($G$14:$G$71=$A19)*($E$14:$E$71=1)*(I$14:I$71="N/A")*$F$14:$F$71)))</f>
        <v/>
      </c>
      <c r="K19" s="22">
        <f>IF(I19="SI",J19,0)</f>
        <v/>
      </c>
      <c r="L19" s="21" t="n"/>
      <c r="M19" s="22">
        <f>IF(OR($E19=0,L$78=0),0,IF(AND(L19="N/A",$G19&lt;&gt;""),0,$F19+SUMPRODUCT(($G$14:$G$71=$A19)*($E$14:$E$71=1)*(L$14:L$71="N/A")*$F$14:$F$71)))</f>
        <v/>
      </c>
      <c r="N19" s="22">
        <f>IF(L19="SI",M19,0)</f>
        <v/>
      </c>
      <c r="O19" s="21" t="n"/>
      <c r="P19" s="22">
        <f>IF(OR($E19=0,O$78=0),0,IF(AND(O19="N/A",$G19&lt;&gt;""),0,$F19+SUMPRODUCT(($G$14:$G$71=$A19)*($E$14:$E$71=1)*(O$14:O$71="N/A")*$F$14:$F$71)))</f>
        <v/>
      </c>
      <c r="Q19" s="22">
        <f>IF(O19="SI",P19,0)</f>
        <v/>
      </c>
      <c r="R19" s="21" t="n"/>
      <c r="S19" s="22">
        <f>IF(OR($E19=0,R$78=0),0,IF(AND(R19="N/A",$G19&lt;&gt;""),0,$F19+SUMPRODUCT(($G$14:$G$71=$A19)*($E$14:$E$71=1)*(R$14:R$71="N/A")*$F$14:$F$71)))</f>
        <v/>
      </c>
      <c r="T19" s="22">
        <f>IF(R19="SI",S19,0)</f>
        <v/>
      </c>
      <c r="U19" s="21" t="n"/>
      <c r="V19" s="22">
        <f>IF(OR($E19=0,U$78=0),0,IF(AND(U19="N/A",$G19&lt;&gt;""),0,$F19+SUMPRODUCT(($G$14:$G$71=$A19)*($E$14:$E$71=1)*(U$14:U$71="N/A")*$F$14:$F$71)))</f>
        <v/>
      </c>
      <c r="W19" s="22">
        <f>IF(U19="SI",V19,0)</f>
        <v/>
      </c>
      <c r="X19" s="21" t="n"/>
      <c r="Y19" s="22">
        <f>IF(OR($E19=0,X$78=0),0,IF(AND(X19="N/A",$G19&lt;&gt;""),0,$F19+SUMPRODUCT(($G$14:$G$71=$A19)*($E$14:$E$71=1)*(X$14:X$71="N/A")*$F$14:$F$71)))</f>
        <v/>
      </c>
      <c r="Z19" s="22">
        <f>IF(X19="SI",Y19,0)</f>
        <v/>
      </c>
      <c r="AA19" s="22">
        <f>SUM(J19,M19,P19,S19,V19,Y19)</f>
        <v/>
      </c>
      <c r="AB19" s="22">
        <f>SUM(K19,N19,Q19,T19,W19,Z19)</f>
        <v/>
      </c>
      <c r="AC19" s="23">
        <f>IF(AA19=0,"",AB19/AA19)</f>
        <v/>
      </c>
      <c r="AD19" s="22">
        <f>CRITERIOS!Q7</f>
        <v/>
      </c>
      <c r="AE19" s="22">
        <f>IF(AND(E19=1,H19&lt;&gt;"X",((I19="N/A")+(L19="N/A")+(O19="N/A")+(R19="N/A")+(U19="N/A")+(X19="N/A"))&gt;0),"REVISAR","")</f>
        <v/>
      </c>
    </row>
    <row r="20">
      <c r="A20" s="19">
        <f>CRITERIOS!B8</f>
        <v/>
      </c>
      <c r="B20" s="19">
        <f>CRITERIOS!C8</f>
        <v/>
      </c>
      <c r="C20" s="20">
        <f>CRITERIOS!D8</f>
        <v/>
      </c>
      <c r="D20" s="19">
        <f>CRITERIOS!E8</f>
        <v/>
      </c>
      <c r="E20" s="19">
        <f>IFERROR(IF(AND(OR(CRITERIOS!F8="Todos",CRITERIOS!F8=$B$4),INDEX(CRITERIOS!H8:J8,MATCH($B$5,VARIABLES!$E$2:$E$4,0))=1),1,0),0)</f>
        <v/>
      </c>
      <c r="F20" s="19">
        <f>IFERROR(IF(E20=1,INDEX(CRITERIOS!K8:M8,MATCH($B$5,VARIABLES!$E$2:$E$4,0)),0),0)</f>
        <v/>
      </c>
      <c r="G20" s="19">
        <f>IF(CRITERIOS!N8="","",CRITERIOS!N8)</f>
        <v/>
      </c>
      <c r="H20" s="19">
        <f>IF(CRITERIOS!O8="","",CRITERIOS!O8)</f>
        <v/>
      </c>
      <c r="I20" s="21" t="n"/>
      <c r="J20" s="22">
        <f>IF(OR($E20=0,I$78=0),0,IF(AND(I20="N/A",$G20&lt;&gt;""),0,$F20+SUMPRODUCT(($G$14:$G$71=$A20)*($E$14:$E$71=1)*(I$14:I$71="N/A")*$F$14:$F$71)))</f>
        <v/>
      </c>
      <c r="K20" s="22">
        <f>IF(I20="SI",J20,0)</f>
        <v/>
      </c>
      <c r="L20" s="21" t="n"/>
      <c r="M20" s="22">
        <f>IF(OR($E20=0,L$78=0),0,IF(AND(L20="N/A",$G20&lt;&gt;""),0,$F20+SUMPRODUCT(($G$14:$G$71=$A20)*($E$14:$E$71=1)*(L$14:L$71="N/A")*$F$14:$F$71)))</f>
        <v/>
      </c>
      <c r="N20" s="22">
        <f>IF(L20="SI",M20,0)</f>
        <v/>
      </c>
      <c r="O20" s="21" t="n"/>
      <c r="P20" s="22">
        <f>IF(OR($E20=0,O$78=0),0,IF(AND(O20="N/A",$G20&lt;&gt;""),0,$F20+SUMPRODUCT(($G$14:$G$71=$A20)*($E$14:$E$71=1)*(O$14:O$71="N/A")*$F$14:$F$71)))</f>
        <v/>
      </c>
      <c r="Q20" s="22">
        <f>IF(O20="SI",P20,0)</f>
        <v/>
      </c>
      <c r="R20" s="21" t="n"/>
      <c r="S20" s="22">
        <f>IF(OR($E20=0,R$78=0),0,IF(AND(R20="N/A",$G20&lt;&gt;""),0,$F20+SUMPRODUCT(($G$14:$G$71=$A20)*($E$14:$E$71=1)*(R$14:R$71="N/A")*$F$14:$F$71)))</f>
        <v/>
      </c>
      <c r="T20" s="22">
        <f>IF(R20="SI",S20,0)</f>
        <v/>
      </c>
      <c r="U20" s="21" t="n"/>
      <c r="V20" s="22">
        <f>IF(OR($E20=0,U$78=0),0,IF(AND(U20="N/A",$G20&lt;&gt;""),0,$F20+SUMPRODUCT(($G$14:$G$71=$A20)*($E$14:$E$71=1)*(U$14:U$71="N/A")*$F$14:$F$71)))</f>
        <v/>
      </c>
      <c r="W20" s="22">
        <f>IF(U20="SI",V20,0)</f>
        <v/>
      </c>
      <c r="X20" s="21" t="n"/>
      <c r="Y20" s="22">
        <f>IF(OR($E20=0,X$78=0),0,IF(AND(X20="N/A",$G20&lt;&gt;""),0,$F20+SUMPRODUCT(($G$14:$G$71=$A20)*($E$14:$E$71=1)*(X$14:X$71="N/A")*$F$14:$F$71)))</f>
        <v/>
      </c>
      <c r="Z20" s="22">
        <f>IF(X20="SI",Y20,0)</f>
        <v/>
      </c>
      <c r="AA20" s="22">
        <f>SUM(J20,M20,P20,S20,V20,Y20)</f>
        <v/>
      </c>
      <c r="AB20" s="22">
        <f>SUM(K20,N20,Q20,T20,W20,Z20)</f>
        <v/>
      </c>
      <c r="AC20" s="23">
        <f>IF(AA20=0,"",AB20/AA20)</f>
        <v/>
      </c>
      <c r="AD20" s="22">
        <f>CRITERIOS!Q8</f>
        <v/>
      </c>
      <c r="AE20" s="22">
        <f>IF(AND(E20=1,H20&lt;&gt;"X",((I20="N/A")+(L20="N/A")+(O20="N/A")+(R20="N/A")+(U20="N/A")+(X20="N/A"))&gt;0),"REVISAR","")</f>
        <v/>
      </c>
    </row>
    <row r="21">
      <c r="A21" s="19">
        <f>CRITERIOS!B9</f>
        <v/>
      </c>
      <c r="B21" s="19">
        <f>CRITERIOS!C9</f>
        <v/>
      </c>
      <c r="C21" s="20">
        <f>CRITERIOS!D9</f>
        <v/>
      </c>
      <c r="D21" s="19">
        <f>CRITERIOS!E9</f>
        <v/>
      </c>
      <c r="E21" s="19">
        <f>IFERROR(IF(AND(OR(CRITERIOS!F9="Todos",CRITERIOS!F9=$B$4),INDEX(CRITERIOS!H9:J9,MATCH($B$5,VARIABLES!$E$2:$E$4,0))=1),1,0),0)</f>
        <v/>
      </c>
      <c r="F21" s="19">
        <f>IFERROR(IF(E21=1,INDEX(CRITERIOS!K9:M9,MATCH($B$5,VARIABLES!$E$2:$E$4,0)),0),0)</f>
        <v/>
      </c>
      <c r="G21" s="19">
        <f>IF(CRITERIOS!N9="","",CRITERIOS!N9)</f>
        <v/>
      </c>
      <c r="H21" s="19">
        <f>IF(CRITERIOS!O9="","",CRITERIOS!O9)</f>
        <v/>
      </c>
      <c r="I21" s="21" t="n"/>
      <c r="J21" s="22">
        <f>IF(OR($E21=0,I$78=0),0,IF(AND(I21="N/A",$G21&lt;&gt;""),0,$F21+SUMPRODUCT(($G$14:$G$71=$A21)*($E$14:$E$71=1)*(I$14:I$71="N/A")*$F$14:$F$71)))</f>
        <v/>
      </c>
      <c r="K21" s="22">
        <f>IF(I21="SI",J21,0)</f>
        <v/>
      </c>
      <c r="L21" s="21" t="n"/>
      <c r="M21" s="22">
        <f>IF(OR($E21=0,L$78=0),0,IF(AND(L21="N/A",$G21&lt;&gt;""),0,$F21+SUMPRODUCT(($G$14:$G$71=$A21)*($E$14:$E$71=1)*(L$14:L$71="N/A")*$F$14:$F$71)))</f>
        <v/>
      </c>
      <c r="N21" s="22">
        <f>IF(L21="SI",M21,0)</f>
        <v/>
      </c>
      <c r="O21" s="21" t="n"/>
      <c r="P21" s="22">
        <f>IF(OR($E21=0,O$78=0),0,IF(AND(O21="N/A",$G21&lt;&gt;""),0,$F21+SUMPRODUCT(($G$14:$G$71=$A21)*($E$14:$E$71=1)*(O$14:O$71="N/A")*$F$14:$F$71)))</f>
        <v/>
      </c>
      <c r="Q21" s="22">
        <f>IF(O21="SI",P21,0)</f>
        <v/>
      </c>
      <c r="R21" s="21" t="n"/>
      <c r="S21" s="22">
        <f>IF(OR($E21=0,R$78=0),0,IF(AND(R21="N/A",$G21&lt;&gt;""),0,$F21+SUMPRODUCT(($G$14:$G$71=$A21)*($E$14:$E$71=1)*(R$14:R$71="N/A")*$F$14:$F$71)))</f>
        <v/>
      </c>
      <c r="T21" s="22">
        <f>IF(R21="SI",S21,0)</f>
        <v/>
      </c>
      <c r="U21" s="21" t="n"/>
      <c r="V21" s="22">
        <f>IF(OR($E21=0,U$78=0),0,IF(AND(U21="N/A",$G21&lt;&gt;""),0,$F21+SUMPRODUCT(($G$14:$G$71=$A21)*($E$14:$E$71=1)*(U$14:U$71="N/A")*$F$14:$F$71)))</f>
        <v/>
      </c>
      <c r="W21" s="22">
        <f>IF(U21="SI",V21,0)</f>
        <v/>
      </c>
      <c r="X21" s="21" t="n"/>
      <c r="Y21" s="22">
        <f>IF(OR($E21=0,X$78=0),0,IF(AND(X21="N/A",$G21&lt;&gt;""),0,$F21+SUMPRODUCT(($G$14:$G$71=$A21)*($E$14:$E$71=1)*(X$14:X$71="N/A")*$F$14:$F$71)))</f>
        <v/>
      </c>
      <c r="Z21" s="22">
        <f>IF(X21="SI",Y21,0)</f>
        <v/>
      </c>
      <c r="AA21" s="22">
        <f>SUM(J21,M21,P21,S21,V21,Y21)</f>
        <v/>
      </c>
      <c r="AB21" s="22">
        <f>SUM(K21,N21,Q21,T21,W21,Z21)</f>
        <v/>
      </c>
      <c r="AC21" s="23">
        <f>IF(AA21=0,"",AB21/AA21)</f>
        <v/>
      </c>
      <c r="AD21" s="22">
        <f>CRITERIOS!Q9</f>
        <v/>
      </c>
      <c r="AE21" s="22">
        <f>IF(AND(E21=1,H21&lt;&gt;"X",((I21="N/A")+(L21="N/A")+(O21="N/A")+(R21="N/A")+(U21="N/A")+(X21="N/A"))&gt;0),"REVISAR","")</f>
        <v/>
      </c>
    </row>
    <row r="22">
      <c r="A22" s="19">
        <f>CRITERIOS!B10</f>
        <v/>
      </c>
      <c r="B22" s="19">
        <f>CRITERIOS!C10</f>
        <v/>
      </c>
      <c r="C22" s="20">
        <f>CRITERIOS!D10</f>
        <v/>
      </c>
      <c r="D22" s="19">
        <f>CRITERIOS!E10</f>
        <v/>
      </c>
      <c r="E22" s="19">
        <f>IFERROR(IF(AND(OR(CRITERIOS!F10="Todos",CRITERIOS!F10=$B$4),INDEX(CRITERIOS!H10:J10,MATCH($B$5,VARIABLES!$E$2:$E$4,0))=1),1,0),0)</f>
        <v/>
      </c>
      <c r="F22" s="19">
        <f>IFERROR(IF(E22=1,INDEX(CRITERIOS!K10:M10,MATCH($B$5,VARIABLES!$E$2:$E$4,0)),0),0)</f>
        <v/>
      </c>
      <c r="G22" s="19">
        <f>IF(CRITERIOS!N10="","",CRITERIOS!N10)</f>
        <v/>
      </c>
      <c r="H22" s="19">
        <f>IF(CRITERIOS!O10="","",CRITERIOS!O10)</f>
        <v/>
      </c>
      <c r="I22" s="21" t="n"/>
      <c r="J22" s="22">
        <f>IF(OR($E22=0,I$78=0),0,IF(AND(I22="N/A",$G22&lt;&gt;""),0,$F22+SUMPRODUCT(($G$14:$G$71=$A22)*($E$14:$E$71=1)*(I$14:I$71="N/A")*$F$14:$F$71)))</f>
        <v/>
      </c>
      <c r="K22" s="22">
        <f>IF(I22="SI",J22,0)</f>
        <v/>
      </c>
      <c r="L22" s="21" t="n"/>
      <c r="M22" s="22">
        <f>IF(OR($E22=0,L$78=0),0,IF(AND(L22="N/A",$G22&lt;&gt;""),0,$F22+SUMPRODUCT(($G$14:$G$71=$A22)*($E$14:$E$71=1)*(L$14:L$71="N/A")*$F$14:$F$71)))</f>
        <v/>
      </c>
      <c r="N22" s="22">
        <f>IF(L22="SI",M22,0)</f>
        <v/>
      </c>
      <c r="O22" s="21" t="n"/>
      <c r="P22" s="22">
        <f>IF(OR($E22=0,O$78=0),0,IF(AND(O22="N/A",$G22&lt;&gt;""),0,$F22+SUMPRODUCT(($G$14:$G$71=$A22)*($E$14:$E$71=1)*(O$14:O$71="N/A")*$F$14:$F$71)))</f>
        <v/>
      </c>
      <c r="Q22" s="22">
        <f>IF(O22="SI",P22,0)</f>
        <v/>
      </c>
      <c r="R22" s="21" t="n"/>
      <c r="S22" s="22">
        <f>IF(OR($E22=0,R$78=0),0,IF(AND(R22="N/A",$G22&lt;&gt;""),0,$F22+SUMPRODUCT(($G$14:$G$71=$A22)*($E$14:$E$71=1)*(R$14:R$71="N/A")*$F$14:$F$71)))</f>
        <v/>
      </c>
      <c r="T22" s="22">
        <f>IF(R22="SI",S22,0)</f>
        <v/>
      </c>
      <c r="U22" s="21" t="n"/>
      <c r="V22" s="22">
        <f>IF(OR($E22=0,U$78=0),0,IF(AND(U22="N/A",$G22&lt;&gt;""),0,$F22+SUMPRODUCT(($G$14:$G$71=$A22)*($E$14:$E$71=1)*(U$14:U$71="N/A")*$F$14:$F$71)))</f>
        <v/>
      </c>
      <c r="W22" s="22">
        <f>IF(U22="SI",V22,0)</f>
        <v/>
      </c>
      <c r="X22" s="21" t="n"/>
      <c r="Y22" s="22">
        <f>IF(OR($E22=0,X$78=0),0,IF(AND(X22="N/A",$G22&lt;&gt;""),0,$F22+SUMPRODUCT(($G$14:$G$71=$A22)*($E$14:$E$71=1)*(X$14:X$71="N/A")*$F$14:$F$71)))</f>
        <v/>
      </c>
      <c r="Z22" s="22">
        <f>IF(X22="SI",Y22,0)</f>
        <v/>
      </c>
      <c r="AA22" s="22">
        <f>SUM(J22,M22,P22,S22,V22,Y22)</f>
        <v/>
      </c>
      <c r="AB22" s="22">
        <f>SUM(K22,N22,Q22,T22,W22,Z22)</f>
        <v/>
      </c>
      <c r="AC22" s="23">
        <f>IF(AA22=0,"",AB22/AA22)</f>
        <v/>
      </c>
      <c r="AD22" s="22">
        <f>CRITERIOS!Q10</f>
        <v/>
      </c>
      <c r="AE22" s="22">
        <f>IF(AND(E22=1,H22&lt;&gt;"X",((I22="N/A")+(L22="N/A")+(O22="N/A")+(R22="N/A")+(U22="N/A")+(X22="N/A"))&gt;0),"REVISAR","")</f>
        <v/>
      </c>
    </row>
    <row r="23">
      <c r="A23" s="19">
        <f>CRITERIOS!B11</f>
        <v/>
      </c>
      <c r="B23" s="19">
        <f>CRITERIOS!C11</f>
        <v/>
      </c>
      <c r="C23" s="20">
        <f>CRITERIOS!D11</f>
        <v/>
      </c>
      <c r="D23" s="19">
        <f>CRITERIOS!E11</f>
        <v/>
      </c>
      <c r="E23" s="19">
        <f>IFERROR(IF(AND(OR(CRITERIOS!F11="Todos",CRITERIOS!F11=$B$4),INDEX(CRITERIOS!H11:J11,MATCH($B$5,VARIABLES!$E$2:$E$4,0))=1),1,0),0)</f>
        <v/>
      </c>
      <c r="F23" s="19">
        <f>IFERROR(IF(E23=1,INDEX(CRITERIOS!K11:M11,MATCH($B$5,VARIABLES!$E$2:$E$4,0)),0),0)</f>
        <v/>
      </c>
      <c r="G23" s="19">
        <f>IF(CRITERIOS!N11="","",CRITERIOS!N11)</f>
        <v/>
      </c>
      <c r="H23" s="19">
        <f>IF(CRITERIOS!O11="","",CRITERIOS!O11)</f>
        <v/>
      </c>
      <c r="I23" s="21" t="n"/>
      <c r="J23" s="22">
        <f>IF(OR($E23=0,I$78=0),0,IF(AND(I23="N/A",$G23&lt;&gt;""),0,$F23+SUMPRODUCT(($G$14:$G$71=$A23)*($E$14:$E$71=1)*(I$14:I$71="N/A")*$F$14:$F$71)))</f>
        <v/>
      </c>
      <c r="K23" s="22">
        <f>IF(I23="SI",J23,0)</f>
        <v/>
      </c>
      <c r="L23" s="21" t="n"/>
      <c r="M23" s="22">
        <f>IF(OR($E23=0,L$78=0),0,IF(AND(L23="N/A",$G23&lt;&gt;""),0,$F23+SUMPRODUCT(($G$14:$G$71=$A23)*($E$14:$E$71=1)*(L$14:L$71="N/A")*$F$14:$F$71)))</f>
        <v/>
      </c>
      <c r="N23" s="22">
        <f>IF(L23="SI",M23,0)</f>
        <v/>
      </c>
      <c r="O23" s="21" t="n"/>
      <c r="P23" s="22">
        <f>IF(OR($E23=0,O$78=0),0,IF(AND(O23="N/A",$G23&lt;&gt;""),0,$F23+SUMPRODUCT(($G$14:$G$71=$A23)*($E$14:$E$71=1)*(O$14:O$71="N/A")*$F$14:$F$71)))</f>
        <v/>
      </c>
      <c r="Q23" s="22">
        <f>IF(O23="SI",P23,0)</f>
        <v/>
      </c>
      <c r="R23" s="21" t="n"/>
      <c r="S23" s="22">
        <f>IF(OR($E23=0,R$78=0),0,IF(AND(R23="N/A",$G23&lt;&gt;""),0,$F23+SUMPRODUCT(($G$14:$G$71=$A23)*($E$14:$E$71=1)*(R$14:R$71="N/A")*$F$14:$F$71)))</f>
        <v/>
      </c>
      <c r="T23" s="22">
        <f>IF(R23="SI",S23,0)</f>
        <v/>
      </c>
      <c r="U23" s="21" t="n"/>
      <c r="V23" s="22">
        <f>IF(OR($E23=0,U$78=0),0,IF(AND(U23="N/A",$G23&lt;&gt;""),0,$F23+SUMPRODUCT(($G$14:$G$71=$A23)*($E$14:$E$71=1)*(U$14:U$71="N/A")*$F$14:$F$71)))</f>
        <v/>
      </c>
      <c r="W23" s="22">
        <f>IF(U23="SI",V23,0)</f>
        <v/>
      </c>
      <c r="X23" s="21" t="n"/>
      <c r="Y23" s="22">
        <f>IF(OR($E23=0,X$78=0),0,IF(AND(X23="N/A",$G23&lt;&gt;""),0,$F23+SUMPRODUCT(($G$14:$G$71=$A23)*($E$14:$E$71=1)*(X$14:X$71="N/A")*$F$14:$F$71)))</f>
        <v/>
      </c>
      <c r="Z23" s="22">
        <f>IF(X23="SI",Y23,0)</f>
        <v/>
      </c>
      <c r="AA23" s="22">
        <f>SUM(J23,M23,P23,S23,V23,Y23)</f>
        <v/>
      </c>
      <c r="AB23" s="22">
        <f>SUM(K23,N23,Q23,T23,W23,Z23)</f>
        <v/>
      </c>
      <c r="AC23" s="23">
        <f>IF(AA23=0,"",AB23/AA23)</f>
        <v/>
      </c>
      <c r="AD23" s="22">
        <f>CRITERIOS!Q11</f>
        <v/>
      </c>
      <c r="AE23" s="22">
        <f>IF(AND(E23=1,H23&lt;&gt;"X",((I23="N/A")+(L23="N/A")+(O23="N/A")+(R23="N/A")+(U23="N/A")+(X23="N/A"))&gt;0),"REVISAR","")</f>
        <v/>
      </c>
    </row>
    <row r="24">
      <c r="A24" s="19">
        <f>CRITERIOS!B12</f>
        <v/>
      </c>
      <c r="B24" s="19">
        <f>CRITERIOS!C12</f>
        <v/>
      </c>
      <c r="C24" s="20">
        <f>CRITERIOS!D12</f>
        <v/>
      </c>
      <c r="D24" s="19">
        <f>CRITERIOS!E12</f>
        <v/>
      </c>
      <c r="E24" s="19">
        <f>IFERROR(IF(AND(OR(CRITERIOS!F12="Todos",CRITERIOS!F12=$B$4),INDEX(CRITERIOS!H12:J12,MATCH($B$5,VARIABLES!$E$2:$E$4,0))=1),1,0),0)</f>
        <v/>
      </c>
      <c r="F24" s="19">
        <f>IFERROR(IF(E24=1,INDEX(CRITERIOS!K12:M12,MATCH($B$5,VARIABLES!$E$2:$E$4,0)),0),0)</f>
        <v/>
      </c>
      <c r="G24" s="19">
        <f>IF(CRITERIOS!N12="","",CRITERIOS!N12)</f>
        <v/>
      </c>
      <c r="H24" s="19">
        <f>IF(CRITERIOS!O12="","",CRITERIOS!O12)</f>
        <v/>
      </c>
      <c r="I24" s="21" t="n"/>
      <c r="J24" s="22">
        <f>IF(OR($E24=0,I$78=0),0,IF(AND(I24="N/A",$G24&lt;&gt;""),0,$F24+SUMPRODUCT(($G$14:$G$71=$A24)*($E$14:$E$71=1)*(I$14:I$71="N/A")*$F$14:$F$71)))</f>
        <v/>
      </c>
      <c r="K24" s="22">
        <f>IF(I24="SI",J24,0)</f>
        <v/>
      </c>
      <c r="L24" s="21" t="n"/>
      <c r="M24" s="22">
        <f>IF(OR($E24=0,L$78=0),0,IF(AND(L24="N/A",$G24&lt;&gt;""),0,$F24+SUMPRODUCT(($G$14:$G$71=$A24)*($E$14:$E$71=1)*(L$14:L$71="N/A")*$F$14:$F$71)))</f>
        <v/>
      </c>
      <c r="N24" s="22">
        <f>IF(L24="SI",M24,0)</f>
        <v/>
      </c>
      <c r="O24" s="21" t="n"/>
      <c r="P24" s="22">
        <f>IF(OR($E24=0,O$78=0),0,IF(AND(O24="N/A",$G24&lt;&gt;""),0,$F24+SUMPRODUCT(($G$14:$G$71=$A24)*($E$14:$E$71=1)*(O$14:O$71="N/A")*$F$14:$F$71)))</f>
        <v/>
      </c>
      <c r="Q24" s="22">
        <f>IF(O24="SI",P24,0)</f>
        <v/>
      </c>
      <c r="R24" s="21" t="n"/>
      <c r="S24" s="22">
        <f>IF(OR($E24=0,R$78=0),0,IF(AND(R24="N/A",$G24&lt;&gt;""),0,$F24+SUMPRODUCT(($G$14:$G$71=$A24)*($E$14:$E$71=1)*(R$14:R$71="N/A")*$F$14:$F$71)))</f>
        <v/>
      </c>
      <c r="T24" s="22">
        <f>IF(R24="SI",S24,0)</f>
        <v/>
      </c>
      <c r="U24" s="21" t="n"/>
      <c r="V24" s="22">
        <f>IF(OR($E24=0,U$78=0),0,IF(AND(U24="N/A",$G24&lt;&gt;""),0,$F24+SUMPRODUCT(($G$14:$G$71=$A24)*($E$14:$E$71=1)*(U$14:U$71="N/A")*$F$14:$F$71)))</f>
        <v/>
      </c>
      <c r="W24" s="22">
        <f>IF(U24="SI",V24,0)</f>
        <v/>
      </c>
      <c r="X24" s="21" t="n"/>
      <c r="Y24" s="22">
        <f>IF(OR($E24=0,X$78=0),0,IF(AND(X24="N/A",$G24&lt;&gt;""),0,$F24+SUMPRODUCT(($G$14:$G$71=$A24)*($E$14:$E$71=1)*(X$14:X$71="N/A")*$F$14:$F$71)))</f>
        <v/>
      </c>
      <c r="Z24" s="22">
        <f>IF(X24="SI",Y24,0)</f>
        <v/>
      </c>
      <c r="AA24" s="22">
        <f>SUM(J24,M24,P24,S24,V24,Y24)</f>
        <v/>
      </c>
      <c r="AB24" s="22">
        <f>SUM(K24,N24,Q24,T24,W24,Z24)</f>
        <v/>
      </c>
      <c r="AC24" s="23">
        <f>IF(AA24=0,"",AB24/AA24)</f>
        <v/>
      </c>
      <c r="AD24" s="22">
        <f>CRITERIOS!Q12</f>
        <v/>
      </c>
      <c r="AE24" s="22">
        <f>IF(AND(E24=1,H24&lt;&gt;"X",((I24="N/A")+(L24="N/A")+(O24="N/A")+(R24="N/A")+(U24="N/A")+(X24="N/A"))&gt;0),"REVISAR","")</f>
        <v/>
      </c>
    </row>
    <row r="25">
      <c r="A25" s="19">
        <f>CRITERIOS!B13</f>
        <v/>
      </c>
      <c r="B25" s="19">
        <f>CRITERIOS!C13</f>
        <v/>
      </c>
      <c r="C25" s="20">
        <f>CRITERIOS!D13</f>
        <v/>
      </c>
      <c r="D25" s="19">
        <f>CRITERIOS!E13</f>
        <v/>
      </c>
      <c r="E25" s="19">
        <f>IFERROR(IF(AND(OR(CRITERIOS!F13="Todos",CRITERIOS!F13=$B$4),INDEX(CRITERIOS!H13:J13,MATCH($B$5,VARIABLES!$E$2:$E$4,0))=1),1,0),0)</f>
        <v/>
      </c>
      <c r="F25" s="19">
        <f>IFERROR(IF(E25=1,INDEX(CRITERIOS!K13:M13,MATCH($B$5,VARIABLES!$E$2:$E$4,0)),0),0)</f>
        <v/>
      </c>
      <c r="G25" s="19">
        <f>IF(CRITERIOS!N13="","",CRITERIOS!N13)</f>
        <v/>
      </c>
      <c r="H25" s="19">
        <f>IF(CRITERIOS!O13="","",CRITERIOS!O13)</f>
        <v/>
      </c>
      <c r="I25" s="21" t="n"/>
      <c r="J25" s="22">
        <f>IF(OR($E25=0,I$78=0),0,IF(AND(I25="N/A",$G25&lt;&gt;""),0,$F25+SUMPRODUCT(($G$14:$G$71=$A25)*($E$14:$E$71=1)*(I$14:I$71="N/A")*$F$14:$F$71)))</f>
        <v/>
      </c>
      <c r="K25" s="22">
        <f>IF(I25="SI",J25,0)</f>
        <v/>
      </c>
      <c r="L25" s="21" t="n"/>
      <c r="M25" s="22">
        <f>IF(OR($E25=0,L$78=0),0,IF(AND(L25="N/A",$G25&lt;&gt;""),0,$F25+SUMPRODUCT(($G$14:$G$71=$A25)*($E$14:$E$71=1)*(L$14:L$71="N/A")*$F$14:$F$71)))</f>
        <v/>
      </c>
      <c r="N25" s="22">
        <f>IF(L25="SI",M25,0)</f>
        <v/>
      </c>
      <c r="O25" s="21" t="n"/>
      <c r="P25" s="22">
        <f>IF(OR($E25=0,O$78=0),0,IF(AND(O25="N/A",$G25&lt;&gt;""),0,$F25+SUMPRODUCT(($G$14:$G$71=$A25)*($E$14:$E$71=1)*(O$14:O$71="N/A")*$F$14:$F$71)))</f>
        <v/>
      </c>
      <c r="Q25" s="22">
        <f>IF(O25="SI",P25,0)</f>
        <v/>
      </c>
      <c r="R25" s="21" t="n"/>
      <c r="S25" s="22">
        <f>IF(OR($E25=0,R$78=0),0,IF(AND(R25="N/A",$G25&lt;&gt;""),0,$F25+SUMPRODUCT(($G$14:$G$71=$A25)*($E$14:$E$71=1)*(R$14:R$71="N/A")*$F$14:$F$71)))</f>
        <v/>
      </c>
      <c r="T25" s="22">
        <f>IF(R25="SI",S25,0)</f>
        <v/>
      </c>
      <c r="U25" s="21" t="n"/>
      <c r="V25" s="22">
        <f>IF(OR($E25=0,U$78=0),0,IF(AND(U25="N/A",$G25&lt;&gt;""),0,$F25+SUMPRODUCT(($G$14:$G$71=$A25)*($E$14:$E$71=1)*(U$14:U$71="N/A")*$F$14:$F$71)))</f>
        <v/>
      </c>
      <c r="W25" s="22">
        <f>IF(U25="SI",V25,0)</f>
        <v/>
      </c>
      <c r="X25" s="21" t="n"/>
      <c r="Y25" s="22">
        <f>IF(OR($E25=0,X$78=0),0,IF(AND(X25="N/A",$G25&lt;&gt;""),0,$F25+SUMPRODUCT(($G$14:$G$71=$A25)*($E$14:$E$71=1)*(X$14:X$71="N/A")*$F$14:$F$71)))</f>
        <v/>
      </c>
      <c r="Z25" s="22">
        <f>IF(X25="SI",Y25,0)</f>
        <v/>
      </c>
      <c r="AA25" s="22">
        <f>SUM(J25,M25,P25,S25,V25,Y25)</f>
        <v/>
      </c>
      <c r="AB25" s="22">
        <f>SUM(K25,N25,Q25,T25,W25,Z25)</f>
        <v/>
      </c>
      <c r="AC25" s="23">
        <f>IF(AA25=0,"",AB25/AA25)</f>
        <v/>
      </c>
      <c r="AD25" s="22">
        <f>CRITERIOS!Q13</f>
        <v/>
      </c>
      <c r="AE25" s="22">
        <f>IF(AND(E25=1,H25&lt;&gt;"X",((I25="N/A")+(L25="N/A")+(O25="N/A")+(R25="N/A")+(U25="N/A")+(X25="N/A"))&gt;0),"REVISAR","")</f>
        <v/>
      </c>
    </row>
    <row r="26">
      <c r="A26" s="19">
        <f>CRITERIOS!B14</f>
        <v/>
      </c>
      <c r="B26" s="19">
        <f>CRITERIOS!C14</f>
        <v/>
      </c>
      <c r="C26" s="20">
        <f>CRITERIOS!D14</f>
        <v/>
      </c>
      <c r="D26" s="19">
        <f>CRITERIOS!E14</f>
        <v/>
      </c>
      <c r="E26" s="19">
        <f>IFERROR(IF(AND(OR(CRITERIOS!F14="Todos",CRITERIOS!F14=$B$4),INDEX(CRITERIOS!H14:J14,MATCH($B$5,VARIABLES!$E$2:$E$4,0))=1),1,0),0)</f>
        <v/>
      </c>
      <c r="F26" s="19">
        <f>IFERROR(IF(E26=1,INDEX(CRITERIOS!K14:M14,MATCH($B$5,VARIABLES!$E$2:$E$4,0)),0),0)</f>
        <v/>
      </c>
      <c r="G26" s="19">
        <f>IF(CRITERIOS!N14="","",CRITERIOS!N14)</f>
        <v/>
      </c>
      <c r="H26" s="19">
        <f>IF(CRITERIOS!O14="","",CRITERIOS!O14)</f>
        <v/>
      </c>
      <c r="I26" s="21" t="n"/>
      <c r="J26" s="22">
        <f>IF(OR($E26=0,I$78=0),0,IF(AND(I26="N/A",$G26&lt;&gt;""),0,$F26+SUMPRODUCT(($G$14:$G$71=$A26)*($E$14:$E$71=1)*(I$14:I$71="N/A")*$F$14:$F$71)))</f>
        <v/>
      </c>
      <c r="K26" s="22">
        <f>IF(I26="SI",J26,0)</f>
        <v/>
      </c>
      <c r="L26" s="21" t="n"/>
      <c r="M26" s="22">
        <f>IF(OR($E26=0,L$78=0),0,IF(AND(L26="N/A",$G26&lt;&gt;""),0,$F26+SUMPRODUCT(($G$14:$G$71=$A26)*($E$14:$E$71=1)*(L$14:L$71="N/A")*$F$14:$F$71)))</f>
        <v/>
      </c>
      <c r="N26" s="22">
        <f>IF(L26="SI",M26,0)</f>
        <v/>
      </c>
      <c r="O26" s="21" t="n"/>
      <c r="P26" s="22">
        <f>IF(OR($E26=0,O$78=0),0,IF(AND(O26="N/A",$G26&lt;&gt;""),0,$F26+SUMPRODUCT(($G$14:$G$71=$A26)*($E$14:$E$71=1)*(O$14:O$71="N/A")*$F$14:$F$71)))</f>
        <v/>
      </c>
      <c r="Q26" s="22">
        <f>IF(O26="SI",P26,0)</f>
        <v/>
      </c>
      <c r="R26" s="21" t="n"/>
      <c r="S26" s="22">
        <f>IF(OR($E26=0,R$78=0),0,IF(AND(R26="N/A",$G26&lt;&gt;""),0,$F26+SUMPRODUCT(($G$14:$G$71=$A26)*($E$14:$E$71=1)*(R$14:R$71="N/A")*$F$14:$F$71)))</f>
        <v/>
      </c>
      <c r="T26" s="22">
        <f>IF(R26="SI",S26,0)</f>
        <v/>
      </c>
      <c r="U26" s="21" t="n"/>
      <c r="V26" s="22">
        <f>IF(OR($E26=0,U$78=0),0,IF(AND(U26="N/A",$G26&lt;&gt;""),0,$F26+SUMPRODUCT(($G$14:$G$71=$A26)*($E$14:$E$71=1)*(U$14:U$71="N/A")*$F$14:$F$71)))</f>
        <v/>
      </c>
      <c r="W26" s="22">
        <f>IF(U26="SI",V26,0)</f>
        <v/>
      </c>
      <c r="X26" s="21" t="n"/>
      <c r="Y26" s="22">
        <f>IF(OR($E26=0,X$78=0),0,IF(AND(X26="N/A",$G26&lt;&gt;""),0,$F26+SUMPRODUCT(($G$14:$G$71=$A26)*($E$14:$E$71=1)*(X$14:X$71="N/A")*$F$14:$F$71)))</f>
        <v/>
      </c>
      <c r="Z26" s="22">
        <f>IF(X26="SI",Y26,0)</f>
        <v/>
      </c>
      <c r="AA26" s="22">
        <f>SUM(J26,M26,P26,S26,V26,Y26)</f>
        <v/>
      </c>
      <c r="AB26" s="22">
        <f>SUM(K26,N26,Q26,T26,W26,Z26)</f>
        <v/>
      </c>
      <c r="AC26" s="23">
        <f>IF(AA26=0,"",AB26/AA26)</f>
        <v/>
      </c>
      <c r="AD26" s="22">
        <f>CRITERIOS!Q14</f>
        <v/>
      </c>
      <c r="AE26" s="22">
        <f>IF(AND(E26=1,H26&lt;&gt;"X",((I26="N/A")+(L26="N/A")+(O26="N/A")+(R26="N/A")+(U26="N/A")+(X26="N/A"))&gt;0),"REVISAR","")</f>
        <v/>
      </c>
    </row>
    <row r="27">
      <c r="A27" s="19">
        <f>CRITERIOS!B15</f>
        <v/>
      </c>
      <c r="B27" s="19">
        <f>CRITERIOS!C15</f>
        <v/>
      </c>
      <c r="C27" s="20">
        <f>CRITERIOS!D15</f>
        <v/>
      </c>
      <c r="D27" s="19">
        <f>CRITERIOS!E15</f>
        <v/>
      </c>
      <c r="E27" s="19">
        <f>IFERROR(IF(AND(OR(CRITERIOS!F15="Todos",CRITERIOS!F15=$B$4),INDEX(CRITERIOS!H15:J15,MATCH($B$5,VARIABLES!$E$2:$E$4,0))=1),1,0),0)</f>
        <v/>
      </c>
      <c r="F27" s="19">
        <f>IFERROR(IF(E27=1,INDEX(CRITERIOS!K15:M15,MATCH($B$5,VARIABLES!$E$2:$E$4,0)),0),0)</f>
        <v/>
      </c>
      <c r="G27" s="19">
        <f>IF(CRITERIOS!N15="","",CRITERIOS!N15)</f>
        <v/>
      </c>
      <c r="H27" s="19">
        <f>IF(CRITERIOS!O15="","",CRITERIOS!O15)</f>
        <v/>
      </c>
      <c r="I27" s="21" t="n"/>
      <c r="J27" s="22">
        <f>IF(OR($E27=0,I$78=0),0,IF(AND(I27="N/A",$G27&lt;&gt;""),0,$F27+SUMPRODUCT(($G$14:$G$71=$A27)*($E$14:$E$71=1)*(I$14:I$71="N/A")*$F$14:$F$71)))</f>
        <v/>
      </c>
      <c r="K27" s="22">
        <f>IF(I27="SI",J27,0)</f>
        <v/>
      </c>
      <c r="L27" s="21" t="n"/>
      <c r="M27" s="22">
        <f>IF(OR($E27=0,L$78=0),0,IF(AND(L27="N/A",$G27&lt;&gt;""),0,$F27+SUMPRODUCT(($G$14:$G$71=$A27)*($E$14:$E$71=1)*(L$14:L$71="N/A")*$F$14:$F$71)))</f>
        <v/>
      </c>
      <c r="N27" s="22">
        <f>IF(L27="SI",M27,0)</f>
        <v/>
      </c>
      <c r="O27" s="21" t="n"/>
      <c r="P27" s="22">
        <f>IF(OR($E27=0,O$78=0),0,IF(AND(O27="N/A",$G27&lt;&gt;""),0,$F27+SUMPRODUCT(($G$14:$G$71=$A27)*($E$14:$E$71=1)*(O$14:O$71="N/A")*$F$14:$F$71)))</f>
        <v/>
      </c>
      <c r="Q27" s="22">
        <f>IF(O27="SI",P27,0)</f>
        <v/>
      </c>
      <c r="R27" s="21" t="n"/>
      <c r="S27" s="22">
        <f>IF(OR($E27=0,R$78=0),0,IF(AND(R27="N/A",$G27&lt;&gt;""),0,$F27+SUMPRODUCT(($G$14:$G$71=$A27)*($E$14:$E$71=1)*(R$14:R$71="N/A")*$F$14:$F$71)))</f>
        <v/>
      </c>
      <c r="T27" s="22">
        <f>IF(R27="SI",S27,0)</f>
        <v/>
      </c>
      <c r="U27" s="21" t="n"/>
      <c r="V27" s="22">
        <f>IF(OR($E27=0,U$78=0),0,IF(AND(U27="N/A",$G27&lt;&gt;""),0,$F27+SUMPRODUCT(($G$14:$G$71=$A27)*($E$14:$E$71=1)*(U$14:U$71="N/A")*$F$14:$F$71)))</f>
        <v/>
      </c>
      <c r="W27" s="22">
        <f>IF(U27="SI",V27,0)</f>
        <v/>
      </c>
      <c r="X27" s="21" t="n"/>
      <c r="Y27" s="22">
        <f>IF(OR($E27=0,X$78=0),0,IF(AND(X27="N/A",$G27&lt;&gt;""),0,$F27+SUMPRODUCT(($G$14:$G$71=$A27)*($E$14:$E$71=1)*(X$14:X$71="N/A")*$F$14:$F$71)))</f>
        <v/>
      </c>
      <c r="Z27" s="22">
        <f>IF(X27="SI",Y27,0)</f>
        <v/>
      </c>
      <c r="AA27" s="22">
        <f>SUM(J27,M27,P27,S27,V27,Y27)</f>
        <v/>
      </c>
      <c r="AB27" s="22">
        <f>SUM(K27,N27,Q27,T27,W27,Z27)</f>
        <v/>
      </c>
      <c r="AC27" s="23">
        <f>IF(AA27=0,"",AB27/AA27)</f>
        <v/>
      </c>
      <c r="AD27" s="22">
        <f>CRITERIOS!Q15</f>
        <v/>
      </c>
      <c r="AE27" s="22">
        <f>IF(AND(E27=1,H27&lt;&gt;"X",((I27="N/A")+(L27="N/A")+(O27="N/A")+(R27="N/A")+(U27="N/A")+(X27="N/A"))&gt;0),"REVISAR","")</f>
        <v/>
      </c>
    </row>
    <row r="28">
      <c r="A28" s="19">
        <f>CRITERIOS!B16</f>
        <v/>
      </c>
      <c r="B28" s="19">
        <f>CRITERIOS!C16</f>
        <v/>
      </c>
      <c r="C28" s="20">
        <f>CRITERIOS!D16</f>
        <v/>
      </c>
      <c r="D28" s="19">
        <f>CRITERIOS!E16</f>
        <v/>
      </c>
      <c r="E28" s="19">
        <f>IFERROR(IF(AND(OR(CRITERIOS!F16="Todos",CRITERIOS!F16=$B$4),INDEX(CRITERIOS!H16:J16,MATCH($B$5,VARIABLES!$E$2:$E$4,0))=1),1,0),0)</f>
        <v/>
      </c>
      <c r="F28" s="19">
        <f>IFERROR(IF(E28=1,INDEX(CRITERIOS!K16:M16,MATCH($B$5,VARIABLES!$E$2:$E$4,0)),0),0)</f>
        <v/>
      </c>
      <c r="G28" s="19">
        <f>IF(CRITERIOS!N16="","",CRITERIOS!N16)</f>
        <v/>
      </c>
      <c r="H28" s="19">
        <f>IF(CRITERIOS!O16="","",CRITERIOS!O16)</f>
        <v/>
      </c>
      <c r="I28" s="21" t="n"/>
      <c r="J28" s="22">
        <f>IF(OR($E28=0,I$78=0),0,IF(AND(I28="N/A",$G28&lt;&gt;""),0,$F28+SUMPRODUCT(($G$14:$G$71=$A28)*($E$14:$E$71=1)*(I$14:I$71="N/A")*$F$14:$F$71)))</f>
        <v/>
      </c>
      <c r="K28" s="22">
        <f>IF(I28="SI",J28,0)</f>
        <v/>
      </c>
      <c r="L28" s="21" t="n"/>
      <c r="M28" s="22">
        <f>IF(OR($E28=0,L$78=0),0,IF(AND(L28="N/A",$G28&lt;&gt;""),0,$F28+SUMPRODUCT(($G$14:$G$71=$A28)*($E$14:$E$71=1)*(L$14:L$71="N/A")*$F$14:$F$71)))</f>
        <v/>
      </c>
      <c r="N28" s="22">
        <f>IF(L28="SI",M28,0)</f>
        <v/>
      </c>
      <c r="O28" s="21" t="n"/>
      <c r="P28" s="22">
        <f>IF(OR($E28=0,O$78=0),0,IF(AND(O28="N/A",$G28&lt;&gt;""),0,$F28+SUMPRODUCT(($G$14:$G$71=$A28)*($E$14:$E$71=1)*(O$14:O$71="N/A")*$F$14:$F$71)))</f>
        <v/>
      </c>
      <c r="Q28" s="22">
        <f>IF(O28="SI",P28,0)</f>
        <v/>
      </c>
      <c r="R28" s="21" t="n"/>
      <c r="S28" s="22">
        <f>IF(OR($E28=0,R$78=0),0,IF(AND(R28="N/A",$G28&lt;&gt;""),0,$F28+SUMPRODUCT(($G$14:$G$71=$A28)*($E$14:$E$71=1)*(R$14:R$71="N/A")*$F$14:$F$71)))</f>
        <v/>
      </c>
      <c r="T28" s="22">
        <f>IF(R28="SI",S28,0)</f>
        <v/>
      </c>
      <c r="U28" s="21" t="n"/>
      <c r="V28" s="22">
        <f>IF(OR($E28=0,U$78=0),0,IF(AND(U28="N/A",$G28&lt;&gt;""),0,$F28+SUMPRODUCT(($G$14:$G$71=$A28)*($E$14:$E$71=1)*(U$14:U$71="N/A")*$F$14:$F$71)))</f>
        <v/>
      </c>
      <c r="W28" s="22">
        <f>IF(U28="SI",V28,0)</f>
        <v/>
      </c>
      <c r="X28" s="21" t="n"/>
      <c r="Y28" s="22">
        <f>IF(OR($E28=0,X$78=0),0,IF(AND(X28="N/A",$G28&lt;&gt;""),0,$F28+SUMPRODUCT(($G$14:$G$71=$A28)*($E$14:$E$71=1)*(X$14:X$71="N/A")*$F$14:$F$71)))</f>
        <v/>
      </c>
      <c r="Z28" s="22">
        <f>IF(X28="SI",Y28,0)</f>
        <v/>
      </c>
      <c r="AA28" s="22">
        <f>SUM(J28,M28,P28,S28,V28,Y28)</f>
        <v/>
      </c>
      <c r="AB28" s="22">
        <f>SUM(K28,N28,Q28,T28,W28,Z28)</f>
        <v/>
      </c>
      <c r="AC28" s="23">
        <f>IF(AA28=0,"",AB28/AA28)</f>
        <v/>
      </c>
      <c r="AD28" s="22">
        <f>CRITERIOS!Q16</f>
        <v/>
      </c>
      <c r="AE28" s="22">
        <f>IF(AND(E28=1,H28&lt;&gt;"X",((I28="N/A")+(L28="N/A")+(O28="N/A")+(R28="N/A")+(U28="N/A")+(X28="N/A"))&gt;0),"REVISAR","")</f>
        <v/>
      </c>
    </row>
    <row r="29">
      <c r="A29" s="19">
        <f>CRITERIOS!B17</f>
        <v/>
      </c>
      <c r="B29" s="19">
        <f>CRITERIOS!C17</f>
        <v/>
      </c>
      <c r="C29" s="20">
        <f>CRITERIOS!D17</f>
        <v/>
      </c>
      <c r="D29" s="19">
        <f>CRITERIOS!E17</f>
        <v/>
      </c>
      <c r="E29" s="19">
        <f>IFERROR(IF(AND(OR(CRITERIOS!F17="Todos",CRITERIOS!F17=$B$4),INDEX(CRITERIOS!H17:J17,MATCH($B$5,VARIABLES!$E$2:$E$4,0))=1),1,0),0)</f>
        <v/>
      </c>
      <c r="F29" s="19">
        <f>IFERROR(IF(E29=1,INDEX(CRITERIOS!K17:M17,MATCH($B$5,VARIABLES!$E$2:$E$4,0)),0),0)</f>
        <v/>
      </c>
      <c r="G29" s="19">
        <f>IF(CRITERIOS!N17="","",CRITERIOS!N17)</f>
        <v/>
      </c>
      <c r="H29" s="19">
        <f>IF(CRITERIOS!O17="","",CRITERIOS!O17)</f>
        <v/>
      </c>
      <c r="I29" s="21" t="n"/>
      <c r="J29" s="22">
        <f>IF(OR($E29=0,I$78=0),0,IF(AND(I29="N/A",$G29&lt;&gt;""),0,$F29+SUMPRODUCT(($G$14:$G$71=$A29)*($E$14:$E$71=1)*(I$14:I$71="N/A")*$F$14:$F$71)))</f>
        <v/>
      </c>
      <c r="K29" s="22">
        <f>IF(I29="SI",J29,0)</f>
        <v/>
      </c>
      <c r="L29" s="21" t="n"/>
      <c r="M29" s="22">
        <f>IF(OR($E29=0,L$78=0),0,IF(AND(L29="N/A",$G29&lt;&gt;""),0,$F29+SUMPRODUCT(($G$14:$G$71=$A29)*($E$14:$E$71=1)*(L$14:L$71="N/A")*$F$14:$F$71)))</f>
        <v/>
      </c>
      <c r="N29" s="22">
        <f>IF(L29="SI",M29,0)</f>
        <v/>
      </c>
      <c r="O29" s="21" t="n"/>
      <c r="P29" s="22">
        <f>IF(OR($E29=0,O$78=0),0,IF(AND(O29="N/A",$G29&lt;&gt;""),0,$F29+SUMPRODUCT(($G$14:$G$71=$A29)*($E$14:$E$71=1)*(O$14:O$71="N/A")*$F$14:$F$71)))</f>
        <v/>
      </c>
      <c r="Q29" s="22">
        <f>IF(O29="SI",P29,0)</f>
        <v/>
      </c>
      <c r="R29" s="21" t="n"/>
      <c r="S29" s="22">
        <f>IF(OR($E29=0,R$78=0),0,IF(AND(R29="N/A",$G29&lt;&gt;""),0,$F29+SUMPRODUCT(($G$14:$G$71=$A29)*($E$14:$E$71=1)*(R$14:R$71="N/A")*$F$14:$F$71)))</f>
        <v/>
      </c>
      <c r="T29" s="22">
        <f>IF(R29="SI",S29,0)</f>
        <v/>
      </c>
      <c r="U29" s="21" t="n"/>
      <c r="V29" s="22">
        <f>IF(OR($E29=0,U$78=0),0,IF(AND(U29="N/A",$G29&lt;&gt;""),0,$F29+SUMPRODUCT(($G$14:$G$71=$A29)*($E$14:$E$71=1)*(U$14:U$71="N/A")*$F$14:$F$71)))</f>
        <v/>
      </c>
      <c r="W29" s="22">
        <f>IF(U29="SI",V29,0)</f>
        <v/>
      </c>
      <c r="X29" s="21" t="n"/>
      <c r="Y29" s="22">
        <f>IF(OR($E29=0,X$78=0),0,IF(AND(X29="N/A",$G29&lt;&gt;""),0,$F29+SUMPRODUCT(($G$14:$G$71=$A29)*($E$14:$E$71=1)*(X$14:X$71="N/A")*$F$14:$F$71)))</f>
        <v/>
      </c>
      <c r="Z29" s="22">
        <f>IF(X29="SI",Y29,0)</f>
        <v/>
      </c>
      <c r="AA29" s="22">
        <f>SUM(J29,M29,P29,S29,V29,Y29)</f>
        <v/>
      </c>
      <c r="AB29" s="22">
        <f>SUM(K29,N29,Q29,T29,W29,Z29)</f>
        <v/>
      </c>
      <c r="AC29" s="23">
        <f>IF(AA29=0,"",AB29/AA29)</f>
        <v/>
      </c>
      <c r="AD29" s="22">
        <f>CRITERIOS!Q17</f>
        <v/>
      </c>
      <c r="AE29" s="22">
        <f>IF(AND(E29=1,H29&lt;&gt;"X",((I29="N/A")+(L29="N/A")+(O29="N/A")+(R29="N/A")+(U29="N/A")+(X29="N/A"))&gt;0),"REVISAR","")</f>
        <v/>
      </c>
    </row>
    <row r="30">
      <c r="A30" s="22">
        <f>CRITERIOS!B18</f>
        <v/>
      </c>
      <c r="B30" s="22">
        <f>CRITERIOS!C18</f>
        <v/>
      </c>
      <c r="C30" s="8">
        <f>CRITERIOS!D18</f>
        <v/>
      </c>
      <c r="D30" s="22">
        <f>CRITERIOS!E18</f>
        <v/>
      </c>
      <c r="E30" s="22">
        <f>IFERROR(IF(AND(OR(CRITERIOS!F18="Todos",CRITERIOS!F18=$B$4),INDEX(CRITERIOS!H18:J18,MATCH($B$5,VARIABLES!$E$2:$E$4,0))=1),1,0),0)</f>
        <v/>
      </c>
      <c r="F30" s="22">
        <f>IFERROR(IF(E30=1,INDEX(CRITERIOS!K18:M18,MATCH($B$5,VARIABLES!$E$2:$E$4,0)),0),0)</f>
        <v/>
      </c>
      <c r="G30" s="22">
        <f>IF(CRITERIOS!N18="","",CRITERIOS!N18)</f>
        <v/>
      </c>
      <c r="H30" s="22">
        <f>IF(CRITERIOS!O18="","",CRITERIOS!O18)</f>
        <v/>
      </c>
      <c r="I30" s="21" t="n"/>
      <c r="J30" s="22">
        <f>IF(OR($E30=0,I$78=0),0,IF(AND(I30="N/A",$G30&lt;&gt;""),0,$F30+SUMPRODUCT(($G$14:$G$71=$A30)*($E$14:$E$71=1)*(I$14:I$71="N/A")*$F$14:$F$71)))</f>
        <v/>
      </c>
      <c r="K30" s="22">
        <f>IF(I30="SI",J30,0)</f>
        <v/>
      </c>
      <c r="L30" s="21" t="n"/>
      <c r="M30" s="22">
        <f>IF(OR($E30=0,L$78=0),0,IF(AND(L30="N/A",$G30&lt;&gt;""),0,$F30+SUMPRODUCT(($G$14:$G$71=$A30)*($E$14:$E$71=1)*(L$14:L$71="N/A")*$F$14:$F$71)))</f>
        <v/>
      </c>
      <c r="N30" s="22">
        <f>IF(L30="SI",M30,0)</f>
        <v/>
      </c>
      <c r="O30" s="21" t="n"/>
      <c r="P30" s="22">
        <f>IF(OR($E30=0,O$78=0),0,IF(AND(O30="N/A",$G30&lt;&gt;""),0,$F30+SUMPRODUCT(($G$14:$G$71=$A30)*($E$14:$E$71=1)*(O$14:O$71="N/A")*$F$14:$F$71)))</f>
        <v/>
      </c>
      <c r="Q30" s="22">
        <f>IF(O30="SI",P30,0)</f>
        <v/>
      </c>
      <c r="R30" s="21" t="n"/>
      <c r="S30" s="22">
        <f>IF(OR($E30=0,R$78=0),0,IF(AND(R30="N/A",$G30&lt;&gt;""),0,$F30+SUMPRODUCT(($G$14:$G$71=$A30)*($E$14:$E$71=1)*(R$14:R$71="N/A")*$F$14:$F$71)))</f>
        <v/>
      </c>
      <c r="T30" s="22">
        <f>IF(R30="SI",S30,0)</f>
        <v/>
      </c>
      <c r="U30" s="21" t="n"/>
      <c r="V30" s="22">
        <f>IF(OR($E30=0,U$78=0),0,IF(AND(U30="N/A",$G30&lt;&gt;""),0,$F30+SUMPRODUCT(($G$14:$G$71=$A30)*($E$14:$E$71=1)*(U$14:U$71="N/A")*$F$14:$F$71)))</f>
        <v/>
      </c>
      <c r="W30" s="22">
        <f>IF(U30="SI",V30,0)</f>
        <v/>
      </c>
      <c r="X30" s="21" t="n"/>
      <c r="Y30" s="22">
        <f>IF(OR($E30=0,X$78=0),0,IF(AND(X30="N/A",$G30&lt;&gt;""),0,$F30+SUMPRODUCT(($G$14:$G$71=$A30)*($E$14:$E$71=1)*(X$14:X$71="N/A")*$F$14:$F$71)))</f>
        <v/>
      </c>
      <c r="Z30" s="22">
        <f>IF(X30="SI",Y30,0)</f>
        <v/>
      </c>
      <c r="AA30" s="22">
        <f>SUM(J30,M30,P30,S30,V30,Y30)</f>
        <v/>
      </c>
      <c r="AB30" s="22">
        <f>SUM(K30,N30,Q30,T30,W30,Z30)</f>
        <v/>
      </c>
      <c r="AC30" s="23">
        <f>IF(AA30=0,"",AB30/AA30)</f>
        <v/>
      </c>
      <c r="AD30" s="22">
        <f>CRITERIOS!Q18</f>
        <v/>
      </c>
      <c r="AE30" s="22">
        <f>IF(AND(E30=1,H30&lt;&gt;"X",((I30="N/A")+(L30="N/A")+(O30="N/A")+(R30="N/A")+(U30="N/A")+(X30="N/A"))&gt;0),"REVISAR","")</f>
        <v/>
      </c>
    </row>
    <row r="31">
      <c r="A31" s="24">
        <f>CRITERIOS!B19</f>
        <v/>
      </c>
      <c r="B31" s="24">
        <f>CRITERIOS!C19</f>
        <v/>
      </c>
      <c r="C31" s="25">
        <f>CRITERIOS!D19</f>
        <v/>
      </c>
      <c r="D31" s="24">
        <f>CRITERIOS!E19</f>
        <v/>
      </c>
      <c r="E31" s="24">
        <f>IFERROR(IF(AND(OR(CRITERIOS!F19="Todos",CRITERIOS!F19=$B$4),INDEX(CRITERIOS!H19:J19,MATCH($B$5,VARIABLES!$E$2:$E$4,0))=1),1,0),0)</f>
        <v/>
      </c>
      <c r="F31" s="24">
        <f>IFERROR(IF(E31=1,INDEX(CRITERIOS!K19:M19,MATCH($B$5,VARIABLES!$E$2:$E$4,0)),0),0)</f>
        <v/>
      </c>
      <c r="G31" s="24">
        <f>IF(CRITERIOS!N19="","",CRITERIOS!N19)</f>
        <v/>
      </c>
      <c r="H31" s="24">
        <f>IF(CRITERIOS!O19="","",CRITERIOS!O19)</f>
        <v/>
      </c>
      <c r="I31" s="21" t="n"/>
      <c r="J31" s="22">
        <f>IF(OR($E31=0,I$78=0),0,IF(AND(I31="N/A",$G31&lt;&gt;""),0,$F31+SUMPRODUCT(($G$14:$G$71=$A31)*($E$14:$E$71=1)*(I$14:I$71="N/A")*$F$14:$F$71)))</f>
        <v/>
      </c>
      <c r="K31" s="22">
        <f>IF(I31="SI",J31,0)</f>
        <v/>
      </c>
      <c r="L31" s="21" t="n"/>
      <c r="M31" s="22">
        <f>IF(OR($E31=0,L$78=0),0,IF(AND(L31="N/A",$G31&lt;&gt;""),0,$F31+SUMPRODUCT(($G$14:$G$71=$A31)*($E$14:$E$71=1)*(L$14:L$71="N/A")*$F$14:$F$71)))</f>
        <v/>
      </c>
      <c r="N31" s="22">
        <f>IF(L31="SI",M31,0)</f>
        <v/>
      </c>
      <c r="O31" s="21" t="n"/>
      <c r="P31" s="22">
        <f>IF(OR($E31=0,O$78=0),0,IF(AND(O31="N/A",$G31&lt;&gt;""),0,$F31+SUMPRODUCT(($G$14:$G$71=$A31)*($E$14:$E$71=1)*(O$14:O$71="N/A")*$F$14:$F$71)))</f>
        <v/>
      </c>
      <c r="Q31" s="22">
        <f>IF(O31="SI",P31,0)</f>
        <v/>
      </c>
      <c r="R31" s="21" t="n"/>
      <c r="S31" s="22">
        <f>IF(OR($E31=0,R$78=0),0,IF(AND(R31="N/A",$G31&lt;&gt;""),0,$F31+SUMPRODUCT(($G$14:$G$71=$A31)*($E$14:$E$71=1)*(R$14:R$71="N/A")*$F$14:$F$71)))</f>
        <v/>
      </c>
      <c r="T31" s="22">
        <f>IF(R31="SI",S31,0)</f>
        <v/>
      </c>
      <c r="U31" s="21" t="n"/>
      <c r="V31" s="22">
        <f>IF(OR($E31=0,U$78=0),0,IF(AND(U31="N/A",$G31&lt;&gt;""),0,$F31+SUMPRODUCT(($G$14:$G$71=$A31)*($E$14:$E$71=1)*(U$14:U$71="N/A")*$F$14:$F$71)))</f>
        <v/>
      </c>
      <c r="W31" s="22">
        <f>IF(U31="SI",V31,0)</f>
        <v/>
      </c>
      <c r="X31" s="21" t="n"/>
      <c r="Y31" s="22">
        <f>IF(OR($E31=0,X$78=0),0,IF(AND(X31="N/A",$G31&lt;&gt;""),0,$F31+SUMPRODUCT(($G$14:$G$71=$A31)*($E$14:$E$71=1)*(X$14:X$71="N/A")*$F$14:$F$71)))</f>
        <v/>
      </c>
      <c r="Z31" s="22">
        <f>IF(X31="SI",Y31,0)</f>
        <v/>
      </c>
      <c r="AA31" s="22">
        <f>SUM(J31,M31,P31,S31,V31,Y31)</f>
        <v/>
      </c>
      <c r="AB31" s="22">
        <f>SUM(K31,N31,Q31,T31,W31,Z31)</f>
        <v/>
      </c>
      <c r="AC31" s="23">
        <f>IF(AA31=0,"",AB31/AA31)</f>
        <v/>
      </c>
      <c r="AD31" s="22">
        <f>CRITERIOS!Q19</f>
        <v/>
      </c>
      <c r="AE31" s="22">
        <f>IF(AND(E31=1,H31&lt;&gt;"X",((I31="N/A")+(L31="N/A")+(O31="N/A")+(R31="N/A")+(U31="N/A")+(X31="N/A"))&gt;0),"REVISAR","")</f>
        <v/>
      </c>
    </row>
    <row r="32">
      <c r="A32" s="24">
        <f>CRITERIOS!B20</f>
        <v/>
      </c>
      <c r="B32" s="24">
        <f>CRITERIOS!C20</f>
        <v/>
      </c>
      <c r="C32" s="25">
        <f>CRITERIOS!D20</f>
        <v/>
      </c>
      <c r="D32" s="24">
        <f>CRITERIOS!E20</f>
        <v/>
      </c>
      <c r="E32" s="24">
        <f>IFERROR(IF(AND(OR(CRITERIOS!F20="Todos",CRITERIOS!F20=$B$4),INDEX(CRITERIOS!H20:J20,MATCH($B$5,VARIABLES!$E$2:$E$4,0))=1),1,0),0)</f>
        <v/>
      </c>
      <c r="F32" s="24">
        <f>IFERROR(IF(E32=1,INDEX(CRITERIOS!K20:M20,MATCH($B$5,VARIABLES!$E$2:$E$4,0)),0),0)</f>
        <v/>
      </c>
      <c r="G32" s="24">
        <f>IF(CRITERIOS!N20="","",CRITERIOS!N20)</f>
        <v/>
      </c>
      <c r="H32" s="24">
        <f>IF(CRITERIOS!O20="","",CRITERIOS!O20)</f>
        <v/>
      </c>
      <c r="I32" s="21" t="n"/>
      <c r="J32" s="22">
        <f>IF(OR($E32=0,I$78=0),0,IF(AND(I32="N/A",$G32&lt;&gt;""),0,$F32+SUMPRODUCT(($G$14:$G$71=$A32)*($E$14:$E$71=1)*(I$14:I$71="N/A")*$F$14:$F$71)))</f>
        <v/>
      </c>
      <c r="K32" s="22">
        <f>IF(I32="SI",J32,0)</f>
        <v/>
      </c>
      <c r="L32" s="21" t="n"/>
      <c r="M32" s="22">
        <f>IF(OR($E32=0,L$78=0),0,IF(AND(L32="N/A",$G32&lt;&gt;""),0,$F32+SUMPRODUCT(($G$14:$G$71=$A32)*($E$14:$E$71=1)*(L$14:L$71="N/A")*$F$14:$F$71)))</f>
        <v/>
      </c>
      <c r="N32" s="22">
        <f>IF(L32="SI",M32,0)</f>
        <v/>
      </c>
      <c r="O32" s="21" t="n"/>
      <c r="P32" s="22">
        <f>IF(OR($E32=0,O$78=0),0,IF(AND(O32="N/A",$G32&lt;&gt;""),0,$F32+SUMPRODUCT(($G$14:$G$71=$A32)*($E$14:$E$71=1)*(O$14:O$71="N/A")*$F$14:$F$71)))</f>
        <v/>
      </c>
      <c r="Q32" s="22">
        <f>IF(O32="SI",P32,0)</f>
        <v/>
      </c>
      <c r="R32" s="21" t="n"/>
      <c r="S32" s="22">
        <f>IF(OR($E32=0,R$78=0),0,IF(AND(R32="N/A",$G32&lt;&gt;""),0,$F32+SUMPRODUCT(($G$14:$G$71=$A32)*($E$14:$E$71=1)*(R$14:R$71="N/A")*$F$14:$F$71)))</f>
        <v/>
      </c>
      <c r="T32" s="22">
        <f>IF(R32="SI",S32,0)</f>
        <v/>
      </c>
      <c r="U32" s="21" t="n"/>
      <c r="V32" s="22">
        <f>IF(OR($E32=0,U$78=0),0,IF(AND(U32="N/A",$G32&lt;&gt;""),0,$F32+SUMPRODUCT(($G$14:$G$71=$A32)*($E$14:$E$71=1)*(U$14:U$71="N/A")*$F$14:$F$71)))</f>
        <v/>
      </c>
      <c r="W32" s="22">
        <f>IF(U32="SI",V32,0)</f>
        <v/>
      </c>
      <c r="X32" s="21" t="n"/>
      <c r="Y32" s="22">
        <f>IF(OR($E32=0,X$78=0),0,IF(AND(X32="N/A",$G32&lt;&gt;""),0,$F32+SUMPRODUCT(($G$14:$G$71=$A32)*($E$14:$E$71=1)*(X$14:X$71="N/A")*$F$14:$F$71)))</f>
        <v/>
      </c>
      <c r="Z32" s="22">
        <f>IF(X32="SI",Y32,0)</f>
        <v/>
      </c>
      <c r="AA32" s="22">
        <f>SUM(J32,M32,P32,S32,V32,Y32)</f>
        <v/>
      </c>
      <c r="AB32" s="22">
        <f>SUM(K32,N32,Q32,T32,W32,Z32)</f>
        <v/>
      </c>
      <c r="AC32" s="23">
        <f>IF(AA32=0,"",AB32/AA32)</f>
        <v/>
      </c>
      <c r="AD32" s="22">
        <f>CRITERIOS!Q20</f>
        <v/>
      </c>
      <c r="AE32" s="22">
        <f>IF(AND(E32=1,H32&lt;&gt;"X",((I32="N/A")+(L32="N/A")+(O32="N/A")+(R32="N/A")+(U32="N/A")+(X32="N/A"))&gt;0),"REVISAR","")</f>
        <v/>
      </c>
    </row>
    <row r="33">
      <c r="A33" s="24">
        <f>CRITERIOS!B21</f>
        <v/>
      </c>
      <c r="B33" s="24">
        <f>CRITERIOS!C21</f>
        <v/>
      </c>
      <c r="C33" s="25">
        <f>CRITERIOS!D21</f>
        <v/>
      </c>
      <c r="D33" s="24">
        <f>CRITERIOS!E21</f>
        <v/>
      </c>
      <c r="E33" s="24">
        <f>IFERROR(IF(AND(OR(CRITERIOS!F21="Todos",CRITERIOS!F21=$B$4),INDEX(CRITERIOS!H21:J21,MATCH($B$5,VARIABLES!$E$2:$E$4,0))=1),1,0),0)</f>
        <v/>
      </c>
      <c r="F33" s="24">
        <f>IFERROR(IF(E33=1,INDEX(CRITERIOS!K21:M21,MATCH($B$5,VARIABLES!$E$2:$E$4,0)),0),0)</f>
        <v/>
      </c>
      <c r="G33" s="24">
        <f>IF(CRITERIOS!N21="","",CRITERIOS!N21)</f>
        <v/>
      </c>
      <c r="H33" s="24">
        <f>IF(CRITERIOS!O21="","",CRITERIOS!O21)</f>
        <v/>
      </c>
      <c r="I33" s="21" t="n"/>
      <c r="J33" s="22">
        <f>IF(OR($E33=0,I$78=0),0,IF(AND(I33="N/A",$G33&lt;&gt;""),0,$F33+SUMPRODUCT(($G$14:$G$71=$A33)*($E$14:$E$71=1)*(I$14:I$71="N/A")*$F$14:$F$71)))</f>
        <v/>
      </c>
      <c r="K33" s="22">
        <f>IF(I33="SI",J33,0)</f>
        <v/>
      </c>
      <c r="L33" s="21" t="n"/>
      <c r="M33" s="22">
        <f>IF(OR($E33=0,L$78=0),0,IF(AND(L33="N/A",$G33&lt;&gt;""),0,$F33+SUMPRODUCT(($G$14:$G$71=$A33)*($E$14:$E$71=1)*(L$14:L$71="N/A")*$F$14:$F$71)))</f>
        <v/>
      </c>
      <c r="N33" s="22">
        <f>IF(L33="SI",M33,0)</f>
        <v/>
      </c>
      <c r="O33" s="21" t="n"/>
      <c r="P33" s="22">
        <f>IF(OR($E33=0,O$78=0),0,IF(AND(O33="N/A",$G33&lt;&gt;""),0,$F33+SUMPRODUCT(($G$14:$G$71=$A33)*($E$14:$E$71=1)*(O$14:O$71="N/A")*$F$14:$F$71)))</f>
        <v/>
      </c>
      <c r="Q33" s="22">
        <f>IF(O33="SI",P33,0)</f>
        <v/>
      </c>
      <c r="R33" s="21" t="n"/>
      <c r="S33" s="22">
        <f>IF(OR($E33=0,R$78=0),0,IF(AND(R33="N/A",$G33&lt;&gt;""),0,$F33+SUMPRODUCT(($G$14:$G$71=$A33)*($E$14:$E$71=1)*(R$14:R$71="N/A")*$F$14:$F$71)))</f>
        <v/>
      </c>
      <c r="T33" s="22">
        <f>IF(R33="SI",S33,0)</f>
        <v/>
      </c>
      <c r="U33" s="21" t="n"/>
      <c r="V33" s="22">
        <f>IF(OR($E33=0,U$78=0),0,IF(AND(U33="N/A",$G33&lt;&gt;""),0,$F33+SUMPRODUCT(($G$14:$G$71=$A33)*($E$14:$E$71=1)*(U$14:U$71="N/A")*$F$14:$F$71)))</f>
        <v/>
      </c>
      <c r="W33" s="22">
        <f>IF(U33="SI",V33,0)</f>
        <v/>
      </c>
      <c r="X33" s="21" t="n"/>
      <c r="Y33" s="22">
        <f>IF(OR($E33=0,X$78=0),0,IF(AND(X33="N/A",$G33&lt;&gt;""),0,$F33+SUMPRODUCT(($G$14:$G$71=$A33)*($E$14:$E$71=1)*(X$14:X$71="N/A")*$F$14:$F$71)))</f>
        <v/>
      </c>
      <c r="Z33" s="22">
        <f>IF(X33="SI",Y33,0)</f>
        <v/>
      </c>
      <c r="AA33" s="22">
        <f>SUM(J33,M33,P33,S33,V33,Y33)</f>
        <v/>
      </c>
      <c r="AB33" s="22">
        <f>SUM(K33,N33,Q33,T33,W33,Z33)</f>
        <v/>
      </c>
      <c r="AC33" s="23">
        <f>IF(AA33=0,"",AB33/AA33)</f>
        <v/>
      </c>
      <c r="AD33" s="22">
        <f>CRITERIOS!Q21</f>
        <v/>
      </c>
      <c r="AE33" s="22">
        <f>IF(AND(E33=1,H33&lt;&gt;"X",((I33="N/A")+(L33="N/A")+(O33="N/A")+(R33="N/A")+(U33="N/A")+(X33="N/A"))&gt;0),"REVISAR","")</f>
        <v/>
      </c>
    </row>
    <row r="34">
      <c r="A34" s="22">
        <f>CRITERIOS!B22</f>
        <v/>
      </c>
      <c r="B34" s="22">
        <f>CRITERIOS!C22</f>
        <v/>
      </c>
      <c r="C34" s="8">
        <f>CRITERIOS!D22</f>
        <v/>
      </c>
      <c r="D34" s="22">
        <f>CRITERIOS!E22</f>
        <v/>
      </c>
      <c r="E34" s="22">
        <f>IFERROR(IF(AND(OR(CRITERIOS!F22="Todos",CRITERIOS!F22=$B$4),INDEX(CRITERIOS!H22:J22,MATCH($B$5,VARIABLES!$E$2:$E$4,0))=1),1,0),0)</f>
        <v/>
      </c>
      <c r="F34" s="22">
        <f>IFERROR(IF(E34=1,INDEX(CRITERIOS!K22:M22,MATCH($B$5,VARIABLES!$E$2:$E$4,0)),0),0)</f>
        <v/>
      </c>
      <c r="G34" s="22">
        <f>IF(CRITERIOS!N22="","",CRITERIOS!N22)</f>
        <v/>
      </c>
      <c r="H34" s="22">
        <f>IF(CRITERIOS!O22="","",CRITERIOS!O22)</f>
        <v/>
      </c>
      <c r="I34" s="21" t="n"/>
      <c r="J34" s="22">
        <f>IF(OR($E34=0,I$78=0),0,IF(AND(I34="N/A",$G34&lt;&gt;""),0,$F34+SUMPRODUCT(($G$14:$G$71=$A34)*($E$14:$E$71=1)*(I$14:I$71="N/A")*$F$14:$F$71)))</f>
        <v/>
      </c>
      <c r="K34" s="22">
        <f>IF(I34="SI",J34,0)</f>
        <v/>
      </c>
      <c r="L34" s="21" t="n"/>
      <c r="M34" s="22">
        <f>IF(OR($E34=0,L$78=0),0,IF(AND(L34="N/A",$G34&lt;&gt;""),0,$F34+SUMPRODUCT(($G$14:$G$71=$A34)*($E$14:$E$71=1)*(L$14:L$71="N/A")*$F$14:$F$71)))</f>
        <v/>
      </c>
      <c r="N34" s="22">
        <f>IF(L34="SI",M34,0)</f>
        <v/>
      </c>
      <c r="O34" s="21" t="n"/>
      <c r="P34" s="22">
        <f>IF(OR($E34=0,O$78=0),0,IF(AND(O34="N/A",$G34&lt;&gt;""),0,$F34+SUMPRODUCT(($G$14:$G$71=$A34)*($E$14:$E$71=1)*(O$14:O$71="N/A")*$F$14:$F$71)))</f>
        <v/>
      </c>
      <c r="Q34" s="22">
        <f>IF(O34="SI",P34,0)</f>
        <v/>
      </c>
      <c r="R34" s="21" t="n"/>
      <c r="S34" s="22">
        <f>IF(OR($E34=0,R$78=0),0,IF(AND(R34="N/A",$G34&lt;&gt;""),0,$F34+SUMPRODUCT(($G$14:$G$71=$A34)*($E$14:$E$71=1)*(R$14:R$71="N/A")*$F$14:$F$71)))</f>
        <v/>
      </c>
      <c r="T34" s="22">
        <f>IF(R34="SI",S34,0)</f>
        <v/>
      </c>
      <c r="U34" s="21" t="n"/>
      <c r="V34" s="22">
        <f>IF(OR($E34=0,U$78=0),0,IF(AND(U34="N/A",$G34&lt;&gt;""),0,$F34+SUMPRODUCT(($G$14:$G$71=$A34)*($E$14:$E$71=1)*(U$14:U$71="N/A")*$F$14:$F$71)))</f>
        <v/>
      </c>
      <c r="W34" s="22">
        <f>IF(U34="SI",V34,0)</f>
        <v/>
      </c>
      <c r="X34" s="21" t="n"/>
      <c r="Y34" s="22">
        <f>IF(OR($E34=0,X$78=0),0,IF(AND(X34="N/A",$G34&lt;&gt;""),0,$F34+SUMPRODUCT(($G$14:$G$71=$A34)*($E$14:$E$71=1)*(X$14:X$71="N/A")*$F$14:$F$71)))</f>
        <v/>
      </c>
      <c r="Z34" s="22">
        <f>IF(X34="SI",Y34,0)</f>
        <v/>
      </c>
      <c r="AA34" s="22">
        <f>SUM(J34,M34,P34,S34,V34,Y34)</f>
        <v/>
      </c>
      <c r="AB34" s="22">
        <f>SUM(K34,N34,Q34,T34,W34,Z34)</f>
        <v/>
      </c>
      <c r="AC34" s="23">
        <f>IF(AA34=0,"",AB34/AA34)</f>
        <v/>
      </c>
      <c r="AD34" s="22">
        <f>CRITERIOS!Q22</f>
        <v/>
      </c>
      <c r="AE34" s="22">
        <f>IF(AND(E34=1,H34&lt;&gt;"X",((I34="N/A")+(L34="N/A")+(O34="N/A")+(R34="N/A")+(U34="N/A")+(X34="N/A"))&gt;0),"REVISAR","")</f>
        <v/>
      </c>
    </row>
    <row r="35">
      <c r="A35" s="22">
        <f>CRITERIOS!B23</f>
        <v/>
      </c>
      <c r="B35" s="22">
        <f>CRITERIOS!C23</f>
        <v/>
      </c>
      <c r="C35" s="8">
        <f>CRITERIOS!D23</f>
        <v/>
      </c>
      <c r="D35" s="22">
        <f>CRITERIOS!E23</f>
        <v/>
      </c>
      <c r="E35" s="22">
        <f>IFERROR(IF(AND(OR(CRITERIOS!F23="Todos",CRITERIOS!F23=$B$4),INDEX(CRITERIOS!H23:J23,MATCH($B$5,VARIABLES!$E$2:$E$4,0))=1),1,0),0)</f>
        <v/>
      </c>
      <c r="F35" s="22">
        <f>IFERROR(IF(E35=1,INDEX(CRITERIOS!K23:M23,MATCH($B$5,VARIABLES!$E$2:$E$4,0)),0),0)</f>
        <v/>
      </c>
      <c r="G35" s="22">
        <f>IF(CRITERIOS!N23="","",CRITERIOS!N23)</f>
        <v/>
      </c>
      <c r="H35" s="22">
        <f>IF(CRITERIOS!O23="","",CRITERIOS!O23)</f>
        <v/>
      </c>
      <c r="I35" s="21" t="n"/>
      <c r="J35" s="22">
        <f>IF(OR($E35=0,I$78=0),0,IF(AND(I35="N/A",$G35&lt;&gt;""),0,$F35+SUMPRODUCT(($G$14:$G$71=$A35)*($E$14:$E$71=1)*(I$14:I$71="N/A")*$F$14:$F$71)))</f>
        <v/>
      </c>
      <c r="K35" s="22">
        <f>IF(I35="SI",J35,0)</f>
        <v/>
      </c>
      <c r="L35" s="21" t="n"/>
      <c r="M35" s="22">
        <f>IF(OR($E35=0,L$78=0),0,IF(AND(L35="N/A",$G35&lt;&gt;""),0,$F35+SUMPRODUCT(($G$14:$G$71=$A35)*($E$14:$E$71=1)*(L$14:L$71="N/A")*$F$14:$F$71)))</f>
        <v/>
      </c>
      <c r="N35" s="22">
        <f>IF(L35="SI",M35,0)</f>
        <v/>
      </c>
      <c r="O35" s="21" t="n"/>
      <c r="P35" s="22">
        <f>IF(OR($E35=0,O$78=0),0,IF(AND(O35="N/A",$G35&lt;&gt;""),0,$F35+SUMPRODUCT(($G$14:$G$71=$A35)*($E$14:$E$71=1)*(O$14:O$71="N/A")*$F$14:$F$71)))</f>
        <v/>
      </c>
      <c r="Q35" s="22">
        <f>IF(O35="SI",P35,0)</f>
        <v/>
      </c>
      <c r="R35" s="21" t="n"/>
      <c r="S35" s="22">
        <f>IF(OR($E35=0,R$78=0),0,IF(AND(R35="N/A",$G35&lt;&gt;""),0,$F35+SUMPRODUCT(($G$14:$G$71=$A35)*($E$14:$E$71=1)*(R$14:R$71="N/A")*$F$14:$F$71)))</f>
        <v/>
      </c>
      <c r="T35" s="22">
        <f>IF(R35="SI",S35,0)</f>
        <v/>
      </c>
      <c r="U35" s="21" t="n"/>
      <c r="V35" s="22">
        <f>IF(OR($E35=0,U$78=0),0,IF(AND(U35="N/A",$G35&lt;&gt;""),0,$F35+SUMPRODUCT(($G$14:$G$71=$A35)*($E$14:$E$71=1)*(U$14:U$71="N/A")*$F$14:$F$71)))</f>
        <v/>
      </c>
      <c r="W35" s="22">
        <f>IF(U35="SI",V35,0)</f>
        <v/>
      </c>
      <c r="X35" s="21" t="n"/>
      <c r="Y35" s="22">
        <f>IF(OR($E35=0,X$78=0),0,IF(AND(X35="N/A",$G35&lt;&gt;""),0,$F35+SUMPRODUCT(($G$14:$G$71=$A35)*($E$14:$E$71=1)*(X$14:X$71="N/A")*$F$14:$F$71)))</f>
        <v/>
      </c>
      <c r="Z35" s="22">
        <f>IF(X35="SI",Y35,0)</f>
        <v/>
      </c>
      <c r="AA35" s="22">
        <f>SUM(J35,M35,P35,S35,V35,Y35)</f>
        <v/>
      </c>
      <c r="AB35" s="22">
        <f>SUM(K35,N35,Q35,T35,W35,Z35)</f>
        <v/>
      </c>
      <c r="AC35" s="23">
        <f>IF(AA35=0,"",AB35/AA35)</f>
        <v/>
      </c>
      <c r="AD35" s="22">
        <f>CRITERIOS!Q23</f>
        <v/>
      </c>
      <c r="AE35" s="22">
        <f>IF(AND(E35=1,H35&lt;&gt;"X",((I35="N/A")+(L35="N/A")+(O35="N/A")+(R35="N/A")+(U35="N/A")+(X35="N/A"))&gt;0),"REVISAR","")</f>
        <v/>
      </c>
    </row>
    <row r="36">
      <c r="A36" s="22">
        <f>CRITERIOS!B24</f>
        <v/>
      </c>
      <c r="B36" s="22">
        <f>CRITERIOS!C24</f>
        <v/>
      </c>
      <c r="C36" s="8">
        <f>CRITERIOS!D24</f>
        <v/>
      </c>
      <c r="D36" s="22">
        <f>CRITERIOS!E24</f>
        <v/>
      </c>
      <c r="E36" s="22">
        <f>IFERROR(IF(AND(OR(CRITERIOS!F24="Todos",CRITERIOS!F24=$B$4),INDEX(CRITERIOS!H24:J24,MATCH($B$5,VARIABLES!$E$2:$E$4,0))=1),1,0),0)</f>
        <v/>
      </c>
      <c r="F36" s="22">
        <f>IFERROR(IF(E36=1,INDEX(CRITERIOS!K24:M24,MATCH($B$5,VARIABLES!$E$2:$E$4,0)),0),0)</f>
        <v/>
      </c>
      <c r="G36" s="22">
        <f>IF(CRITERIOS!N24="","",CRITERIOS!N24)</f>
        <v/>
      </c>
      <c r="H36" s="22">
        <f>IF(CRITERIOS!O24="","",CRITERIOS!O24)</f>
        <v/>
      </c>
      <c r="I36" s="21" t="n"/>
      <c r="J36" s="22">
        <f>IF(OR($E36=0,I$78=0),0,IF(AND(I36="N/A",$G36&lt;&gt;""),0,$F36+SUMPRODUCT(($G$14:$G$71=$A36)*($E$14:$E$71=1)*(I$14:I$71="N/A")*$F$14:$F$71)))</f>
        <v/>
      </c>
      <c r="K36" s="22">
        <f>IF(I36="SI",J36,0)</f>
        <v/>
      </c>
      <c r="L36" s="21" t="n"/>
      <c r="M36" s="22">
        <f>IF(OR($E36=0,L$78=0),0,IF(AND(L36="N/A",$G36&lt;&gt;""),0,$F36+SUMPRODUCT(($G$14:$G$71=$A36)*($E$14:$E$71=1)*(L$14:L$71="N/A")*$F$14:$F$71)))</f>
        <v/>
      </c>
      <c r="N36" s="22">
        <f>IF(L36="SI",M36,0)</f>
        <v/>
      </c>
      <c r="O36" s="21" t="n"/>
      <c r="P36" s="22">
        <f>IF(OR($E36=0,O$78=0),0,IF(AND(O36="N/A",$G36&lt;&gt;""),0,$F36+SUMPRODUCT(($G$14:$G$71=$A36)*($E$14:$E$71=1)*(O$14:O$71="N/A")*$F$14:$F$71)))</f>
        <v/>
      </c>
      <c r="Q36" s="22">
        <f>IF(O36="SI",P36,0)</f>
        <v/>
      </c>
      <c r="R36" s="21" t="n"/>
      <c r="S36" s="22">
        <f>IF(OR($E36=0,R$78=0),0,IF(AND(R36="N/A",$G36&lt;&gt;""),0,$F36+SUMPRODUCT(($G$14:$G$71=$A36)*($E$14:$E$71=1)*(R$14:R$71="N/A")*$F$14:$F$71)))</f>
        <v/>
      </c>
      <c r="T36" s="22">
        <f>IF(R36="SI",S36,0)</f>
        <v/>
      </c>
      <c r="U36" s="21" t="n"/>
      <c r="V36" s="22">
        <f>IF(OR($E36=0,U$78=0),0,IF(AND(U36="N/A",$G36&lt;&gt;""),0,$F36+SUMPRODUCT(($G$14:$G$71=$A36)*($E$14:$E$71=1)*(U$14:U$71="N/A")*$F$14:$F$71)))</f>
        <v/>
      </c>
      <c r="W36" s="22">
        <f>IF(U36="SI",V36,0)</f>
        <v/>
      </c>
      <c r="X36" s="21" t="n"/>
      <c r="Y36" s="22">
        <f>IF(OR($E36=0,X$78=0),0,IF(AND(X36="N/A",$G36&lt;&gt;""),0,$F36+SUMPRODUCT(($G$14:$G$71=$A36)*($E$14:$E$71=1)*(X$14:X$71="N/A")*$F$14:$F$71)))</f>
        <v/>
      </c>
      <c r="Z36" s="22">
        <f>IF(X36="SI",Y36,0)</f>
        <v/>
      </c>
      <c r="AA36" s="22">
        <f>SUM(J36,M36,P36,S36,V36,Y36)</f>
        <v/>
      </c>
      <c r="AB36" s="22">
        <f>SUM(K36,N36,Q36,T36,W36,Z36)</f>
        <v/>
      </c>
      <c r="AC36" s="23">
        <f>IF(AA36=0,"",AB36/AA36)</f>
        <v/>
      </c>
      <c r="AD36" s="22">
        <f>CRITERIOS!Q24</f>
        <v/>
      </c>
      <c r="AE36" s="22">
        <f>IF(AND(E36=1,H36&lt;&gt;"X",((I36="N/A")+(L36="N/A")+(O36="N/A")+(R36="N/A")+(U36="N/A")+(X36="N/A"))&gt;0),"REVISAR","")</f>
        <v/>
      </c>
    </row>
    <row r="37">
      <c r="A37" s="22">
        <f>CRITERIOS!B25</f>
        <v/>
      </c>
      <c r="B37" s="22">
        <f>CRITERIOS!C25</f>
        <v/>
      </c>
      <c r="C37" s="8">
        <f>CRITERIOS!D25</f>
        <v/>
      </c>
      <c r="D37" s="22">
        <f>CRITERIOS!E25</f>
        <v/>
      </c>
      <c r="E37" s="22">
        <f>IFERROR(IF(AND(OR(CRITERIOS!F25="Todos",CRITERIOS!F25=$B$4),INDEX(CRITERIOS!H25:J25,MATCH($B$5,VARIABLES!$E$2:$E$4,0))=1),1,0),0)</f>
        <v/>
      </c>
      <c r="F37" s="22">
        <f>IFERROR(IF(E37=1,INDEX(CRITERIOS!K25:M25,MATCH($B$5,VARIABLES!$E$2:$E$4,0)),0),0)</f>
        <v/>
      </c>
      <c r="G37" s="22">
        <f>IF(CRITERIOS!N25="","",CRITERIOS!N25)</f>
        <v/>
      </c>
      <c r="H37" s="22">
        <f>IF(CRITERIOS!O25="","",CRITERIOS!O25)</f>
        <v/>
      </c>
      <c r="I37" s="21" t="n"/>
      <c r="J37" s="22">
        <f>IF(OR($E37=0,I$78=0),0,IF(AND(I37="N/A",$G37&lt;&gt;""),0,$F37+SUMPRODUCT(($G$14:$G$71=$A37)*($E$14:$E$71=1)*(I$14:I$71="N/A")*$F$14:$F$71)))</f>
        <v/>
      </c>
      <c r="K37" s="22">
        <f>IF(I37="SI",J37,0)</f>
        <v/>
      </c>
      <c r="L37" s="21" t="n"/>
      <c r="M37" s="22">
        <f>IF(OR($E37=0,L$78=0),0,IF(AND(L37="N/A",$G37&lt;&gt;""),0,$F37+SUMPRODUCT(($G$14:$G$71=$A37)*($E$14:$E$71=1)*(L$14:L$71="N/A")*$F$14:$F$71)))</f>
        <v/>
      </c>
      <c r="N37" s="22">
        <f>IF(L37="SI",M37,0)</f>
        <v/>
      </c>
      <c r="O37" s="21" t="n"/>
      <c r="P37" s="22">
        <f>IF(OR($E37=0,O$78=0),0,IF(AND(O37="N/A",$G37&lt;&gt;""),0,$F37+SUMPRODUCT(($G$14:$G$71=$A37)*($E$14:$E$71=1)*(O$14:O$71="N/A")*$F$14:$F$71)))</f>
        <v/>
      </c>
      <c r="Q37" s="22">
        <f>IF(O37="SI",P37,0)</f>
        <v/>
      </c>
      <c r="R37" s="21" t="n"/>
      <c r="S37" s="22">
        <f>IF(OR($E37=0,R$78=0),0,IF(AND(R37="N/A",$G37&lt;&gt;""),0,$F37+SUMPRODUCT(($G$14:$G$71=$A37)*($E$14:$E$71=1)*(R$14:R$71="N/A")*$F$14:$F$71)))</f>
        <v/>
      </c>
      <c r="T37" s="22">
        <f>IF(R37="SI",S37,0)</f>
        <v/>
      </c>
      <c r="U37" s="21" t="n"/>
      <c r="V37" s="22">
        <f>IF(OR($E37=0,U$78=0),0,IF(AND(U37="N/A",$G37&lt;&gt;""),0,$F37+SUMPRODUCT(($G$14:$G$71=$A37)*($E$14:$E$71=1)*(U$14:U$71="N/A")*$F$14:$F$71)))</f>
        <v/>
      </c>
      <c r="W37" s="22">
        <f>IF(U37="SI",V37,0)</f>
        <v/>
      </c>
      <c r="X37" s="21" t="n"/>
      <c r="Y37" s="22">
        <f>IF(OR($E37=0,X$78=0),0,IF(AND(X37="N/A",$G37&lt;&gt;""),0,$F37+SUMPRODUCT(($G$14:$G$71=$A37)*($E$14:$E$71=1)*(X$14:X$71="N/A")*$F$14:$F$71)))</f>
        <v/>
      </c>
      <c r="Z37" s="22">
        <f>IF(X37="SI",Y37,0)</f>
        <v/>
      </c>
      <c r="AA37" s="22">
        <f>SUM(J37,M37,P37,S37,V37,Y37)</f>
        <v/>
      </c>
      <c r="AB37" s="22">
        <f>SUM(K37,N37,Q37,T37,W37,Z37)</f>
        <v/>
      </c>
      <c r="AC37" s="23">
        <f>IF(AA37=0,"",AB37/AA37)</f>
        <v/>
      </c>
      <c r="AD37" s="22">
        <f>CRITERIOS!Q25</f>
        <v/>
      </c>
      <c r="AE37" s="22">
        <f>IF(AND(E37=1,H37&lt;&gt;"X",((I37="N/A")+(L37="N/A")+(O37="N/A")+(R37="N/A")+(U37="N/A")+(X37="N/A"))&gt;0),"REVISAR","")</f>
        <v/>
      </c>
    </row>
    <row r="38">
      <c r="A38" s="22">
        <f>CRITERIOS!B26</f>
        <v/>
      </c>
      <c r="B38" s="22">
        <f>CRITERIOS!C26</f>
        <v/>
      </c>
      <c r="C38" s="8">
        <f>CRITERIOS!D26</f>
        <v/>
      </c>
      <c r="D38" s="22">
        <f>CRITERIOS!E26</f>
        <v/>
      </c>
      <c r="E38" s="22">
        <f>IFERROR(IF(AND(OR(CRITERIOS!F26="Todos",CRITERIOS!F26=$B$4),INDEX(CRITERIOS!H26:J26,MATCH($B$5,VARIABLES!$E$2:$E$4,0))=1),1,0),0)</f>
        <v/>
      </c>
      <c r="F38" s="22">
        <f>IFERROR(IF(E38=1,INDEX(CRITERIOS!K26:M26,MATCH($B$5,VARIABLES!$E$2:$E$4,0)),0),0)</f>
        <v/>
      </c>
      <c r="G38" s="22">
        <f>IF(CRITERIOS!N26="","",CRITERIOS!N26)</f>
        <v/>
      </c>
      <c r="H38" s="22">
        <f>IF(CRITERIOS!O26="","",CRITERIOS!O26)</f>
        <v/>
      </c>
      <c r="I38" s="21" t="n"/>
      <c r="J38" s="22">
        <f>IF(OR($E38=0,I$78=0),0,IF(AND(I38="N/A",$G38&lt;&gt;""),0,$F38+SUMPRODUCT(($G$14:$G$71=$A38)*($E$14:$E$71=1)*(I$14:I$71="N/A")*$F$14:$F$71)))</f>
        <v/>
      </c>
      <c r="K38" s="22">
        <f>IF(I38="SI",J38,0)</f>
        <v/>
      </c>
      <c r="L38" s="21" t="n"/>
      <c r="M38" s="22">
        <f>IF(OR($E38=0,L$78=0),0,IF(AND(L38="N/A",$G38&lt;&gt;""),0,$F38+SUMPRODUCT(($G$14:$G$71=$A38)*($E$14:$E$71=1)*(L$14:L$71="N/A")*$F$14:$F$71)))</f>
        <v/>
      </c>
      <c r="N38" s="22">
        <f>IF(L38="SI",M38,0)</f>
        <v/>
      </c>
      <c r="O38" s="21" t="n"/>
      <c r="P38" s="22">
        <f>IF(OR($E38=0,O$78=0),0,IF(AND(O38="N/A",$G38&lt;&gt;""),0,$F38+SUMPRODUCT(($G$14:$G$71=$A38)*($E$14:$E$71=1)*(O$14:O$71="N/A")*$F$14:$F$71)))</f>
        <v/>
      </c>
      <c r="Q38" s="22">
        <f>IF(O38="SI",P38,0)</f>
        <v/>
      </c>
      <c r="R38" s="21" t="n"/>
      <c r="S38" s="22">
        <f>IF(OR($E38=0,R$78=0),0,IF(AND(R38="N/A",$G38&lt;&gt;""),0,$F38+SUMPRODUCT(($G$14:$G$71=$A38)*($E$14:$E$71=1)*(R$14:R$71="N/A")*$F$14:$F$71)))</f>
        <v/>
      </c>
      <c r="T38" s="22">
        <f>IF(R38="SI",S38,0)</f>
        <v/>
      </c>
      <c r="U38" s="21" t="n"/>
      <c r="V38" s="22">
        <f>IF(OR($E38=0,U$78=0),0,IF(AND(U38="N/A",$G38&lt;&gt;""),0,$F38+SUMPRODUCT(($G$14:$G$71=$A38)*($E$14:$E$71=1)*(U$14:U$71="N/A")*$F$14:$F$71)))</f>
        <v/>
      </c>
      <c r="W38" s="22">
        <f>IF(U38="SI",V38,0)</f>
        <v/>
      </c>
      <c r="X38" s="21" t="n"/>
      <c r="Y38" s="22">
        <f>IF(OR($E38=0,X$78=0),0,IF(AND(X38="N/A",$G38&lt;&gt;""),0,$F38+SUMPRODUCT(($G$14:$G$71=$A38)*($E$14:$E$71=1)*(X$14:X$71="N/A")*$F$14:$F$71)))</f>
        <v/>
      </c>
      <c r="Z38" s="22">
        <f>IF(X38="SI",Y38,0)</f>
        <v/>
      </c>
      <c r="AA38" s="22">
        <f>SUM(J38,M38,P38,S38,V38,Y38)</f>
        <v/>
      </c>
      <c r="AB38" s="22">
        <f>SUM(K38,N38,Q38,T38,W38,Z38)</f>
        <v/>
      </c>
      <c r="AC38" s="23">
        <f>IF(AA38=0,"",AB38/AA38)</f>
        <v/>
      </c>
      <c r="AD38" s="22">
        <f>CRITERIOS!Q26</f>
        <v/>
      </c>
      <c r="AE38" s="22">
        <f>IF(AND(E38=1,H38&lt;&gt;"X",((I38="N/A")+(L38="N/A")+(O38="N/A")+(R38="N/A")+(U38="N/A")+(X38="N/A"))&gt;0),"REVISAR","")</f>
        <v/>
      </c>
    </row>
    <row r="39">
      <c r="A39" s="22">
        <f>CRITERIOS!B27</f>
        <v/>
      </c>
      <c r="B39" s="22">
        <f>CRITERIOS!C27</f>
        <v/>
      </c>
      <c r="C39" s="8">
        <f>CRITERIOS!D27</f>
        <v/>
      </c>
      <c r="D39" s="22">
        <f>CRITERIOS!E27</f>
        <v/>
      </c>
      <c r="E39" s="22">
        <f>IFERROR(IF(AND(OR(CRITERIOS!F27="Todos",CRITERIOS!F27=$B$4),INDEX(CRITERIOS!H27:J27,MATCH($B$5,VARIABLES!$E$2:$E$4,0))=1),1,0),0)</f>
        <v/>
      </c>
      <c r="F39" s="22">
        <f>IFERROR(IF(E39=1,INDEX(CRITERIOS!K27:M27,MATCH($B$5,VARIABLES!$E$2:$E$4,0)),0),0)</f>
        <v/>
      </c>
      <c r="G39" s="22">
        <f>IF(CRITERIOS!N27="","",CRITERIOS!N27)</f>
        <v/>
      </c>
      <c r="H39" s="22">
        <f>IF(CRITERIOS!O27="","",CRITERIOS!O27)</f>
        <v/>
      </c>
      <c r="I39" s="21" t="n"/>
      <c r="J39" s="22">
        <f>IF(OR($E39=0,I$78=0),0,IF(AND(I39="N/A",$G39&lt;&gt;""),0,$F39+SUMPRODUCT(($G$14:$G$71=$A39)*($E$14:$E$71=1)*(I$14:I$71="N/A")*$F$14:$F$71)))</f>
        <v/>
      </c>
      <c r="K39" s="22">
        <f>IF(I39="SI",J39,0)</f>
        <v/>
      </c>
      <c r="L39" s="21" t="n"/>
      <c r="M39" s="22">
        <f>IF(OR($E39=0,L$78=0),0,IF(AND(L39="N/A",$G39&lt;&gt;""),0,$F39+SUMPRODUCT(($G$14:$G$71=$A39)*($E$14:$E$71=1)*(L$14:L$71="N/A")*$F$14:$F$71)))</f>
        <v/>
      </c>
      <c r="N39" s="22">
        <f>IF(L39="SI",M39,0)</f>
        <v/>
      </c>
      <c r="O39" s="21" t="n"/>
      <c r="P39" s="22">
        <f>IF(OR($E39=0,O$78=0),0,IF(AND(O39="N/A",$G39&lt;&gt;""),0,$F39+SUMPRODUCT(($G$14:$G$71=$A39)*($E$14:$E$71=1)*(O$14:O$71="N/A")*$F$14:$F$71)))</f>
        <v/>
      </c>
      <c r="Q39" s="22">
        <f>IF(O39="SI",P39,0)</f>
        <v/>
      </c>
      <c r="R39" s="21" t="n"/>
      <c r="S39" s="22">
        <f>IF(OR($E39=0,R$78=0),0,IF(AND(R39="N/A",$G39&lt;&gt;""),0,$F39+SUMPRODUCT(($G$14:$G$71=$A39)*($E$14:$E$71=1)*(R$14:R$71="N/A")*$F$14:$F$71)))</f>
        <v/>
      </c>
      <c r="T39" s="22">
        <f>IF(R39="SI",S39,0)</f>
        <v/>
      </c>
      <c r="U39" s="21" t="n"/>
      <c r="V39" s="22">
        <f>IF(OR($E39=0,U$78=0),0,IF(AND(U39="N/A",$G39&lt;&gt;""),0,$F39+SUMPRODUCT(($G$14:$G$71=$A39)*($E$14:$E$71=1)*(U$14:U$71="N/A")*$F$14:$F$71)))</f>
        <v/>
      </c>
      <c r="W39" s="22">
        <f>IF(U39="SI",V39,0)</f>
        <v/>
      </c>
      <c r="X39" s="21" t="n"/>
      <c r="Y39" s="22">
        <f>IF(OR($E39=0,X$78=0),0,IF(AND(X39="N/A",$G39&lt;&gt;""),0,$F39+SUMPRODUCT(($G$14:$G$71=$A39)*($E$14:$E$71=1)*(X$14:X$71="N/A")*$F$14:$F$71)))</f>
        <v/>
      </c>
      <c r="Z39" s="22">
        <f>IF(X39="SI",Y39,0)</f>
        <v/>
      </c>
      <c r="AA39" s="22">
        <f>SUM(J39,M39,P39,S39,V39,Y39)</f>
        <v/>
      </c>
      <c r="AB39" s="22">
        <f>SUM(K39,N39,Q39,T39,W39,Z39)</f>
        <v/>
      </c>
      <c r="AC39" s="23">
        <f>IF(AA39=0,"",AB39/AA39)</f>
        <v/>
      </c>
      <c r="AD39" s="22">
        <f>CRITERIOS!Q27</f>
        <v/>
      </c>
      <c r="AE39" s="22">
        <f>IF(AND(E39=1,H39&lt;&gt;"X",((I39="N/A")+(L39="N/A")+(O39="N/A")+(R39="N/A")+(U39="N/A")+(X39="N/A"))&gt;0),"REVISAR","")</f>
        <v/>
      </c>
    </row>
    <row r="40">
      <c r="A40" s="22">
        <f>CRITERIOS!B28</f>
        <v/>
      </c>
      <c r="B40" s="22">
        <f>CRITERIOS!C28</f>
        <v/>
      </c>
      <c r="C40" s="8">
        <f>CRITERIOS!D28</f>
        <v/>
      </c>
      <c r="D40" s="22">
        <f>CRITERIOS!E28</f>
        <v/>
      </c>
      <c r="E40" s="22">
        <f>IFERROR(IF(AND(OR(CRITERIOS!F28="Todos",CRITERIOS!F28=$B$4),INDEX(CRITERIOS!H28:J28,MATCH($B$5,VARIABLES!$E$2:$E$4,0))=1),1,0),0)</f>
        <v/>
      </c>
      <c r="F40" s="22">
        <f>IFERROR(IF(E40=1,INDEX(CRITERIOS!K28:M28,MATCH($B$5,VARIABLES!$E$2:$E$4,0)),0),0)</f>
        <v/>
      </c>
      <c r="G40" s="22">
        <f>IF(CRITERIOS!N28="","",CRITERIOS!N28)</f>
        <v/>
      </c>
      <c r="H40" s="22">
        <f>IF(CRITERIOS!O28="","",CRITERIOS!O28)</f>
        <v/>
      </c>
      <c r="I40" s="21" t="n"/>
      <c r="J40" s="22">
        <f>IF(OR($E40=0,I$78=0),0,IF(AND(I40="N/A",$G40&lt;&gt;""),0,$F40+SUMPRODUCT(($G$14:$G$71=$A40)*($E$14:$E$71=1)*(I$14:I$71="N/A")*$F$14:$F$71)))</f>
        <v/>
      </c>
      <c r="K40" s="22">
        <f>IF(I40="SI",J40,0)</f>
        <v/>
      </c>
      <c r="L40" s="21" t="n"/>
      <c r="M40" s="22">
        <f>IF(OR($E40=0,L$78=0),0,IF(AND(L40="N/A",$G40&lt;&gt;""),0,$F40+SUMPRODUCT(($G$14:$G$71=$A40)*($E$14:$E$71=1)*(L$14:L$71="N/A")*$F$14:$F$71)))</f>
        <v/>
      </c>
      <c r="N40" s="22">
        <f>IF(L40="SI",M40,0)</f>
        <v/>
      </c>
      <c r="O40" s="21" t="n"/>
      <c r="P40" s="22">
        <f>IF(OR($E40=0,O$78=0),0,IF(AND(O40="N/A",$G40&lt;&gt;""),0,$F40+SUMPRODUCT(($G$14:$G$71=$A40)*($E$14:$E$71=1)*(O$14:O$71="N/A")*$F$14:$F$71)))</f>
        <v/>
      </c>
      <c r="Q40" s="22">
        <f>IF(O40="SI",P40,0)</f>
        <v/>
      </c>
      <c r="R40" s="21" t="n"/>
      <c r="S40" s="22">
        <f>IF(OR($E40=0,R$78=0),0,IF(AND(R40="N/A",$G40&lt;&gt;""),0,$F40+SUMPRODUCT(($G$14:$G$71=$A40)*($E$14:$E$71=1)*(R$14:R$71="N/A")*$F$14:$F$71)))</f>
        <v/>
      </c>
      <c r="T40" s="22">
        <f>IF(R40="SI",S40,0)</f>
        <v/>
      </c>
      <c r="U40" s="21" t="n"/>
      <c r="V40" s="22">
        <f>IF(OR($E40=0,U$78=0),0,IF(AND(U40="N/A",$G40&lt;&gt;""),0,$F40+SUMPRODUCT(($G$14:$G$71=$A40)*($E$14:$E$71=1)*(U$14:U$71="N/A")*$F$14:$F$71)))</f>
        <v/>
      </c>
      <c r="W40" s="22">
        <f>IF(U40="SI",V40,0)</f>
        <v/>
      </c>
      <c r="X40" s="21" t="n"/>
      <c r="Y40" s="22">
        <f>IF(OR($E40=0,X$78=0),0,IF(AND(X40="N/A",$G40&lt;&gt;""),0,$F40+SUMPRODUCT(($G$14:$G$71=$A40)*($E$14:$E$71=1)*(X$14:X$71="N/A")*$F$14:$F$71)))</f>
        <v/>
      </c>
      <c r="Z40" s="22">
        <f>IF(X40="SI",Y40,0)</f>
        <v/>
      </c>
      <c r="AA40" s="22">
        <f>SUM(J40,M40,P40,S40,V40,Y40)</f>
        <v/>
      </c>
      <c r="AB40" s="22">
        <f>SUM(K40,N40,Q40,T40,W40,Z40)</f>
        <v/>
      </c>
      <c r="AC40" s="23">
        <f>IF(AA40=0,"",AB40/AA40)</f>
        <v/>
      </c>
      <c r="AD40" s="22">
        <f>CRITERIOS!Q28</f>
        <v/>
      </c>
      <c r="AE40" s="22">
        <f>IF(AND(E40=1,H40&lt;&gt;"X",((I40="N/A")+(L40="N/A")+(O40="N/A")+(R40="N/A")+(U40="N/A")+(X40="N/A"))&gt;0),"REVISAR","")</f>
        <v/>
      </c>
    </row>
    <row r="41">
      <c r="A41" s="22">
        <f>CRITERIOS!B29</f>
        <v/>
      </c>
      <c r="B41" s="22">
        <f>CRITERIOS!C29</f>
        <v/>
      </c>
      <c r="C41" s="8">
        <f>CRITERIOS!D29</f>
        <v/>
      </c>
      <c r="D41" s="22">
        <f>CRITERIOS!E29</f>
        <v/>
      </c>
      <c r="E41" s="22">
        <f>IFERROR(IF(AND(OR(CRITERIOS!F29="Todos",CRITERIOS!F29=$B$4),INDEX(CRITERIOS!H29:J29,MATCH($B$5,VARIABLES!$E$2:$E$4,0))=1),1,0),0)</f>
        <v/>
      </c>
      <c r="F41" s="22">
        <f>IFERROR(IF(E41=1,INDEX(CRITERIOS!K29:M29,MATCH($B$5,VARIABLES!$E$2:$E$4,0)),0),0)</f>
        <v/>
      </c>
      <c r="G41" s="22">
        <f>IF(CRITERIOS!N29="","",CRITERIOS!N29)</f>
        <v/>
      </c>
      <c r="H41" s="22">
        <f>IF(CRITERIOS!O29="","",CRITERIOS!O29)</f>
        <v/>
      </c>
      <c r="I41" s="21" t="n"/>
      <c r="J41" s="22">
        <f>IF(OR($E41=0,I$78=0),0,IF(AND(I41="N/A",$G41&lt;&gt;""),0,$F41+SUMPRODUCT(($G$14:$G$71=$A41)*($E$14:$E$71=1)*(I$14:I$71="N/A")*$F$14:$F$71)))</f>
        <v/>
      </c>
      <c r="K41" s="22">
        <f>IF(I41="SI",J41,0)</f>
        <v/>
      </c>
      <c r="L41" s="21" t="n"/>
      <c r="M41" s="22">
        <f>IF(OR($E41=0,L$78=0),0,IF(AND(L41="N/A",$G41&lt;&gt;""),0,$F41+SUMPRODUCT(($G$14:$G$71=$A41)*($E$14:$E$71=1)*(L$14:L$71="N/A")*$F$14:$F$71)))</f>
        <v/>
      </c>
      <c r="N41" s="22">
        <f>IF(L41="SI",M41,0)</f>
        <v/>
      </c>
      <c r="O41" s="21" t="n"/>
      <c r="P41" s="22">
        <f>IF(OR($E41=0,O$78=0),0,IF(AND(O41="N/A",$G41&lt;&gt;""),0,$F41+SUMPRODUCT(($G$14:$G$71=$A41)*($E$14:$E$71=1)*(O$14:O$71="N/A")*$F$14:$F$71)))</f>
        <v/>
      </c>
      <c r="Q41" s="22">
        <f>IF(O41="SI",P41,0)</f>
        <v/>
      </c>
      <c r="R41" s="21" t="n"/>
      <c r="S41" s="22">
        <f>IF(OR($E41=0,R$78=0),0,IF(AND(R41="N/A",$G41&lt;&gt;""),0,$F41+SUMPRODUCT(($G$14:$G$71=$A41)*($E$14:$E$71=1)*(R$14:R$71="N/A")*$F$14:$F$71)))</f>
        <v/>
      </c>
      <c r="T41" s="22">
        <f>IF(R41="SI",S41,0)</f>
        <v/>
      </c>
      <c r="U41" s="21" t="n"/>
      <c r="V41" s="22">
        <f>IF(OR($E41=0,U$78=0),0,IF(AND(U41="N/A",$G41&lt;&gt;""),0,$F41+SUMPRODUCT(($G$14:$G$71=$A41)*($E$14:$E$71=1)*(U$14:U$71="N/A")*$F$14:$F$71)))</f>
        <v/>
      </c>
      <c r="W41" s="22">
        <f>IF(U41="SI",V41,0)</f>
        <v/>
      </c>
      <c r="X41" s="21" t="n"/>
      <c r="Y41" s="22">
        <f>IF(OR($E41=0,X$78=0),0,IF(AND(X41="N/A",$G41&lt;&gt;""),0,$F41+SUMPRODUCT(($G$14:$G$71=$A41)*($E$14:$E$71=1)*(X$14:X$71="N/A")*$F$14:$F$71)))</f>
        <v/>
      </c>
      <c r="Z41" s="22">
        <f>IF(X41="SI",Y41,0)</f>
        <v/>
      </c>
      <c r="AA41" s="22">
        <f>SUM(J41,M41,P41,S41,V41,Y41)</f>
        <v/>
      </c>
      <c r="AB41" s="22">
        <f>SUM(K41,N41,Q41,T41,W41,Z41)</f>
        <v/>
      </c>
      <c r="AC41" s="23">
        <f>IF(AA41=0,"",AB41/AA41)</f>
        <v/>
      </c>
      <c r="AD41" s="22">
        <f>CRITERIOS!Q29</f>
        <v/>
      </c>
      <c r="AE41" s="22">
        <f>IF(AND(E41=1,H41&lt;&gt;"X",((I41="N/A")+(L41="N/A")+(O41="N/A")+(R41="N/A")+(U41="N/A")+(X41="N/A"))&gt;0),"REVISAR","")</f>
        <v/>
      </c>
    </row>
    <row r="42">
      <c r="A42" s="24">
        <f>CRITERIOS!B30</f>
        <v/>
      </c>
      <c r="B42" s="24">
        <f>CRITERIOS!C30</f>
        <v/>
      </c>
      <c r="C42" s="25">
        <f>CRITERIOS!D30</f>
        <v/>
      </c>
      <c r="D42" s="24">
        <f>CRITERIOS!E30</f>
        <v/>
      </c>
      <c r="E42" s="24">
        <f>IFERROR(IF(AND(OR(CRITERIOS!F30="Todos",CRITERIOS!F30=$B$4),INDEX(CRITERIOS!H30:J30,MATCH($B$5,VARIABLES!$E$2:$E$4,0))=1),1,0),0)</f>
        <v/>
      </c>
      <c r="F42" s="24">
        <f>IFERROR(IF(E42=1,INDEX(CRITERIOS!K30:M30,MATCH($B$5,VARIABLES!$E$2:$E$4,0)),0),0)</f>
        <v/>
      </c>
      <c r="G42" s="24">
        <f>IF(CRITERIOS!N30="","",CRITERIOS!N30)</f>
        <v/>
      </c>
      <c r="H42" s="24">
        <f>IF(CRITERIOS!O30="","",CRITERIOS!O30)</f>
        <v/>
      </c>
      <c r="I42" s="21" t="n"/>
      <c r="J42" s="22">
        <f>IF(OR($E42=0,I$78=0),0,IF(AND(I42="N/A",$G42&lt;&gt;""),0,$F42+SUMPRODUCT(($G$14:$G$71=$A42)*($E$14:$E$71=1)*(I$14:I$71="N/A")*$F$14:$F$71)))</f>
        <v/>
      </c>
      <c r="K42" s="22">
        <f>IF(I42="SI",J42,0)</f>
        <v/>
      </c>
      <c r="L42" s="21" t="n"/>
      <c r="M42" s="22">
        <f>IF(OR($E42=0,L$78=0),0,IF(AND(L42="N/A",$G42&lt;&gt;""),0,$F42+SUMPRODUCT(($G$14:$G$71=$A42)*($E$14:$E$71=1)*(L$14:L$71="N/A")*$F$14:$F$71)))</f>
        <v/>
      </c>
      <c r="N42" s="22">
        <f>IF(L42="SI",M42,0)</f>
        <v/>
      </c>
      <c r="O42" s="21" t="n"/>
      <c r="P42" s="22">
        <f>IF(OR($E42=0,O$78=0),0,IF(AND(O42="N/A",$G42&lt;&gt;""),0,$F42+SUMPRODUCT(($G$14:$G$71=$A42)*($E$14:$E$71=1)*(O$14:O$71="N/A")*$F$14:$F$71)))</f>
        <v/>
      </c>
      <c r="Q42" s="22">
        <f>IF(O42="SI",P42,0)</f>
        <v/>
      </c>
      <c r="R42" s="21" t="n"/>
      <c r="S42" s="22">
        <f>IF(OR($E42=0,R$78=0),0,IF(AND(R42="N/A",$G42&lt;&gt;""),0,$F42+SUMPRODUCT(($G$14:$G$71=$A42)*($E$14:$E$71=1)*(R$14:R$71="N/A")*$F$14:$F$71)))</f>
        <v/>
      </c>
      <c r="T42" s="22">
        <f>IF(R42="SI",S42,0)</f>
        <v/>
      </c>
      <c r="U42" s="21" t="n"/>
      <c r="V42" s="22">
        <f>IF(OR($E42=0,U$78=0),0,IF(AND(U42="N/A",$G42&lt;&gt;""),0,$F42+SUMPRODUCT(($G$14:$G$71=$A42)*($E$14:$E$71=1)*(U$14:U$71="N/A")*$F$14:$F$71)))</f>
        <v/>
      </c>
      <c r="W42" s="22">
        <f>IF(U42="SI",V42,0)</f>
        <v/>
      </c>
      <c r="X42" s="21" t="n"/>
      <c r="Y42" s="22">
        <f>IF(OR($E42=0,X$78=0),0,IF(AND(X42="N/A",$G42&lt;&gt;""),0,$F42+SUMPRODUCT(($G$14:$G$71=$A42)*($E$14:$E$71=1)*(X$14:X$71="N/A")*$F$14:$F$71)))</f>
        <v/>
      </c>
      <c r="Z42" s="22">
        <f>IF(X42="SI",Y42,0)</f>
        <v/>
      </c>
      <c r="AA42" s="22">
        <f>SUM(J42,M42,P42,S42,V42,Y42)</f>
        <v/>
      </c>
      <c r="AB42" s="22">
        <f>SUM(K42,N42,Q42,T42,W42,Z42)</f>
        <v/>
      </c>
      <c r="AC42" s="23">
        <f>IF(AA42=0,"",AB42/AA42)</f>
        <v/>
      </c>
      <c r="AD42" s="22">
        <f>CRITERIOS!Q30</f>
        <v/>
      </c>
      <c r="AE42" s="22">
        <f>IF(AND(E42=1,H42&lt;&gt;"X",((I42="N/A")+(L42="N/A")+(O42="N/A")+(R42="N/A")+(U42="N/A")+(X42="N/A"))&gt;0),"REVISAR","")</f>
        <v/>
      </c>
    </row>
    <row r="43">
      <c r="A43" s="22">
        <f>CRITERIOS!B31</f>
        <v/>
      </c>
      <c r="B43" s="22">
        <f>CRITERIOS!C31</f>
        <v/>
      </c>
      <c r="C43" s="8">
        <f>CRITERIOS!D31</f>
        <v/>
      </c>
      <c r="D43" s="22">
        <f>CRITERIOS!E31</f>
        <v/>
      </c>
      <c r="E43" s="22">
        <f>IFERROR(IF(AND(OR(CRITERIOS!F31="Todos",CRITERIOS!F31=$B$4),INDEX(CRITERIOS!H31:J31,MATCH($B$5,VARIABLES!$E$2:$E$4,0))=1),1,0),0)</f>
        <v/>
      </c>
      <c r="F43" s="22">
        <f>IFERROR(IF(E43=1,INDEX(CRITERIOS!K31:M31,MATCH($B$5,VARIABLES!$E$2:$E$4,0)),0),0)</f>
        <v/>
      </c>
      <c r="G43" s="22">
        <f>IF(CRITERIOS!N31="","",CRITERIOS!N31)</f>
        <v/>
      </c>
      <c r="H43" s="22">
        <f>IF(CRITERIOS!O31="","",CRITERIOS!O31)</f>
        <v/>
      </c>
      <c r="I43" s="21" t="n"/>
      <c r="J43" s="22">
        <f>IF(OR($E43=0,I$78=0),0,IF(AND(I43="N/A",$G43&lt;&gt;""),0,$F43+SUMPRODUCT(($G$14:$G$71=$A43)*($E$14:$E$71=1)*(I$14:I$71="N/A")*$F$14:$F$71)))</f>
        <v/>
      </c>
      <c r="K43" s="22">
        <f>IF(I43="SI",J43,0)</f>
        <v/>
      </c>
      <c r="L43" s="21" t="n"/>
      <c r="M43" s="22">
        <f>IF(OR($E43=0,L$78=0),0,IF(AND(L43="N/A",$G43&lt;&gt;""),0,$F43+SUMPRODUCT(($G$14:$G$71=$A43)*($E$14:$E$71=1)*(L$14:L$71="N/A")*$F$14:$F$71)))</f>
        <v/>
      </c>
      <c r="N43" s="22">
        <f>IF(L43="SI",M43,0)</f>
        <v/>
      </c>
      <c r="O43" s="21" t="n"/>
      <c r="P43" s="22">
        <f>IF(OR($E43=0,O$78=0),0,IF(AND(O43="N/A",$G43&lt;&gt;""),0,$F43+SUMPRODUCT(($G$14:$G$71=$A43)*($E$14:$E$71=1)*(O$14:O$71="N/A")*$F$14:$F$71)))</f>
        <v/>
      </c>
      <c r="Q43" s="22">
        <f>IF(O43="SI",P43,0)</f>
        <v/>
      </c>
      <c r="R43" s="21" t="n"/>
      <c r="S43" s="22">
        <f>IF(OR($E43=0,R$78=0),0,IF(AND(R43="N/A",$G43&lt;&gt;""),0,$F43+SUMPRODUCT(($G$14:$G$71=$A43)*($E$14:$E$71=1)*(R$14:R$71="N/A")*$F$14:$F$71)))</f>
        <v/>
      </c>
      <c r="T43" s="22">
        <f>IF(R43="SI",S43,0)</f>
        <v/>
      </c>
      <c r="U43" s="21" t="n"/>
      <c r="V43" s="22">
        <f>IF(OR($E43=0,U$78=0),0,IF(AND(U43="N/A",$G43&lt;&gt;""),0,$F43+SUMPRODUCT(($G$14:$G$71=$A43)*($E$14:$E$71=1)*(U$14:U$71="N/A")*$F$14:$F$71)))</f>
        <v/>
      </c>
      <c r="W43" s="22">
        <f>IF(U43="SI",V43,0)</f>
        <v/>
      </c>
      <c r="X43" s="21" t="n"/>
      <c r="Y43" s="22">
        <f>IF(OR($E43=0,X$78=0),0,IF(AND(X43="N/A",$G43&lt;&gt;""),0,$F43+SUMPRODUCT(($G$14:$G$71=$A43)*($E$14:$E$71=1)*(X$14:X$71="N/A")*$F$14:$F$71)))</f>
        <v/>
      </c>
      <c r="Z43" s="22">
        <f>IF(X43="SI",Y43,0)</f>
        <v/>
      </c>
      <c r="AA43" s="22">
        <f>SUM(J43,M43,P43,S43,V43,Y43)</f>
        <v/>
      </c>
      <c r="AB43" s="22">
        <f>SUM(K43,N43,Q43,T43,W43,Z43)</f>
        <v/>
      </c>
      <c r="AC43" s="23">
        <f>IF(AA43=0,"",AB43/AA43)</f>
        <v/>
      </c>
      <c r="AD43" s="22">
        <f>CRITERIOS!Q31</f>
        <v/>
      </c>
      <c r="AE43" s="22">
        <f>IF(AND(E43=1,H43&lt;&gt;"X",((I43="N/A")+(L43="N/A")+(O43="N/A")+(R43="N/A")+(U43="N/A")+(X43="N/A"))&gt;0),"REVISAR","")</f>
        <v/>
      </c>
    </row>
    <row r="44">
      <c r="A44" s="24">
        <f>CRITERIOS!B32</f>
        <v/>
      </c>
      <c r="B44" s="24">
        <f>CRITERIOS!C32</f>
        <v/>
      </c>
      <c r="C44" s="25">
        <f>CRITERIOS!D32</f>
        <v/>
      </c>
      <c r="D44" s="24">
        <f>CRITERIOS!E32</f>
        <v/>
      </c>
      <c r="E44" s="24">
        <f>IFERROR(IF(AND(OR(CRITERIOS!F32="Todos",CRITERIOS!F32=$B$4),INDEX(CRITERIOS!H32:J32,MATCH($B$5,VARIABLES!$E$2:$E$4,0))=1),1,0),0)</f>
        <v/>
      </c>
      <c r="F44" s="24">
        <f>IFERROR(IF(E44=1,INDEX(CRITERIOS!K32:M32,MATCH($B$5,VARIABLES!$E$2:$E$4,0)),0),0)</f>
        <v/>
      </c>
      <c r="G44" s="24">
        <f>IF(CRITERIOS!N32="","",CRITERIOS!N32)</f>
        <v/>
      </c>
      <c r="H44" s="24">
        <f>IF(CRITERIOS!O32="","",CRITERIOS!O32)</f>
        <v/>
      </c>
      <c r="I44" s="21" t="n"/>
      <c r="J44" s="22">
        <f>IF(OR($E44=0,I$78=0),0,IF(AND(I44="N/A",$G44&lt;&gt;""),0,$F44+SUMPRODUCT(($G$14:$G$71=$A44)*($E$14:$E$71=1)*(I$14:I$71="N/A")*$F$14:$F$71)))</f>
        <v/>
      </c>
      <c r="K44" s="22">
        <f>IF(I44="SI",J44,0)</f>
        <v/>
      </c>
      <c r="L44" s="21" t="n"/>
      <c r="M44" s="22">
        <f>IF(OR($E44=0,L$78=0),0,IF(AND(L44="N/A",$G44&lt;&gt;""),0,$F44+SUMPRODUCT(($G$14:$G$71=$A44)*($E$14:$E$71=1)*(L$14:L$71="N/A")*$F$14:$F$71)))</f>
        <v/>
      </c>
      <c r="N44" s="22">
        <f>IF(L44="SI",M44,0)</f>
        <v/>
      </c>
      <c r="O44" s="21" t="n"/>
      <c r="P44" s="22">
        <f>IF(OR($E44=0,O$78=0),0,IF(AND(O44="N/A",$G44&lt;&gt;""),0,$F44+SUMPRODUCT(($G$14:$G$71=$A44)*($E$14:$E$71=1)*(O$14:O$71="N/A")*$F$14:$F$71)))</f>
        <v/>
      </c>
      <c r="Q44" s="22">
        <f>IF(O44="SI",P44,0)</f>
        <v/>
      </c>
      <c r="R44" s="21" t="n"/>
      <c r="S44" s="22">
        <f>IF(OR($E44=0,R$78=0),0,IF(AND(R44="N/A",$G44&lt;&gt;""),0,$F44+SUMPRODUCT(($G$14:$G$71=$A44)*($E$14:$E$71=1)*(R$14:R$71="N/A")*$F$14:$F$71)))</f>
        <v/>
      </c>
      <c r="T44" s="22">
        <f>IF(R44="SI",S44,0)</f>
        <v/>
      </c>
      <c r="U44" s="21" t="n"/>
      <c r="V44" s="22">
        <f>IF(OR($E44=0,U$78=0),0,IF(AND(U44="N/A",$G44&lt;&gt;""),0,$F44+SUMPRODUCT(($G$14:$G$71=$A44)*($E$14:$E$71=1)*(U$14:U$71="N/A")*$F$14:$F$71)))</f>
        <v/>
      </c>
      <c r="W44" s="22">
        <f>IF(U44="SI",V44,0)</f>
        <v/>
      </c>
      <c r="X44" s="21" t="n"/>
      <c r="Y44" s="22">
        <f>IF(OR($E44=0,X$78=0),0,IF(AND(X44="N/A",$G44&lt;&gt;""),0,$F44+SUMPRODUCT(($G$14:$G$71=$A44)*($E$14:$E$71=1)*(X$14:X$71="N/A")*$F$14:$F$71)))</f>
        <v/>
      </c>
      <c r="Z44" s="22">
        <f>IF(X44="SI",Y44,0)</f>
        <v/>
      </c>
      <c r="AA44" s="22">
        <f>SUM(J44,M44,P44,S44,V44,Y44)</f>
        <v/>
      </c>
      <c r="AB44" s="22">
        <f>SUM(K44,N44,Q44,T44,W44,Z44)</f>
        <v/>
      </c>
      <c r="AC44" s="23">
        <f>IF(AA44=0,"",AB44/AA44)</f>
        <v/>
      </c>
      <c r="AD44" s="22">
        <f>CRITERIOS!Q32</f>
        <v/>
      </c>
      <c r="AE44" s="22">
        <f>IF(AND(E44=1,H44&lt;&gt;"X",((I44="N/A")+(L44="N/A")+(O44="N/A")+(R44="N/A")+(U44="N/A")+(X44="N/A"))&gt;0),"REVISAR","")</f>
        <v/>
      </c>
    </row>
    <row r="45">
      <c r="A45" s="22">
        <f>CRITERIOS!B33</f>
        <v/>
      </c>
      <c r="B45" s="22">
        <f>CRITERIOS!C33</f>
        <v/>
      </c>
      <c r="C45" s="8">
        <f>CRITERIOS!D33</f>
        <v/>
      </c>
      <c r="D45" s="22">
        <f>CRITERIOS!E33</f>
        <v/>
      </c>
      <c r="E45" s="22">
        <f>IFERROR(IF(AND(OR(CRITERIOS!F33="Todos",CRITERIOS!F33=$B$4),INDEX(CRITERIOS!H33:J33,MATCH($B$5,VARIABLES!$E$2:$E$4,0))=1),1,0),0)</f>
        <v/>
      </c>
      <c r="F45" s="22">
        <f>IFERROR(IF(E45=1,INDEX(CRITERIOS!K33:M33,MATCH($B$5,VARIABLES!$E$2:$E$4,0)),0),0)</f>
        <v/>
      </c>
      <c r="G45" s="22">
        <f>IF(CRITERIOS!N33="","",CRITERIOS!N33)</f>
        <v/>
      </c>
      <c r="H45" s="22">
        <f>IF(CRITERIOS!O33="","",CRITERIOS!O33)</f>
        <v/>
      </c>
      <c r="I45" s="21" t="n"/>
      <c r="J45" s="22">
        <f>IF(OR($E45=0,I$78=0),0,IF(AND(I45="N/A",$G45&lt;&gt;""),0,$F45+SUMPRODUCT(($G$14:$G$71=$A45)*($E$14:$E$71=1)*(I$14:I$71="N/A")*$F$14:$F$71)))</f>
        <v/>
      </c>
      <c r="K45" s="22">
        <f>IF(I45="SI",J45,0)</f>
        <v/>
      </c>
      <c r="L45" s="21" t="n"/>
      <c r="M45" s="22">
        <f>IF(OR($E45=0,L$78=0),0,IF(AND(L45="N/A",$G45&lt;&gt;""),0,$F45+SUMPRODUCT(($G$14:$G$71=$A45)*($E$14:$E$71=1)*(L$14:L$71="N/A")*$F$14:$F$71)))</f>
        <v/>
      </c>
      <c r="N45" s="22">
        <f>IF(L45="SI",M45,0)</f>
        <v/>
      </c>
      <c r="O45" s="21" t="n"/>
      <c r="P45" s="22">
        <f>IF(OR($E45=0,O$78=0),0,IF(AND(O45="N/A",$G45&lt;&gt;""),0,$F45+SUMPRODUCT(($G$14:$G$71=$A45)*($E$14:$E$71=1)*(O$14:O$71="N/A")*$F$14:$F$71)))</f>
        <v/>
      </c>
      <c r="Q45" s="22">
        <f>IF(O45="SI",P45,0)</f>
        <v/>
      </c>
      <c r="R45" s="21" t="n"/>
      <c r="S45" s="22">
        <f>IF(OR($E45=0,R$78=0),0,IF(AND(R45="N/A",$G45&lt;&gt;""),0,$F45+SUMPRODUCT(($G$14:$G$71=$A45)*($E$14:$E$71=1)*(R$14:R$71="N/A")*$F$14:$F$71)))</f>
        <v/>
      </c>
      <c r="T45" s="22">
        <f>IF(R45="SI",S45,0)</f>
        <v/>
      </c>
      <c r="U45" s="21" t="n"/>
      <c r="V45" s="22">
        <f>IF(OR($E45=0,U$78=0),0,IF(AND(U45="N/A",$G45&lt;&gt;""),0,$F45+SUMPRODUCT(($G$14:$G$71=$A45)*($E$14:$E$71=1)*(U$14:U$71="N/A")*$F$14:$F$71)))</f>
        <v/>
      </c>
      <c r="W45" s="22">
        <f>IF(U45="SI",V45,0)</f>
        <v/>
      </c>
      <c r="X45" s="21" t="n"/>
      <c r="Y45" s="22">
        <f>IF(OR($E45=0,X$78=0),0,IF(AND(X45="N/A",$G45&lt;&gt;""),0,$F45+SUMPRODUCT(($G$14:$G$71=$A45)*($E$14:$E$71=1)*(X$14:X$71="N/A")*$F$14:$F$71)))</f>
        <v/>
      </c>
      <c r="Z45" s="22">
        <f>IF(X45="SI",Y45,0)</f>
        <v/>
      </c>
      <c r="AA45" s="22">
        <f>SUM(J45,M45,P45,S45,V45,Y45)</f>
        <v/>
      </c>
      <c r="AB45" s="22">
        <f>SUM(K45,N45,Q45,T45,W45,Z45)</f>
        <v/>
      </c>
      <c r="AC45" s="23">
        <f>IF(AA45=0,"",AB45/AA45)</f>
        <v/>
      </c>
      <c r="AD45" s="22">
        <f>CRITERIOS!Q33</f>
        <v/>
      </c>
      <c r="AE45" s="22">
        <f>IF(AND(E45=1,H45&lt;&gt;"X",((I45="N/A")+(L45="N/A")+(O45="N/A")+(R45="N/A")+(U45="N/A")+(X45="N/A"))&gt;0),"REVISAR","")</f>
        <v/>
      </c>
    </row>
    <row r="46">
      <c r="A46" s="24">
        <f>CRITERIOS!B34</f>
        <v/>
      </c>
      <c r="B46" s="24">
        <f>CRITERIOS!C34</f>
        <v/>
      </c>
      <c r="C46" s="25">
        <f>CRITERIOS!D34</f>
        <v/>
      </c>
      <c r="D46" s="24">
        <f>CRITERIOS!E34</f>
        <v/>
      </c>
      <c r="E46" s="24">
        <f>IFERROR(IF(AND(OR(CRITERIOS!F34="Todos",CRITERIOS!F34=$B$4),INDEX(CRITERIOS!H34:J34,MATCH($B$5,VARIABLES!$E$2:$E$4,0))=1),1,0),0)</f>
        <v/>
      </c>
      <c r="F46" s="24">
        <f>IFERROR(IF(E46=1,INDEX(CRITERIOS!K34:M34,MATCH($B$5,VARIABLES!$E$2:$E$4,0)),0),0)</f>
        <v/>
      </c>
      <c r="G46" s="24">
        <f>IF(CRITERIOS!N34="","",CRITERIOS!N34)</f>
        <v/>
      </c>
      <c r="H46" s="24">
        <f>IF(CRITERIOS!O34="","",CRITERIOS!O34)</f>
        <v/>
      </c>
      <c r="I46" s="21" t="n"/>
      <c r="J46" s="22">
        <f>IF(OR($E46=0,I$78=0),0,IF(AND(I46="N/A",$G46&lt;&gt;""),0,$F46+SUMPRODUCT(($G$14:$G$71=$A46)*($E$14:$E$71=1)*(I$14:I$71="N/A")*$F$14:$F$71)))</f>
        <v/>
      </c>
      <c r="K46" s="22">
        <f>IF(I46="SI",J46,0)</f>
        <v/>
      </c>
      <c r="L46" s="21" t="n"/>
      <c r="M46" s="22">
        <f>IF(OR($E46=0,L$78=0),0,IF(AND(L46="N/A",$G46&lt;&gt;""),0,$F46+SUMPRODUCT(($G$14:$G$71=$A46)*($E$14:$E$71=1)*(L$14:L$71="N/A")*$F$14:$F$71)))</f>
        <v/>
      </c>
      <c r="N46" s="22">
        <f>IF(L46="SI",M46,0)</f>
        <v/>
      </c>
      <c r="O46" s="21" t="n"/>
      <c r="P46" s="22">
        <f>IF(OR($E46=0,O$78=0),0,IF(AND(O46="N/A",$G46&lt;&gt;""),0,$F46+SUMPRODUCT(($G$14:$G$71=$A46)*($E$14:$E$71=1)*(O$14:O$71="N/A")*$F$14:$F$71)))</f>
        <v/>
      </c>
      <c r="Q46" s="22">
        <f>IF(O46="SI",P46,0)</f>
        <v/>
      </c>
      <c r="R46" s="21" t="n"/>
      <c r="S46" s="22">
        <f>IF(OR($E46=0,R$78=0),0,IF(AND(R46="N/A",$G46&lt;&gt;""),0,$F46+SUMPRODUCT(($G$14:$G$71=$A46)*($E$14:$E$71=1)*(R$14:R$71="N/A")*$F$14:$F$71)))</f>
        <v/>
      </c>
      <c r="T46" s="22">
        <f>IF(R46="SI",S46,0)</f>
        <v/>
      </c>
      <c r="U46" s="21" t="n"/>
      <c r="V46" s="22">
        <f>IF(OR($E46=0,U$78=0),0,IF(AND(U46="N/A",$G46&lt;&gt;""),0,$F46+SUMPRODUCT(($G$14:$G$71=$A46)*($E$14:$E$71=1)*(U$14:U$71="N/A")*$F$14:$F$71)))</f>
        <v/>
      </c>
      <c r="W46" s="22">
        <f>IF(U46="SI",V46,0)</f>
        <v/>
      </c>
      <c r="X46" s="21" t="n"/>
      <c r="Y46" s="22">
        <f>IF(OR($E46=0,X$78=0),0,IF(AND(X46="N/A",$G46&lt;&gt;""),0,$F46+SUMPRODUCT(($G$14:$G$71=$A46)*($E$14:$E$71=1)*(X$14:X$71="N/A")*$F$14:$F$71)))</f>
        <v/>
      </c>
      <c r="Z46" s="22">
        <f>IF(X46="SI",Y46,0)</f>
        <v/>
      </c>
      <c r="AA46" s="22">
        <f>SUM(J46,M46,P46,S46,V46,Y46)</f>
        <v/>
      </c>
      <c r="AB46" s="22">
        <f>SUM(K46,N46,Q46,T46,W46,Z46)</f>
        <v/>
      </c>
      <c r="AC46" s="23">
        <f>IF(AA46=0,"",AB46/AA46)</f>
        <v/>
      </c>
      <c r="AD46" s="22">
        <f>CRITERIOS!Q34</f>
        <v/>
      </c>
      <c r="AE46" s="22">
        <f>IF(AND(E46=1,H46&lt;&gt;"X",((I46="N/A")+(L46="N/A")+(O46="N/A")+(R46="N/A")+(U46="N/A")+(X46="N/A"))&gt;0),"REVISAR","")</f>
        <v/>
      </c>
    </row>
    <row r="47">
      <c r="A47" s="22">
        <f>CRITERIOS!B35</f>
        <v/>
      </c>
      <c r="B47" s="22">
        <f>CRITERIOS!C35</f>
        <v/>
      </c>
      <c r="C47" s="8">
        <f>CRITERIOS!D35</f>
        <v/>
      </c>
      <c r="D47" s="22">
        <f>CRITERIOS!E35</f>
        <v/>
      </c>
      <c r="E47" s="22">
        <f>IFERROR(IF(AND(OR(CRITERIOS!F35="Todos",CRITERIOS!F35=$B$4),INDEX(CRITERIOS!H35:J35,MATCH($B$5,VARIABLES!$E$2:$E$4,0))=1),1,0),0)</f>
        <v/>
      </c>
      <c r="F47" s="22">
        <f>IFERROR(IF(E47=1,INDEX(CRITERIOS!K35:M35,MATCH($B$5,VARIABLES!$E$2:$E$4,0)),0),0)</f>
        <v/>
      </c>
      <c r="G47" s="22">
        <f>IF(CRITERIOS!N35="","",CRITERIOS!N35)</f>
        <v/>
      </c>
      <c r="H47" s="22">
        <f>IF(CRITERIOS!O35="","",CRITERIOS!O35)</f>
        <v/>
      </c>
      <c r="I47" s="21" t="n"/>
      <c r="J47" s="22">
        <f>IF(OR($E47=0,I$78=0),0,IF(AND(I47="N/A",$G47&lt;&gt;""),0,$F47+SUMPRODUCT(($G$14:$G$71=$A47)*($E$14:$E$71=1)*(I$14:I$71="N/A")*$F$14:$F$71)))</f>
        <v/>
      </c>
      <c r="K47" s="22">
        <f>IF(I47="SI",J47,0)</f>
        <v/>
      </c>
      <c r="L47" s="21" t="n"/>
      <c r="M47" s="22">
        <f>IF(OR($E47=0,L$78=0),0,IF(AND(L47="N/A",$G47&lt;&gt;""),0,$F47+SUMPRODUCT(($G$14:$G$71=$A47)*($E$14:$E$71=1)*(L$14:L$71="N/A")*$F$14:$F$71)))</f>
        <v/>
      </c>
      <c r="N47" s="22">
        <f>IF(L47="SI",M47,0)</f>
        <v/>
      </c>
      <c r="O47" s="21" t="n"/>
      <c r="P47" s="22">
        <f>IF(OR($E47=0,O$78=0),0,IF(AND(O47="N/A",$G47&lt;&gt;""),0,$F47+SUMPRODUCT(($G$14:$G$71=$A47)*($E$14:$E$71=1)*(O$14:O$71="N/A")*$F$14:$F$71)))</f>
        <v/>
      </c>
      <c r="Q47" s="22">
        <f>IF(O47="SI",P47,0)</f>
        <v/>
      </c>
      <c r="R47" s="21" t="n"/>
      <c r="S47" s="22">
        <f>IF(OR($E47=0,R$78=0),0,IF(AND(R47="N/A",$G47&lt;&gt;""),0,$F47+SUMPRODUCT(($G$14:$G$71=$A47)*($E$14:$E$71=1)*(R$14:R$71="N/A")*$F$14:$F$71)))</f>
        <v/>
      </c>
      <c r="T47" s="22">
        <f>IF(R47="SI",S47,0)</f>
        <v/>
      </c>
      <c r="U47" s="21" t="n"/>
      <c r="V47" s="22">
        <f>IF(OR($E47=0,U$78=0),0,IF(AND(U47="N/A",$G47&lt;&gt;""),0,$F47+SUMPRODUCT(($G$14:$G$71=$A47)*($E$14:$E$71=1)*(U$14:U$71="N/A")*$F$14:$F$71)))</f>
        <v/>
      </c>
      <c r="W47" s="22">
        <f>IF(U47="SI",V47,0)</f>
        <v/>
      </c>
      <c r="X47" s="21" t="n"/>
      <c r="Y47" s="22">
        <f>IF(OR($E47=0,X$78=0),0,IF(AND(X47="N/A",$G47&lt;&gt;""),0,$F47+SUMPRODUCT(($G$14:$G$71=$A47)*($E$14:$E$71=1)*(X$14:X$71="N/A")*$F$14:$F$71)))</f>
        <v/>
      </c>
      <c r="Z47" s="22">
        <f>IF(X47="SI",Y47,0)</f>
        <v/>
      </c>
      <c r="AA47" s="22">
        <f>SUM(J47,M47,P47,S47,V47,Y47)</f>
        <v/>
      </c>
      <c r="AB47" s="22">
        <f>SUM(K47,N47,Q47,T47,W47,Z47)</f>
        <v/>
      </c>
      <c r="AC47" s="23">
        <f>IF(AA47=0,"",AB47/AA47)</f>
        <v/>
      </c>
      <c r="AD47" s="22">
        <f>CRITERIOS!Q35</f>
        <v/>
      </c>
      <c r="AE47" s="22">
        <f>IF(AND(E47=1,H47&lt;&gt;"X",((I47="N/A")+(L47="N/A")+(O47="N/A")+(R47="N/A")+(U47="N/A")+(X47="N/A"))&gt;0),"REVISAR","")</f>
        <v/>
      </c>
    </row>
    <row r="48">
      <c r="A48" s="24">
        <f>CRITERIOS!B36</f>
        <v/>
      </c>
      <c r="B48" s="24">
        <f>CRITERIOS!C36</f>
        <v/>
      </c>
      <c r="C48" s="25">
        <f>CRITERIOS!D36</f>
        <v/>
      </c>
      <c r="D48" s="24">
        <f>CRITERIOS!E36</f>
        <v/>
      </c>
      <c r="E48" s="24">
        <f>IFERROR(IF(AND(OR(CRITERIOS!F36="Todos",CRITERIOS!F36=$B$4),INDEX(CRITERIOS!H36:J36,MATCH($B$5,VARIABLES!$E$2:$E$4,0))=1),1,0),0)</f>
        <v/>
      </c>
      <c r="F48" s="24">
        <f>IFERROR(IF(E48=1,INDEX(CRITERIOS!K36:M36,MATCH($B$5,VARIABLES!$E$2:$E$4,0)),0),0)</f>
        <v/>
      </c>
      <c r="G48" s="24">
        <f>IF(CRITERIOS!N36="","",CRITERIOS!N36)</f>
        <v/>
      </c>
      <c r="H48" s="24">
        <f>IF(CRITERIOS!O36="","",CRITERIOS!O36)</f>
        <v/>
      </c>
      <c r="I48" s="21" t="n"/>
      <c r="J48" s="22">
        <f>IF(OR($E48=0,I$78=0),0,IF(AND(I48="N/A",$G48&lt;&gt;""),0,$F48+SUMPRODUCT(($G$14:$G$71=$A48)*($E$14:$E$71=1)*(I$14:I$71="N/A")*$F$14:$F$71)))</f>
        <v/>
      </c>
      <c r="K48" s="22">
        <f>IF(I48="SI",J48,0)</f>
        <v/>
      </c>
      <c r="L48" s="21" t="n"/>
      <c r="M48" s="22">
        <f>IF(OR($E48=0,L$78=0),0,IF(AND(L48="N/A",$G48&lt;&gt;""),0,$F48+SUMPRODUCT(($G$14:$G$71=$A48)*($E$14:$E$71=1)*(L$14:L$71="N/A")*$F$14:$F$71)))</f>
        <v/>
      </c>
      <c r="N48" s="22">
        <f>IF(L48="SI",M48,0)</f>
        <v/>
      </c>
      <c r="O48" s="21" t="n"/>
      <c r="P48" s="22">
        <f>IF(OR($E48=0,O$78=0),0,IF(AND(O48="N/A",$G48&lt;&gt;""),0,$F48+SUMPRODUCT(($G$14:$G$71=$A48)*($E$14:$E$71=1)*(O$14:O$71="N/A")*$F$14:$F$71)))</f>
        <v/>
      </c>
      <c r="Q48" s="22">
        <f>IF(O48="SI",P48,0)</f>
        <v/>
      </c>
      <c r="R48" s="21" t="n"/>
      <c r="S48" s="22">
        <f>IF(OR($E48=0,R$78=0),0,IF(AND(R48="N/A",$G48&lt;&gt;""),0,$F48+SUMPRODUCT(($G$14:$G$71=$A48)*($E$14:$E$71=1)*(R$14:R$71="N/A")*$F$14:$F$71)))</f>
        <v/>
      </c>
      <c r="T48" s="22">
        <f>IF(R48="SI",S48,0)</f>
        <v/>
      </c>
      <c r="U48" s="21" t="n"/>
      <c r="V48" s="22">
        <f>IF(OR($E48=0,U$78=0),0,IF(AND(U48="N/A",$G48&lt;&gt;""),0,$F48+SUMPRODUCT(($G$14:$G$71=$A48)*($E$14:$E$71=1)*(U$14:U$71="N/A")*$F$14:$F$71)))</f>
        <v/>
      </c>
      <c r="W48" s="22">
        <f>IF(U48="SI",V48,0)</f>
        <v/>
      </c>
      <c r="X48" s="21" t="n"/>
      <c r="Y48" s="22">
        <f>IF(OR($E48=0,X$78=0),0,IF(AND(X48="N/A",$G48&lt;&gt;""),0,$F48+SUMPRODUCT(($G$14:$G$71=$A48)*($E$14:$E$71=1)*(X$14:X$71="N/A")*$F$14:$F$71)))</f>
        <v/>
      </c>
      <c r="Z48" s="22">
        <f>IF(X48="SI",Y48,0)</f>
        <v/>
      </c>
      <c r="AA48" s="22">
        <f>SUM(J48,M48,P48,S48,V48,Y48)</f>
        <v/>
      </c>
      <c r="AB48" s="22">
        <f>SUM(K48,N48,Q48,T48,W48,Z48)</f>
        <v/>
      </c>
      <c r="AC48" s="23">
        <f>IF(AA48=0,"",AB48/AA48)</f>
        <v/>
      </c>
      <c r="AD48" s="22">
        <f>CRITERIOS!Q36</f>
        <v/>
      </c>
      <c r="AE48" s="22">
        <f>IF(AND(E48=1,H48&lt;&gt;"X",((I48="N/A")+(L48="N/A")+(O48="N/A")+(R48="N/A")+(U48="N/A")+(X48="N/A"))&gt;0),"REVISAR","")</f>
        <v/>
      </c>
    </row>
    <row r="49">
      <c r="A49" s="24">
        <f>CRITERIOS!B37</f>
        <v/>
      </c>
      <c r="B49" s="24">
        <f>CRITERIOS!C37</f>
        <v/>
      </c>
      <c r="C49" s="25">
        <f>CRITERIOS!D37</f>
        <v/>
      </c>
      <c r="D49" s="24">
        <f>CRITERIOS!E37</f>
        <v/>
      </c>
      <c r="E49" s="24">
        <f>IFERROR(IF(AND(OR(CRITERIOS!F37="Todos",CRITERIOS!F37=$B$4),INDEX(CRITERIOS!H37:J37,MATCH($B$5,VARIABLES!$E$2:$E$4,0))=1),1,0),0)</f>
        <v/>
      </c>
      <c r="F49" s="24">
        <f>IFERROR(IF(E49=1,INDEX(CRITERIOS!K37:M37,MATCH($B$5,VARIABLES!$E$2:$E$4,0)),0),0)</f>
        <v/>
      </c>
      <c r="G49" s="24">
        <f>IF(CRITERIOS!N37="","",CRITERIOS!N37)</f>
        <v/>
      </c>
      <c r="H49" s="24">
        <f>IF(CRITERIOS!O37="","",CRITERIOS!O37)</f>
        <v/>
      </c>
      <c r="I49" s="21" t="n"/>
      <c r="J49" s="22">
        <f>IF(OR($E49=0,I$78=0),0,IF(AND(I49="N/A",$G49&lt;&gt;""),0,$F49+SUMPRODUCT(($G$14:$G$71=$A49)*($E$14:$E$71=1)*(I$14:I$71="N/A")*$F$14:$F$71)))</f>
        <v/>
      </c>
      <c r="K49" s="22">
        <f>IF(I49="SI",J49,0)</f>
        <v/>
      </c>
      <c r="L49" s="21" t="n"/>
      <c r="M49" s="22">
        <f>IF(OR($E49=0,L$78=0),0,IF(AND(L49="N/A",$G49&lt;&gt;""),0,$F49+SUMPRODUCT(($G$14:$G$71=$A49)*($E$14:$E$71=1)*(L$14:L$71="N/A")*$F$14:$F$71)))</f>
        <v/>
      </c>
      <c r="N49" s="22">
        <f>IF(L49="SI",M49,0)</f>
        <v/>
      </c>
      <c r="O49" s="21" t="n"/>
      <c r="P49" s="22">
        <f>IF(OR($E49=0,O$78=0),0,IF(AND(O49="N/A",$G49&lt;&gt;""),0,$F49+SUMPRODUCT(($G$14:$G$71=$A49)*($E$14:$E$71=1)*(O$14:O$71="N/A")*$F$14:$F$71)))</f>
        <v/>
      </c>
      <c r="Q49" s="22">
        <f>IF(O49="SI",P49,0)</f>
        <v/>
      </c>
      <c r="R49" s="21" t="n"/>
      <c r="S49" s="22">
        <f>IF(OR($E49=0,R$78=0),0,IF(AND(R49="N/A",$G49&lt;&gt;""),0,$F49+SUMPRODUCT(($G$14:$G$71=$A49)*($E$14:$E$71=1)*(R$14:R$71="N/A")*$F$14:$F$71)))</f>
        <v/>
      </c>
      <c r="T49" s="22">
        <f>IF(R49="SI",S49,0)</f>
        <v/>
      </c>
      <c r="U49" s="21" t="n"/>
      <c r="V49" s="22">
        <f>IF(OR($E49=0,U$78=0),0,IF(AND(U49="N/A",$G49&lt;&gt;""),0,$F49+SUMPRODUCT(($G$14:$G$71=$A49)*($E$14:$E$71=1)*(U$14:U$71="N/A")*$F$14:$F$71)))</f>
        <v/>
      </c>
      <c r="W49" s="22">
        <f>IF(U49="SI",V49,0)</f>
        <v/>
      </c>
      <c r="X49" s="21" t="n"/>
      <c r="Y49" s="22">
        <f>IF(OR($E49=0,X$78=0),0,IF(AND(X49="N/A",$G49&lt;&gt;""),0,$F49+SUMPRODUCT(($G$14:$G$71=$A49)*($E$14:$E$71=1)*(X$14:X$71="N/A")*$F$14:$F$71)))</f>
        <v/>
      </c>
      <c r="Z49" s="22">
        <f>IF(X49="SI",Y49,0)</f>
        <v/>
      </c>
      <c r="AA49" s="22">
        <f>SUM(J49,M49,P49,S49,V49,Y49)</f>
        <v/>
      </c>
      <c r="AB49" s="22">
        <f>SUM(K49,N49,Q49,T49,W49,Z49)</f>
        <v/>
      </c>
      <c r="AC49" s="23">
        <f>IF(AA49=0,"",AB49/AA49)</f>
        <v/>
      </c>
      <c r="AD49" s="22">
        <f>CRITERIOS!Q37</f>
        <v/>
      </c>
      <c r="AE49" s="22">
        <f>IF(AND(E49=1,H49&lt;&gt;"X",((I49="N/A")+(L49="N/A")+(O49="N/A")+(R49="N/A")+(U49="N/A")+(X49="N/A"))&gt;0),"REVISAR","")</f>
        <v/>
      </c>
    </row>
    <row r="50">
      <c r="A50" s="24">
        <f>CRITERIOS!B38</f>
        <v/>
      </c>
      <c r="B50" s="24">
        <f>CRITERIOS!C38</f>
        <v/>
      </c>
      <c r="C50" s="25">
        <f>CRITERIOS!D38</f>
        <v/>
      </c>
      <c r="D50" s="24">
        <f>CRITERIOS!E38</f>
        <v/>
      </c>
      <c r="E50" s="24">
        <f>IFERROR(IF(AND(OR(CRITERIOS!F38="Todos",CRITERIOS!F38=$B$4),INDEX(CRITERIOS!H38:J38,MATCH($B$5,VARIABLES!$E$2:$E$4,0))=1),1,0),0)</f>
        <v/>
      </c>
      <c r="F50" s="24">
        <f>IFERROR(IF(E50=1,INDEX(CRITERIOS!K38:M38,MATCH($B$5,VARIABLES!$E$2:$E$4,0)),0),0)</f>
        <v/>
      </c>
      <c r="G50" s="24">
        <f>IF(CRITERIOS!N38="","",CRITERIOS!N38)</f>
        <v/>
      </c>
      <c r="H50" s="24">
        <f>IF(CRITERIOS!O38="","",CRITERIOS!O38)</f>
        <v/>
      </c>
      <c r="I50" s="21" t="n"/>
      <c r="J50" s="22">
        <f>IF(OR($E50=0,I$78=0),0,IF(AND(I50="N/A",$G50&lt;&gt;""),0,$F50+SUMPRODUCT(($G$14:$G$71=$A50)*($E$14:$E$71=1)*(I$14:I$71="N/A")*$F$14:$F$71)))</f>
        <v/>
      </c>
      <c r="K50" s="22">
        <f>IF(I50="SI",J50,0)</f>
        <v/>
      </c>
      <c r="L50" s="21" t="n"/>
      <c r="M50" s="22">
        <f>IF(OR($E50=0,L$78=0),0,IF(AND(L50="N/A",$G50&lt;&gt;""),0,$F50+SUMPRODUCT(($G$14:$G$71=$A50)*($E$14:$E$71=1)*(L$14:L$71="N/A")*$F$14:$F$71)))</f>
        <v/>
      </c>
      <c r="N50" s="22">
        <f>IF(L50="SI",M50,0)</f>
        <v/>
      </c>
      <c r="O50" s="21" t="n"/>
      <c r="P50" s="22">
        <f>IF(OR($E50=0,O$78=0),0,IF(AND(O50="N/A",$G50&lt;&gt;""),0,$F50+SUMPRODUCT(($G$14:$G$71=$A50)*($E$14:$E$71=1)*(O$14:O$71="N/A")*$F$14:$F$71)))</f>
        <v/>
      </c>
      <c r="Q50" s="22">
        <f>IF(O50="SI",P50,0)</f>
        <v/>
      </c>
      <c r="R50" s="21" t="n"/>
      <c r="S50" s="22">
        <f>IF(OR($E50=0,R$78=0),0,IF(AND(R50="N/A",$G50&lt;&gt;""),0,$F50+SUMPRODUCT(($G$14:$G$71=$A50)*($E$14:$E$71=1)*(R$14:R$71="N/A")*$F$14:$F$71)))</f>
        <v/>
      </c>
      <c r="T50" s="22">
        <f>IF(R50="SI",S50,0)</f>
        <v/>
      </c>
      <c r="U50" s="21" t="n"/>
      <c r="V50" s="22">
        <f>IF(OR($E50=0,U$78=0),0,IF(AND(U50="N/A",$G50&lt;&gt;""),0,$F50+SUMPRODUCT(($G$14:$G$71=$A50)*($E$14:$E$71=1)*(U$14:U$71="N/A")*$F$14:$F$71)))</f>
        <v/>
      </c>
      <c r="W50" s="22">
        <f>IF(U50="SI",V50,0)</f>
        <v/>
      </c>
      <c r="X50" s="21" t="n"/>
      <c r="Y50" s="22">
        <f>IF(OR($E50=0,X$78=0),0,IF(AND(X50="N/A",$G50&lt;&gt;""),0,$F50+SUMPRODUCT(($G$14:$G$71=$A50)*($E$14:$E$71=1)*(X$14:X$71="N/A")*$F$14:$F$71)))</f>
        <v/>
      </c>
      <c r="Z50" s="22">
        <f>IF(X50="SI",Y50,0)</f>
        <v/>
      </c>
      <c r="AA50" s="22">
        <f>SUM(J50,M50,P50,S50,V50,Y50)</f>
        <v/>
      </c>
      <c r="AB50" s="22">
        <f>SUM(K50,N50,Q50,T50,W50,Z50)</f>
        <v/>
      </c>
      <c r="AC50" s="23">
        <f>IF(AA50=0,"",AB50/AA50)</f>
        <v/>
      </c>
      <c r="AD50" s="22">
        <f>CRITERIOS!Q38</f>
        <v/>
      </c>
      <c r="AE50" s="22">
        <f>IF(AND(E50=1,H50&lt;&gt;"X",((I50="N/A")+(L50="N/A")+(O50="N/A")+(R50="N/A")+(U50="N/A")+(X50="N/A"))&gt;0),"REVISAR","")</f>
        <v/>
      </c>
    </row>
    <row r="51">
      <c r="A51" s="24">
        <f>CRITERIOS!B39</f>
        <v/>
      </c>
      <c r="B51" s="24">
        <f>CRITERIOS!C39</f>
        <v/>
      </c>
      <c r="C51" s="25">
        <f>CRITERIOS!D39</f>
        <v/>
      </c>
      <c r="D51" s="24">
        <f>CRITERIOS!E39</f>
        <v/>
      </c>
      <c r="E51" s="24">
        <f>IFERROR(IF(AND(OR(CRITERIOS!F39="Todos",CRITERIOS!F39=$B$4),INDEX(CRITERIOS!H39:J39,MATCH($B$5,VARIABLES!$E$2:$E$4,0))=1),1,0),0)</f>
        <v/>
      </c>
      <c r="F51" s="24">
        <f>IFERROR(IF(E51=1,INDEX(CRITERIOS!K39:M39,MATCH($B$5,VARIABLES!$E$2:$E$4,0)),0),0)</f>
        <v/>
      </c>
      <c r="G51" s="24">
        <f>IF(CRITERIOS!N39="","",CRITERIOS!N39)</f>
        <v/>
      </c>
      <c r="H51" s="24">
        <f>IF(CRITERIOS!O39="","",CRITERIOS!O39)</f>
        <v/>
      </c>
      <c r="I51" s="21" t="n"/>
      <c r="J51" s="22">
        <f>IF(OR($E51=0,I$78=0),0,IF(AND(I51="N/A",$G51&lt;&gt;""),0,$F51+SUMPRODUCT(($G$14:$G$71=$A51)*($E$14:$E$71=1)*(I$14:I$71="N/A")*$F$14:$F$71)))</f>
        <v/>
      </c>
      <c r="K51" s="22">
        <f>IF(I51="SI",J51,0)</f>
        <v/>
      </c>
      <c r="L51" s="21" t="n"/>
      <c r="M51" s="22">
        <f>IF(OR($E51=0,L$78=0),0,IF(AND(L51="N/A",$G51&lt;&gt;""),0,$F51+SUMPRODUCT(($G$14:$G$71=$A51)*($E$14:$E$71=1)*(L$14:L$71="N/A")*$F$14:$F$71)))</f>
        <v/>
      </c>
      <c r="N51" s="22">
        <f>IF(L51="SI",M51,0)</f>
        <v/>
      </c>
      <c r="O51" s="21" t="n"/>
      <c r="P51" s="22">
        <f>IF(OR($E51=0,O$78=0),0,IF(AND(O51="N/A",$G51&lt;&gt;""),0,$F51+SUMPRODUCT(($G$14:$G$71=$A51)*($E$14:$E$71=1)*(O$14:O$71="N/A")*$F$14:$F$71)))</f>
        <v/>
      </c>
      <c r="Q51" s="22">
        <f>IF(O51="SI",P51,0)</f>
        <v/>
      </c>
      <c r="R51" s="21" t="n"/>
      <c r="S51" s="22">
        <f>IF(OR($E51=0,R$78=0),0,IF(AND(R51="N/A",$G51&lt;&gt;""),0,$F51+SUMPRODUCT(($G$14:$G$71=$A51)*($E$14:$E$71=1)*(R$14:R$71="N/A")*$F$14:$F$71)))</f>
        <v/>
      </c>
      <c r="T51" s="22">
        <f>IF(R51="SI",S51,0)</f>
        <v/>
      </c>
      <c r="U51" s="21" t="n"/>
      <c r="V51" s="22">
        <f>IF(OR($E51=0,U$78=0),0,IF(AND(U51="N/A",$G51&lt;&gt;""),0,$F51+SUMPRODUCT(($G$14:$G$71=$A51)*($E$14:$E$71=1)*(U$14:U$71="N/A")*$F$14:$F$71)))</f>
        <v/>
      </c>
      <c r="W51" s="22">
        <f>IF(U51="SI",V51,0)</f>
        <v/>
      </c>
      <c r="X51" s="21" t="n"/>
      <c r="Y51" s="22">
        <f>IF(OR($E51=0,X$78=0),0,IF(AND(X51="N/A",$G51&lt;&gt;""),0,$F51+SUMPRODUCT(($G$14:$G$71=$A51)*($E$14:$E$71=1)*(X$14:X$71="N/A")*$F$14:$F$71)))</f>
        <v/>
      </c>
      <c r="Z51" s="22">
        <f>IF(X51="SI",Y51,0)</f>
        <v/>
      </c>
      <c r="AA51" s="22">
        <f>SUM(J51,M51,P51,S51,V51,Y51)</f>
        <v/>
      </c>
      <c r="AB51" s="22">
        <f>SUM(K51,N51,Q51,T51,W51,Z51)</f>
        <v/>
      </c>
      <c r="AC51" s="23">
        <f>IF(AA51=0,"",AB51/AA51)</f>
        <v/>
      </c>
      <c r="AD51" s="22">
        <f>CRITERIOS!Q39</f>
        <v/>
      </c>
      <c r="AE51" s="22">
        <f>IF(AND(E51=1,H51&lt;&gt;"X",((I51="N/A")+(L51="N/A")+(O51="N/A")+(R51="N/A")+(U51="N/A")+(X51="N/A"))&gt;0),"REVISAR","")</f>
        <v/>
      </c>
    </row>
    <row r="52">
      <c r="A52" s="24">
        <f>CRITERIOS!B40</f>
        <v/>
      </c>
      <c r="B52" s="24">
        <f>CRITERIOS!C40</f>
        <v/>
      </c>
      <c r="C52" s="25">
        <f>CRITERIOS!D40</f>
        <v/>
      </c>
      <c r="D52" s="24">
        <f>CRITERIOS!E40</f>
        <v/>
      </c>
      <c r="E52" s="24">
        <f>IFERROR(IF(AND(OR(CRITERIOS!F40="Todos",CRITERIOS!F40=$B$4),INDEX(CRITERIOS!H40:J40,MATCH($B$5,VARIABLES!$E$2:$E$4,0))=1),1,0),0)</f>
        <v/>
      </c>
      <c r="F52" s="24">
        <f>IFERROR(IF(E52=1,INDEX(CRITERIOS!K40:M40,MATCH($B$5,VARIABLES!$E$2:$E$4,0)),0),0)</f>
        <v/>
      </c>
      <c r="G52" s="24">
        <f>IF(CRITERIOS!N40="","",CRITERIOS!N40)</f>
        <v/>
      </c>
      <c r="H52" s="24">
        <f>IF(CRITERIOS!O40="","",CRITERIOS!O40)</f>
        <v/>
      </c>
      <c r="I52" s="21" t="n"/>
      <c r="J52" s="22">
        <f>IF(OR($E52=0,I$78=0),0,IF(AND(I52="N/A",$G52&lt;&gt;""),0,$F52+SUMPRODUCT(($G$14:$G$71=$A52)*($E$14:$E$71=1)*(I$14:I$71="N/A")*$F$14:$F$71)))</f>
        <v/>
      </c>
      <c r="K52" s="22">
        <f>IF(I52="SI",J52,0)</f>
        <v/>
      </c>
      <c r="L52" s="21" t="n"/>
      <c r="M52" s="22">
        <f>IF(OR($E52=0,L$78=0),0,IF(AND(L52="N/A",$G52&lt;&gt;""),0,$F52+SUMPRODUCT(($G$14:$G$71=$A52)*($E$14:$E$71=1)*(L$14:L$71="N/A")*$F$14:$F$71)))</f>
        <v/>
      </c>
      <c r="N52" s="22">
        <f>IF(L52="SI",M52,0)</f>
        <v/>
      </c>
      <c r="O52" s="21" t="n"/>
      <c r="P52" s="22">
        <f>IF(OR($E52=0,O$78=0),0,IF(AND(O52="N/A",$G52&lt;&gt;""),0,$F52+SUMPRODUCT(($G$14:$G$71=$A52)*($E$14:$E$71=1)*(O$14:O$71="N/A")*$F$14:$F$71)))</f>
        <v/>
      </c>
      <c r="Q52" s="22">
        <f>IF(O52="SI",P52,0)</f>
        <v/>
      </c>
      <c r="R52" s="21" t="n"/>
      <c r="S52" s="22">
        <f>IF(OR($E52=0,R$78=0),0,IF(AND(R52="N/A",$G52&lt;&gt;""),0,$F52+SUMPRODUCT(($G$14:$G$71=$A52)*($E$14:$E$71=1)*(R$14:R$71="N/A")*$F$14:$F$71)))</f>
        <v/>
      </c>
      <c r="T52" s="22">
        <f>IF(R52="SI",S52,0)</f>
        <v/>
      </c>
      <c r="U52" s="21" t="n"/>
      <c r="V52" s="22">
        <f>IF(OR($E52=0,U$78=0),0,IF(AND(U52="N/A",$G52&lt;&gt;""),0,$F52+SUMPRODUCT(($G$14:$G$71=$A52)*($E$14:$E$71=1)*(U$14:U$71="N/A")*$F$14:$F$71)))</f>
        <v/>
      </c>
      <c r="W52" s="22">
        <f>IF(U52="SI",V52,0)</f>
        <v/>
      </c>
      <c r="X52" s="21" t="n"/>
      <c r="Y52" s="22">
        <f>IF(OR($E52=0,X$78=0),0,IF(AND(X52="N/A",$G52&lt;&gt;""),0,$F52+SUMPRODUCT(($G$14:$G$71=$A52)*($E$14:$E$71=1)*(X$14:X$71="N/A")*$F$14:$F$71)))</f>
        <v/>
      </c>
      <c r="Z52" s="22">
        <f>IF(X52="SI",Y52,0)</f>
        <v/>
      </c>
      <c r="AA52" s="22">
        <f>SUM(J52,M52,P52,S52,V52,Y52)</f>
        <v/>
      </c>
      <c r="AB52" s="22">
        <f>SUM(K52,N52,Q52,T52,W52,Z52)</f>
        <v/>
      </c>
      <c r="AC52" s="23">
        <f>IF(AA52=0,"",AB52/AA52)</f>
        <v/>
      </c>
      <c r="AD52" s="22">
        <f>CRITERIOS!Q40</f>
        <v/>
      </c>
      <c r="AE52" s="22">
        <f>IF(AND(E52=1,H52&lt;&gt;"X",((I52="N/A")+(L52="N/A")+(O52="N/A")+(R52="N/A")+(U52="N/A")+(X52="N/A"))&gt;0),"REVISAR","")</f>
        <v/>
      </c>
    </row>
    <row r="53">
      <c r="A53" s="22">
        <f>CRITERIOS!B41</f>
        <v/>
      </c>
      <c r="B53" s="22">
        <f>CRITERIOS!C41</f>
        <v/>
      </c>
      <c r="C53" s="8">
        <f>CRITERIOS!D41</f>
        <v/>
      </c>
      <c r="D53" s="22">
        <f>CRITERIOS!E41</f>
        <v/>
      </c>
      <c r="E53" s="22">
        <f>IFERROR(IF(AND(OR(CRITERIOS!F41="Todos",CRITERIOS!F41=$B$4),INDEX(CRITERIOS!H41:J41,MATCH($B$5,VARIABLES!$E$2:$E$4,0))=1),1,0),0)</f>
        <v/>
      </c>
      <c r="F53" s="22">
        <f>IFERROR(IF(E53=1,INDEX(CRITERIOS!K41:M41,MATCH($B$5,VARIABLES!$E$2:$E$4,0)),0),0)</f>
        <v/>
      </c>
      <c r="G53" s="22">
        <f>IF(CRITERIOS!N41="","",CRITERIOS!N41)</f>
        <v/>
      </c>
      <c r="H53" s="22">
        <f>IF(CRITERIOS!O41="","",CRITERIOS!O41)</f>
        <v/>
      </c>
      <c r="I53" s="21" t="n"/>
      <c r="J53" s="22">
        <f>IF(OR($E53=0,I$78=0),0,IF(AND(I53="N/A",$G53&lt;&gt;""),0,$F53+SUMPRODUCT(($G$14:$G$71=$A53)*($E$14:$E$71=1)*(I$14:I$71="N/A")*$F$14:$F$71)))</f>
        <v/>
      </c>
      <c r="K53" s="22">
        <f>IF(I53="SI",J53,0)</f>
        <v/>
      </c>
      <c r="L53" s="21" t="n"/>
      <c r="M53" s="22">
        <f>IF(OR($E53=0,L$78=0),0,IF(AND(L53="N/A",$G53&lt;&gt;""),0,$F53+SUMPRODUCT(($G$14:$G$71=$A53)*($E$14:$E$71=1)*(L$14:L$71="N/A")*$F$14:$F$71)))</f>
        <v/>
      </c>
      <c r="N53" s="22">
        <f>IF(L53="SI",M53,0)</f>
        <v/>
      </c>
      <c r="O53" s="21" t="n"/>
      <c r="P53" s="22">
        <f>IF(OR($E53=0,O$78=0),0,IF(AND(O53="N/A",$G53&lt;&gt;""),0,$F53+SUMPRODUCT(($G$14:$G$71=$A53)*($E$14:$E$71=1)*(O$14:O$71="N/A")*$F$14:$F$71)))</f>
        <v/>
      </c>
      <c r="Q53" s="22">
        <f>IF(O53="SI",P53,0)</f>
        <v/>
      </c>
      <c r="R53" s="21" t="n"/>
      <c r="S53" s="22">
        <f>IF(OR($E53=0,R$78=0),0,IF(AND(R53="N/A",$G53&lt;&gt;""),0,$F53+SUMPRODUCT(($G$14:$G$71=$A53)*($E$14:$E$71=1)*(R$14:R$71="N/A")*$F$14:$F$71)))</f>
        <v/>
      </c>
      <c r="T53" s="22">
        <f>IF(R53="SI",S53,0)</f>
        <v/>
      </c>
      <c r="U53" s="21" t="n"/>
      <c r="V53" s="22">
        <f>IF(OR($E53=0,U$78=0),0,IF(AND(U53="N/A",$G53&lt;&gt;""),0,$F53+SUMPRODUCT(($G$14:$G$71=$A53)*($E$14:$E$71=1)*(U$14:U$71="N/A")*$F$14:$F$71)))</f>
        <v/>
      </c>
      <c r="W53" s="22">
        <f>IF(U53="SI",V53,0)</f>
        <v/>
      </c>
      <c r="X53" s="21" t="n"/>
      <c r="Y53" s="22">
        <f>IF(OR($E53=0,X$78=0),0,IF(AND(X53="N/A",$G53&lt;&gt;""),0,$F53+SUMPRODUCT(($G$14:$G$71=$A53)*($E$14:$E$71=1)*(X$14:X$71="N/A")*$F$14:$F$71)))</f>
        <v/>
      </c>
      <c r="Z53" s="22">
        <f>IF(X53="SI",Y53,0)</f>
        <v/>
      </c>
      <c r="AA53" s="22">
        <f>SUM(J53,M53,P53,S53,V53,Y53)</f>
        <v/>
      </c>
      <c r="AB53" s="22">
        <f>SUM(K53,N53,Q53,T53,W53,Z53)</f>
        <v/>
      </c>
      <c r="AC53" s="23">
        <f>IF(AA53=0,"",AB53/AA53)</f>
        <v/>
      </c>
      <c r="AD53" s="22">
        <f>CRITERIOS!Q41</f>
        <v/>
      </c>
      <c r="AE53" s="22">
        <f>IF(AND(E53=1,H53&lt;&gt;"X",((I53="N/A")+(L53="N/A")+(O53="N/A")+(R53="N/A")+(U53="N/A")+(X53="N/A"))&gt;0),"REVISAR","")</f>
        <v/>
      </c>
    </row>
    <row r="54">
      <c r="A54" s="22">
        <f>CRITERIOS!B42</f>
        <v/>
      </c>
      <c r="B54" s="22">
        <f>CRITERIOS!C42</f>
        <v/>
      </c>
      <c r="C54" s="8">
        <f>CRITERIOS!D42</f>
        <v/>
      </c>
      <c r="D54" s="22">
        <f>CRITERIOS!E42</f>
        <v/>
      </c>
      <c r="E54" s="22">
        <f>IFERROR(IF(AND(OR(CRITERIOS!F42="Todos",CRITERIOS!F42=$B$4),INDEX(CRITERIOS!H42:J42,MATCH($B$5,VARIABLES!$E$2:$E$4,0))=1),1,0),0)</f>
        <v/>
      </c>
      <c r="F54" s="22">
        <f>IFERROR(IF(E54=1,INDEX(CRITERIOS!K42:M42,MATCH($B$5,VARIABLES!$E$2:$E$4,0)),0),0)</f>
        <v/>
      </c>
      <c r="G54" s="22">
        <f>IF(CRITERIOS!N42="","",CRITERIOS!N42)</f>
        <v/>
      </c>
      <c r="H54" s="22">
        <f>IF(CRITERIOS!O42="","",CRITERIOS!O42)</f>
        <v/>
      </c>
      <c r="I54" s="21" t="n"/>
      <c r="J54" s="22">
        <f>IF(OR($E54=0,I$78=0),0,IF(AND(I54="N/A",$G54&lt;&gt;""),0,$F54+SUMPRODUCT(($G$14:$G$71=$A54)*($E$14:$E$71=1)*(I$14:I$71="N/A")*$F$14:$F$71)))</f>
        <v/>
      </c>
      <c r="K54" s="22">
        <f>IF(I54="SI",J54,0)</f>
        <v/>
      </c>
      <c r="L54" s="21" t="n"/>
      <c r="M54" s="22">
        <f>IF(OR($E54=0,L$78=0),0,IF(AND(L54="N/A",$G54&lt;&gt;""),0,$F54+SUMPRODUCT(($G$14:$G$71=$A54)*($E$14:$E$71=1)*(L$14:L$71="N/A")*$F$14:$F$71)))</f>
        <v/>
      </c>
      <c r="N54" s="22">
        <f>IF(L54="SI",M54,0)</f>
        <v/>
      </c>
      <c r="O54" s="21" t="n"/>
      <c r="P54" s="22">
        <f>IF(OR($E54=0,O$78=0),0,IF(AND(O54="N/A",$G54&lt;&gt;""),0,$F54+SUMPRODUCT(($G$14:$G$71=$A54)*($E$14:$E$71=1)*(O$14:O$71="N/A")*$F$14:$F$71)))</f>
        <v/>
      </c>
      <c r="Q54" s="22">
        <f>IF(O54="SI",P54,0)</f>
        <v/>
      </c>
      <c r="R54" s="21" t="n"/>
      <c r="S54" s="22">
        <f>IF(OR($E54=0,R$78=0),0,IF(AND(R54="N/A",$G54&lt;&gt;""),0,$F54+SUMPRODUCT(($G$14:$G$71=$A54)*($E$14:$E$71=1)*(R$14:R$71="N/A")*$F$14:$F$71)))</f>
        <v/>
      </c>
      <c r="T54" s="22">
        <f>IF(R54="SI",S54,0)</f>
        <v/>
      </c>
      <c r="U54" s="21" t="n"/>
      <c r="V54" s="22">
        <f>IF(OR($E54=0,U$78=0),0,IF(AND(U54="N/A",$G54&lt;&gt;""),0,$F54+SUMPRODUCT(($G$14:$G$71=$A54)*($E$14:$E$71=1)*(U$14:U$71="N/A")*$F$14:$F$71)))</f>
        <v/>
      </c>
      <c r="W54" s="22">
        <f>IF(U54="SI",V54,0)</f>
        <v/>
      </c>
      <c r="X54" s="21" t="n"/>
      <c r="Y54" s="22">
        <f>IF(OR($E54=0,X$78=0),0,IF(AND(X54="N/A",$G54&lt;&gt;""),0,$F54+SUMPRODUCT(($G$14:$G$71=$A54)*($E$14:$E$71=1)*(X$14:X$71="N/A")*$F$14:$F$71)))</f>
        <v/>
      </c>
      <c r="Z54" s="22">
        <f>IF(X54="SI",Y54,0)</f>
        <v/>
      </c>
      <c r="AA54" s="22">
        <f>SUM(J54,M54,P54,S54,V54,Y54)</f>
        <v/>
      </c>
      <c r="AB54" s="22">
        <f>SUM(K54,N54,Q54,T54,W54,Z54)</f>
        <v/>
      </c>
      <c r="AC54" s="23">
        <f>IF(AA54=0,"",AB54/AA54)</f>
        <v/>
      </c>
      <c r="AD54" s="22">
        <f>CRITERIOS!Q42</f>
        <v/>
      </c>
      <c r="AE54" s="22">
        <f>IF(AND(E54=1,H54&lt;&gt;"X",((I54="N/A")+(L54="N/A")+(O54="N/A")+(R54="N/A")+(U54="N/A")+(X54="N/A"))&gt;0),"REVISAR","")</f>
        <v/>
      </c>
    </row>
    <row r="55">
      <c r="A55" s="24">
        <f>CRITERIOS!B43</f>
        <v/>
      </c>
      <c r="B55" s="24">
        <f>CRITERIOS!C43</f>
        <v/>
      </c>
      <c r="C55" s="25">
        <f>CRITERIOS!D43</f>
        <v/>
      </c>
      <c r="D55" s="24">
        <f>CRITERIOS!E43</f>
        <v/>
      </c>
      <c r="E55" s="24">
        <f>IFERROR(IF(AND(OR(CRITERIOS!F43="Todos",CRITERIOS!F43=$B$4),INDEX(CRITERIOS!H43:J43,MATCH($B$5,VARIABLES!$E$2:$E$4,0))=1),1,0),0)</f>
        <v/>
      </c>
      <c r="F55" s="24">
        <f>IFERROR(IF(E55=1,INDEX(CRITERIOS!K43:M43,MATCH($B$5,VARIABLES!$E$2:$E$4,0)),0),0)</f>
        <v/>
      </c>
      <c r="G55" s="24">
        <f>IF(CRITERIOS!N43="","",CRITERIOS!N43)</f>
        <v/>
      </c>
      <c r="H55" s="24">
        <f>IF(CRITERIOS!O43="","",CRITERIOS!O43)</f>
        <v/>
      </c>
      <c r="I55" s="21" t="n"/>
      <c r="J55" s="22">
        <f>IF(OR($E55=0,I$78=0),0,IF(AND(I55="N/A",$G55&lt;&gt;""),0,$F55+SUMPRODUCT(($G$14:$G$71=$A55)*($E$14:$E$71=1)*(I$14:I$71="N/A")*$F$14:$F$71)))</f>
        <v/>
      </c>
      <c r="K55" s="22">
        <f>IF(I55="SI",J55,0)</f>
        <v/>
      </c>
      <c r="L55" s="21" t="n"/>
      <c r="M55" s="22">
        <f>IF(OR($E55=0,L$78=0),0,IF(AND(L55="N/A",$G55&lt;&gt;""),0,$F55+SUMPRODUCT(($G$14:$G$71=$A55)*($E$14:$E$71=1)*(L$14:L$71="N/A")*$F$14:$F$71)))</f>
        <v/>
      </c>
      <c r="N55" s="22">
        <f>IF(L55="SI",M55,0)</f>
        <v/>
      </c>
      <c r="O55" s="21" t="n"/>
      <c r="P55" s="22">
        <f>IF(OR($E55=0,O$78=0),0,IF(AND(O55="N/A",$G55&lt;&gt;""),0,$F55+SUMPRODUCT(($G$14:$G$71=$A55)*($E$14:$E$71=1)*(O$14:O$71="N/A")*$F$14:$F$71)))</f>
        <v/>
      </c>
      <c r="Q55" s="22">
        <f>IF(O55="SI",P55,0)</f>
        <v/>
      </c>
      <c r="R55" s="21" t="n"/>
      <c r="S55" s="22">
        <f>IF(OR($E55=0,R$78=0),0,IF(AND(R55="N/A",$G55&lt;&gt;""),0,$F55+SUMPRODUCT(($G$14:$G$71=$A55)*($E$14:$E$71=1)*(R$14:R$71="N/A")*$F$14:$F$71)))</f>
        <v/>
      </c>
      <c r="T55" s="22">
        <f>IF(R55="SI",S55,0)</f>
        <v/>
      </c>
      <c r="U55" s="21" t="n"/>
      <c r="V55" s="22">
        <f>IF(OR($E55=0,U$78=0),0,IF(AND(U55="N/A",$G55&lt;&gt;""),0,$F55+SUMPRODUCT(($G$14:$G$71=$A55)*($E$14:$E$71=1)*(U$14:U$71="N/A")*$F$14:$F$71)))</f>
        <v/>
      </c>
      <c r="W55" s="22">
        <f>IF(U55="SI",V55,0)</f>
        <v/>
      </c>
      <c r="X55" s="21" t="n"/>
      <c r="Y55" s="22">
        <f>IF(OR($E55=0,X$78=0),0,IF(AND(X55="N/A",$G55&lt;&gt;""),0,$F55+SUMPRODUCT(($G$14:$G$71=$A55)*($E$14:$E$71=1)*(X$14:X$71="N/A")*$F$14:$F$71)))</f>
        <v/>
      </c>
      <c r="Z55" s="22">
        <f>IF(X55="SI",Y55,0)</f>
        <v/>
      </c>
      <c r="AA55" s="22">
        <f>SUM(J55,M55,P55,S55,V55,Y55)</f>
        <v/>
      </c>
      <c r="AB55" s="22">
        <f>SUM(K55,N55,Q55,T55,W55,Z55)</f>
        <v/>
      </c>
      <c r="AC55" s="23">
        <f>IF(AA55=0,"",AB55/AA55)</f>
        <v/>
      </c>
      <c r="AD55" s="22">
        <f>CRITERIOS!Q43</f>
        <v/>
      </c>
      <c r="AE55" s="22">
        <f>IF(AND(E55=1,H55&lt;&gt;"X",((I55="N/A")+(L55="N/A")+(O55="N/A")+(R55="N/A")+(U55="N/A")+(X55="N/A"))&gt;0),"REVISAR","")</f>
        <v/>
      </c>
    </row>
    <row r="56">
      <c r="A56" s="24">
        <f>CRITERIOS!B44</f>
        <v/>
      </c>
      <c r="B56" s="24">
        <f>CRITERIOS!C44</f>
        <v/>
      </c>
      <c r="C56" s="25">
        <f>CRITERIOS!D44</f>
        <v/>
      </c>
      <c r="D56" s="24">
        <f>CRITERIOS!E44</f>
        <v/>
      </c>
      <c r="E56" s="24">
        <f>IFERROR(IF(AND(OR(CRITERIOS!F44="Todos",CRITERIOS!F44=$B$4),INDEX(CRITERIOS!H44:J44,MATCH($B$5,VARIABLES!$E$2:$E$4,0))=1),1,0),0)</f>
        <v/>
      </c>
      <c r="F56" s="24">
        <f>IFERROR(IF(E56=1,INDEX(CRITERIOS!K44:M44,MATCH($B$5,VARIABLES!$E$2:$E$4,0)),0),0)</f>
        <v/>
      </c>
      <c r="G56" s="24">
        <f>IF(CRITERIOS!N44="","",CRITERIOS!N44)</f>
        <v/>
      </c>
      <c r="H56" s="24">
        <f>IF(CRITERIOS!O44="","",CRITERIOS!O44)</f>
        <v/>
      </c>
      <c r="I56" s="21" t="n"/>
      <c r="J56" s="22">
        <f>IF(OR($E56=0,I$78=0),0,IF(AND(I56="N/A",$G56&lt;&gt;""),0,$F56+SUMPRODUCT(($G$14:$G$71=$A56)*($E$14:$E$71=1)*(I$14:I$71="N/A")*$F$14:$F$71)))</f>
        <v/>
      </c>
      <c r="K56" s="22">
        <f>IF(I56="SI",J56,0)</f>
        <v/>
      </c>
      <c r="L56" s="21" t="n"/>
      <c r="M56" s="22">
        <f>IF(OR($E56=0,L$78=0),0,IF(AND(L56="N/A",$G56&lt;&gt;""),0,$F56+SUMPRODUCT(($G$14:$G$71=$A56)*($E$14:$E$71=1)*(L$14:L$71="N/A")*$F$14:$F$71)))</f>
        <v/>
      </c>
      <c r="N56" s="22">
        <f>IF(L56="SI",M56,0)</f>
        <v/>
      </c>
      <c r="O56" s="21" t="n"/>
      <c r="P56" s="22">
        <f>IF(OR($E56=0,O$78=0),0,IF(AND(O56="N/A",$G56&lt;&gt;""),0,$F56+SUMPRODUCT(($G$14:$G$71=$A56)*($E$14:$E$71=1)*(O$14:O$71="N/A")*$F$14:$F$71)))</f>
        <v/>
      </c>
      <c r="Q56" s="22">
        <f>IF(O56="SI",P56,0)</f>
        <v/>
      </c>
      <c r="R56" s="21" t="n"/>
      <c r="S56" s="22">
        <f>IF(OR($E56=0,R$78=0),0,IF(AND(R56="N/A",$G56&lt;&gt;""),0,$F56+SUMPRODUCT(($G$14:$G$71=$A56)*($E$14:$E$71=1)*(R$14:R$71="N/A")*$F$14:$F$71)))</f>
        <v/>
      </c>
      <c r="T56" s="22">
        <f>IF(R56="SI",S56,0)</f>
        <v/>
      </c>
      <c r="U56" s="21" t="n"/>
      <c r="V56" s="22">
        <f>IF(OR($E56=0,U$78=0),0,IF(AND(U56="N/A",$G56&lt;&gt;""),0,$F56+SUMPRODUCT(($G$14:$G$71=$A56)*($E$14:$E$71=1)*(U$14:U$71="N/A")*$F$14:$F$71)))</f>
        <v/>
      </c>
      <c r="W56" s="22">
        <f>IF(U56="SI",V56,0)</f>
        <v/>
      </c>
      <c r="X56" s="21" t="n"/>
      <c r="Y56" s="22">
        <f>IF(OR($E56=0,X$78=0),0,IF(AND(X56="N/A",$G56&lt;&gt;""),0,$F56+SUMPRODUCT(($G$14:$G$71=$A56)*($E$14:$E$71=1)*(X$14:X$71="N/A")*$F$14:$F$71)))</f>
        <v/>
      </c>
      <c r="Z56" s="22">
        <f>IF(X56="SI",Y56,0)</f>
        <v/>
      </c>
      <c r="AA56" s="22">
        <f>SUM(J56,M56,P56,S56,V56,Y56)</f>
        <v/>
      </c>
      <c r="AB56" s="22">
        <f>SUM(K56,N56,Q56,T56,W56,Z56)</f>
        <v/>
      </c>
      <c r="AC56" s="23">
        <f>IF(AA56=0,"",AB56/AA56)</f>
        <v/>
      </c>
      <c r="AD56" s="22">
        <f>CRITERIOS!Q44</f>
        <v/>
      </c>
      <c r="AE56" s="22">
        <f>IF(AND(E56=1,H56&lt;&gt;"X",((I56="N/A")+(L56="N/A")+(O56="N/A")+(R56="N/A")+(U56="N/A")+(X56="N/A"))&gt;0),"REVISAR","")</f>
        <v/>
      </c>
    </row>
    <row r="57">
      <c r="A57" s="24">
        <f>CRITERIOS!B45</f>
        <v/>
      </c>
      <c r="B57" s="24">
        <f>CRITERIOS!C45</f>
        <v/>
      </c>
      <c r="C57" s="25">
        <f>CRITERIOS!D45</f>
        <v/>
      </c>
      <c r="D57" s="24">
        <f>CRITERIOS!E45</f>
        <v/>
      </c>
      <c r="E57" s="24">
        <f>IFERROR(IF(AND(OR(CRITERIOS!F45="Todos",CRITERIOS!F45=$B$4),INDEX(CRITERIOS!H45:J45,MATCH($B$5,VARIABLES!$E$2:$E$4,0))=1),1,0),0)</f>
        <v/>
      </c>
      <c r="F57" s="24">
        <f>IFERROR(IF(E57=1,INDEX(CRITERIOS!K45:M45,MATCH($B$5,VARIABLES!$E$2:$E$4,0)),0),0)</f>
        <v/>
      </c>
      <c r="G57" s="24">
        <f>IF(CRITERIOS!N45="","",CRITERIOS!N45)</f>
        <v/>
      </c>
      <c r="H57" s="24">
        <f>IF(CRITERIOS!O45="","",CRITERIOS!O45)</f>
        <v/>
      </c>
      <c r="I57" s="21" t="n"/>
      <c r="J57" s="22">
        <f>IF(OR($E57=0,I$78=0),0,IF(AND(I57="N/A",$G57&lt;&gt;""),0,$F57+SUMPRODUCT(($G$14:$G$71=$A57)*($E$14:$E$71=1)*(I$14:I$71="N/A")*$F$14:$F$71)))</f>
        <v/>
      </c>
      <c r="K57" s="22">
        <f>IF(I57="SI",J57,0)</f>
        <v/>
      </c>
      <c r="L57" s="21" t="n"/>
      <c r="M57" s="22">
        <f>IF(OR($E57=0,L$78=0),0,IF(AND(L57="N/A",$G57&lt;&gt;""),0,$F57+SUMPRODUCT(($G$14:$G$71=$A57)*($E$14:$E$71=1)*(L$14:L$71="N/A")*$F$14:$F$71)))</f>
        <v/>
      </c>
      <c r="N57" s="22">
        <f>IF(L57="SI",M57,0)</f>
        <v/>
      </c>
      <c r="O57" s="21" t="n"/>
      <c r="P57" s="22">
        <f>IF(OR($E57=0,O$78=0),0,IF(AND(O57="N/A",$G57&lt;&gt;""),0,$F57+SUMPRODUCT(($G$14:$G$71=$A57)*($E$14:$E$71=1)*(O$14:O$71="N/A")*$F$14:$F$71)))</f>
        <v/>
      </c>
      <c r="Q57" s="22">
        <f>IF(O57="SI",P57,0)</f>
        <v/>
      </c>
      <c r="R57" s="21" t="n"/>
      <c r="S57" s="22">
        <f>IF(OR($E57=0,R$78=0),0,IF(AND(R57="N/A",$G57&lt;&gt;""),0,$F57+SUMPRODUCT(($G$14:$G$71=$A57)*($E$14:$E$71=1)*(R$14:R$71="N/A")*$F$14:$F$71)))</f>
        <v/>
      </c>
      <c r="T57" s="22">
        <f>IF(R57="SI",S57,0)</f>
        <v/>
      </c>
      <c r="U57" s="21" t="n"/>
      <c r="V57" s="22">
        <f>IF(OR($E57=0,U$78=0),0,IF(AND(U57="N/A",$G57&lt;&gt;""),0,$F57+SUMPRODUCT(($G$14:$G$71=$A57)*($E$14:$E$71=1)*(U$14:U$71="N/A")*$F$14:$F$71)))</f>
        <v/>
      </c>
      <c r="W57" s="22">
        <f>IF(U57="SI",V57,0)</f>
        <v/>
      </c>
      <c r="X57" s="21" t="n"/>
      <c r="Y57" s="22">
        <f>IF(OR($E57=0,X$78=0),0,IF(AND(X57="N/A",$G57&lt;&gt;""),0,$F57+SUMPRODUCT(($G$14:$G$71=$A57)*($E$14:$E$71=1)*(X$14:X$71="N/A")*$F$14:$F$71)))</f>
        <v/>
      </c>
      <c r="Z57" s="22">
        <f>IF(X57="SI",Y57,0)</f>
        <v/>
      </c>
      <c r="AA57" s="22">
        <f>SUM(J57,M57,P57,S57,V57,Y57)</f>
        <v/>
      </c>
      <c r="AB57" s="22">
        <f>SUM(K57,N57,Q57,T57,W57,Z57)</f>
        <v/>
      </c>
      <c r="AC57" s="23">
        <f>IF(AA57=0,"",AB57/AA57)</f>
        <v/>
      </c>
      <c r="AD57" s="22">
        <f>CRITERIOS!Q45</f>
        <v/>
      </c>
      <c r="AE57" s="22">
        <f>IF(AND(E57=1,H57&lt;&gt;"X",((I57="N/A")+(L57="N/A")+(O57="N/A")+(R57="N/A")+(U57="N/A")+(X57="N/A"))&gt;0),"REVISAR","")</f>
        <v/>
      </c>
    </row>
    <row r="58">
      <c r="A58" s="24">
        <f>CRITERIOS!B46</f>
        <v/>
      </c>
      <c r="B58" s="24">
        <f>CRITERIOS!C46</f>
        <v/>
      </c>
      <c r="C58" s="25">
        <f>CRITERIOS!D46</f>
        <v/>
      </c>
      <c r="D58" s="24">
        <f>CRITERIOS!E46</f>
        <v/>
      </c>
      <c r="E58" s="24">
        <f>IFERROR(IF(AND(OR(CRITERIOS!F46="Todos",CRITERIOS!F46=$B$4),INDEX(CRITERIOS!H46:J46,MATCH($B$5,VARIABLES!$E$2:$E$4,0))=1),1,0),0)</f>
        <v/>
      </c>
      <c r="F58" s="24">
        <f>IFERROR(IF(E58=1,INDEX(CRITERIOS!K46:M46,MATCH($B$5,VARIABLES!$E$2:$E$4,0)),0),0)</f>
        <v/>
      </c>
      <c r="G58" s="24">
        <f>IF(CRITERIOS!N46="","",CRITERIOS!N46)</f>
        <v/>
      </c>
      <c r="H58" s="24">
        <f>IF(CRITERIOS!O46="","",CRITERIOS!O46)</f>
        <v/>
      </c>
      <c r="I58" s="21" t="n"/>
      <c r="J58" s="22">
        <f>IF(OR($E58=0,I$78=0),0,IF(AND(I58="N/A",$G58&lt;&gt;""),0,$F58+SUMPRODUCT(($G$14:$G$71=$A58)*($E$14:$E$71=1)*(I$14:I$71="N/A")*$F$14:$F$71)))</f>
        <v/>
      </c>
      <c r="K58" s="22">
        <f>IF(I58="SI",J58,0)</f>
        <v/>
      </c>
      <c r="L58" s="21" t="n"/>
      <c r="M58" s="22">
        <f>IF(OR($E58=0,L$78=0),0,IF(AND(L58="N/A",$G58&lt;&gt;""),0,$F58+SUMPRODUCT(($G$14:$G$71=$A58)*($E$14:$E$71=1)*(L$14:L$71="N/A")*$F$14:$F$71)))</f>
        <v/>
      </c>
      <c r="N58" s="22">
        <f>IF(L58="SI",M58,0)</f>
        <v/>
      </c>
      <c r="O58" s="21" t="n"/>
      <c r="P58" s="22">
        <f>IF(OR($E58=0,O$78=0),0,IF(AND(O58="N/A",$G58&lt;&gt;""),0,$F58+SUMPRODUCT(($G$14:$G$71=$A58)*($E$14:$E$71=1)*(O$14:O$71="N/A")*$F$14:$F$71)))</f>
        <v/>
      </c>
      <c r="Q58" s="22">
        <f>IF(O58="SI",P58,0)</f>
        <v/>
      </c>
      <c r="R58" s="21" t="n"/>
      <c r="S58" s="22">
        <f>IF(OR($E58=0,R$78=0),0,IF(AND(R58="N/A",$G58&lt;&gt;""),0,$F58+SUMPRODUCT(($G$14:$G$71=$A58)*($E$14:$E$71=1)*(R$14:R$71="N/A")*$F$14:$F$71)))</f>
        <v/>
      </c>
      <c r="T58" s="22">
        <f>IF(R58="SI",S58,0)</f>
        <v/>
      </c>
      <c r="U58" s="21" t="n"/>
      <c r="V58" s="22">
        <f>IF(OR($E58=0,U$78=0),0,IF(AND(U58="N/A",$G58&lt;&gt;""),0,$F58+SUMPRODUCT(($G$14:$G$71=$A58)*($E$14:$E$71=1)*(U$14:U$71="N/A")*$F$14:$F$71)))</f>
        <v/>
      </c>
      <c r="W58" s="22">
        <f>IF(U58="SI",V58,0)</f>
        <v/>
      </c>
      <c r="X58" s="21" t="n"/>
      <c r="Y58" s="22">
        <f>IF(OR($E58=0,X$78=0),0,IF(AND(X58="N/A",$G58&lt;&gt;""),0,$F58+SUMPRODUCT(($G$14:$G$71=$A58)*($E$14:$E$71=1)*(X$14:X$71="N/A")*$F$14:$F$71)))</f>
        <v/>
      </c>
      <c r="Z58" s="22">
        <f>IF(X58="SI",Y58,0)</f>
        <v/>
      </c>
      <c r="AA58" s="22">
        <f>SUM(J58,M58,P58,S58,V58,Y58)</f>
        <v/>
      </c>
      <c r="AB58" s="22">
        <f>SUM(K58,N58,Q58,T58,W58,Z58)</f>
        <v/>
      </c>
      <c r="AC58" s="23">
        <f>IF(AA58=0,"",AB58/AA58)</f>
        <v/>
      </c>
      <c r="AD58" s="22">
        <f>CRITERIOS!Q46</f>
        <v/>
      </c>
      <c r="AE58" s="22">
        <f>IF(AND(E58=1,H58&lt;&gt;"X",((I58="N/A")+(L58="N/A")+(O58="N/A")+(R58="N/A")+(U58="N/A")+(X58="N/A"))&gt;0),"REVISAR","")</f>
        <v/>
      </c>
    </row>
    <row r="59">
      <c r="A59" s="24">
        <f>CRITERIOS!B47</f>
        <v/>
      </c>
      <c r="B59" s="24">
        <f>CRITERIOS!C47</f>
        <v/>
      </c>
      <c r="C59" s="25">
        <f>CRITERIOS!D47</f>
        <v/>
      </c>
      <c r="D59" s="24">
        <f>CRITERIOS!E47</f>
        <v/>
      </c>
      <c r="E59" s="24">
        <f>IFERROR(IF(AND(OR(CRITERIOS!F47="Todos",CRITERIOS!F47=$B$4),INDEX(CRITERIOS!H47:J47,MATCH($B$5,VARIABLES!$E$2:$E$4,0))=1),1,0),0)</f>
        <v/>
      </c>
      <c r="F59" s="24">
        <f>IFERROR(IF(E59=1,INDEX(CRITERIOS!K47:M47,MATCH($B$5,VARIABLES!$E$2:$E$4,0)),0),0)</f>
        <v/>
      </c>
      <c r="G59" s="24">
        <f>IF(CRITERIOS!N47="","",CRITERIOS!N47)</f>
        <v/>
      </c>
      <c r="H59" s="24">
        <f>IF(CRITERIOS!O47="","",CRITERIOS!O47)</f>
        <v/>
      </c>
      <c r="I59" s="21" t="n"/>
      <c r="J59" s="22">
        <f>IF(OR($E59=0,I$78=0),0,IF(AND(I59="N/A",$G59&lt;&gt;""),0,$F59+SUMPRODUCT(($G$14:$G$71=$A59)*($E$14:$E$71=1)*(I$14:I$71="N/A")*$F$14:$F$71)))</f>
        <v/>
      </c>
      <c r="K59" s="22">
        <f>IF(I59="SI",J59,0)</f>
        <v/>
      </c>
      <c r="L59" s="21" t="n"/>
      <c r="M59" s="22">
        <f>IF(OR($E59=0,L$78=0),0,IF(AND(L59="N/A",$G59&lt;&gt;""),0,$F59+SUMPRODUCT(($G$14:$G$71=$A59)*($E$14:$E$71=1)*(L$14:L$71="N/A")*$F$14:$F$71)))</f>
        <v/>
      </c>
      <c r="N59" s="22">
        <f>IF(L59="SI",M59,0)</f>
        <v/>
      </c>
      <c r="O59" s="21" t="n"/>
      <c r="P59" s="22">
        <f>IF(OR($E59=0,O$78=0),0,IF(AND(O59="N/A",$G59&lt;&gt;""),0,$F59+SUMPRODUCT(($G$14:$G$71=$A59)*($E$14:$E$71=1)*(O$14:O$71="N/A")*$F$14:$F$71)))</f>
        <v/>
      </c>
      <c r="Q59" s="22">
        <f>IF(O59="SI",P59,0)</f>
        <v/>
      </c>
      <c r="R59" s="21" t="n"/>
      <c r="S59" s="22">
        <f>IF(OR($E59=0,R$78=0),0,IF(AND(R59="N/A",$G59&lt;&gt;""),0,$F59+SUMPRODUCT(($G$14:$G$71=$A59)*($E$14:$E$71=1)*(R$14:R$71="N/A")*$F$14:$F$71)))</f>
        <v/>
      </c>
      <c r="T59" s="22">
        <f>IF(R59="SI",S59,0)</f>
        <v/>
      </c>
      <c r="U59" s="21" t="n"/>
      <c r="V59" s="22">
        <f>IF(OR($E59=0,U$78=0),0,IF(AND(U59="N/A",$G59&lt;&gt;""),0,$F59+SUMPRODUCT(($G$14:$G$71=$A59)*($E$14:$E$71=1)*(U$14:U$71="N/A")*$F$14:$F$71)))</f>
        <v/>
      </c>
      <c r="W59" s="22">
        <f>IF(U59="SI",V59,0)</f>
        <v/>
      </c>
      <c r="X59" s="21" t="n"/>
      <c r="Y59" s="22">
        <f>IF(OR($E59=0,X$78=0),0,IF(AND(X59="N/A",$G59&lt;&gt;""),0,$F59+SUMPRODUCT(($G$14:$G$71=$A59)*($E$14:$E$71=1)*(X$14:X$71="N/A")*$F$14:$F$71)))</f>
        <v/>
      </c>
      <c r="Z59" s="22">
        <f>IF(X59="SI",Y59,0)</f>
        <v/>
      </c>
      <c r="AA59" s="22">
        <f>SUM(J59,M59,P59,S59,V59,Y59)</f>
        <v/>
      </c>
      <c r="AB59" s="22">
        <f>SUM(K59,N59,Q59,T59,W59,Z59)</f>
        <v/>
      </c>
      <c r="AC59" s="23">
        <f>IF(AA59=0,"",AB59/AA59)</f>
        <v/>
      </c>
      <c r="AD59" s="22">
        <f>CRITERIOS!Q47</f>
        <v/>
      </c>
      <c r="AE59" s="22">
        <f>IF(AND(E59=1,H59&lt;&gt;"X",((I59="N/A")+(L59="N/A")+(O59="N/A")+(R59="N/A")+(U59="N/A")+(X59="N/A"))&gt;0),"REVISAR","")</f>
        <v/>
      </c>
    </row>
    <row r="60">
      <c r="A60" s="24">
        <f>CRITERIOS!B48</f>
        <v/>
      </c>
      <c r="B60" s="24">
        <f>CRITERIOS!C48</f>
        <v/>
      </c>
      <c r="C60" s="25">
        <f>CRITERIOS!D48</f>
        <v/>
      </c>
      <c r="D60" s="24">
        <f>CRITERIOS!E48</f>
        <v/>
      </c>
      <c r="E60" s="24">
        <f>IFERROR(IF(AND(OR(CRITERIOS!F48="Todos",CRITERIOS!F48=$B$4),INDEX(CRITERIOS!H48:J48,MATCH($B$5,VARIABLES!$E$2:$E$4,0))=1),1,0),0)</f>
        <v/>
      </c>
      <c r="F60" s="24">
        <f>IFERROR(IF(E60=1,INDEX(CRITERIOS!K48:M48,MATCH($B$5,VARIABLES!$E$2:$E$4,0)),0),0)</f>
        <v/>
      </c>
      <c r="G60" s="24">
        <f>IF(CRITERIOS!N48="","",CRITERIOS!N48)</f>
        <v/>
      </c>
      <c r="H60" s="24">
        <f>IF(CRITERIOS!O48="","",CRITERIOS!O48)</f>
        <v/>
      </c>
      <c r="I60" s="21" t="n"/>
      <c r="J60" s="22">
        <f>IF(OR($E60=0,I$78=0),0,IF(AND(I60="N/A",$G60&lt;&gt;""),0,$F60+SUMPRODUCT(($G$14:$G$71=$A60)*($E$14:$E$71=1)*(I$14:I$71="N/A")*$F$14:$F$71)))</f>
        <v/>
      </c>
      <c r="K60" s="22">
        <f>IF(I60="SI",J60,0)</f>
        <v/>
      </c>
      <c r="L60" s="21" t="n"/>
      <c r="M60" s="22">
        <f>IF(OR($E60=0,L$78=0),0,IF(AND(L60="N/A",$G60&lt;&gt;""),0,$F60+SUMPRODUCT(($G$14:$G$71=$A60)*($E$14:$E$71=1)*(L$14:L$71="N/A")*$F$14:$F$71)))</f>
        <v/>
      </c>
      <c r="N60" s="22">
        <f>IF(L60="SI",M60,0)</f>
        <v/>
      </c>
      <c r="O60" s="21" t="n"/>
      <c r="P60" s="22">
        <f>IF(OR($E60=0,O$78=0),0,IF(AND(O60="N/A",$G60&lt;&gt;""),0,$F60+SUMPRODUCT(($G$14:$G$71=$A60)*($E$14:$E$71=1)*(O$14:O$71="N/A")*$F$14:$F$71)))</f>
        <v/>
      </c>
      <c r="Q60" s="22">
        <f>IF(O60="SI",P60,0)</f>
        <v/>
      </c>
      <c r="R60" s="21" t="n"/>
      <c r="S60" s="22">
        <f>IF(OR($E60=0,R$78=0),0,IF(AND(R60="N/A",$G60&lt;&gt;""),0,$F60+SUMPRODUCT(($G$14:$G$71=$A60)*($E$14:$E$71=1)*(R$14:R$71="N/A")*$F$14:$F$71)))</f>
        <v/>
      </c>
      <c r="T60" s="22">
        <f>IF(R60="SI",S60,0)</f>
        <v/>
      </c>
      <c r="U60" s="21" t="n"/>
      <c r="V60" s="22">
        <f>IF(OR($E60=0,U$78=0),0,IF(AND(U60="N/A",$G60&lt;&gt;""),0,$F60+SUMPRODUCT(($G$14:$G$71=$A60)*($E$14:$E$71=1)*(U$14:U$71="N/A")*$F$14:$F$71)))</f>
        <v/>
      </c>
      <c r="W60" s="22">
        <f>IF(U60="SI",V60,0)</f>
        <v/>
      </c>
      <c r="X60" s="21" t="n"/>
      <c r="Y60" s="22">
        <f>IF(OR($E60=0,X$78=0),0,IF(AND(X60="N/A",$G60&lt;&gt;""),0,$F60+SUMPRODUCT(($G$14:$G$71=$A60)*($E$14:$E$71=1)*(X$14:X$71="N/A")*$F$14:$F$71)))</f>
        <v/>
      </c>
      <c r="Z60" s="22">
        <f>IF(X60="SI",Y60,0)</f>
        <v/>
      </c>
      <c r="AA60" s="22">
        <f>SUM(J60,M60,P60,S60,V60,Y60)</f>
        <v/>
      </c>
      <c r="AB60" s="22">
        <f>SUM(K60,N60,Q60,T60,W60,Z60)</f>
        <v/>
      </c>
      <c r="AC60" s="23">
        <f>IF(AA60=0,"",AB60/AA60)</f>
        <v/>
      </c>
      <c r="AD60" s="22">
        <f>CRITERIOS!Q48</f>
        <v/>
      </c>
      <c r="AE60" s="22">
        <f>IF(AND(E60=1,H60&lt;&gt;"X",((I60="N/A")+(L60="N/A")+(O60="N/A")+(R60="N/A")+(U60="N/A")+(X60="N/A"))&gt;0),"REVISAR","")</f>
        <v/>
      </c>
    </row>
    <row r="61">
      <c r="A61" s="22">
        <f>CRITERIOS!B49</f>
        <v/>
      </c>
      <c r="B61" s="22">
        <f>CRITERIOS!C49</f>
        <v/>
      </c>
      <c r="C61" s="8">
        <f>CRITERIOS!D49</f>
        <v/>
      </c>
      <c r="D61" s="22">
        <f>CRITERIOS!E49</f>
        <v/>
      </c>
      <c r="E61" s="22">
        <f>IFERROR(IF(AND(OR(CRITERIOS!F49="Todos",CRITERIOS!F49=$B$4),INDEX(CRITERIOS!H49:J49,MATCH($B$5,VARIABLES!$E$2:$E$4,0))=1),1,0),0)</f>
        <v/>
      </c>
      <c r="F61" s="22">
        <f>IFERROR(IF(E61=1,INDEX(CRITERIOS!K49:M49,MATCH($B$5,VARIABLES!$E$2:$E$4,0)),0),0)</f>
        <v/>
      </c>
      <c r="G61" s="22">
        <f>IF(CRITERIOS!N49="","",CRITERIOS!N49)</f>
        <v/>
      </c>
      <c r="H61" s="22">
        <f>IF(CRITERIOS!O49="","",CRITERIOS!O49)</f>
        <v/>
      </c>
      <c r="I61" s="21" t="n"/>
      <c r="J61" s="22">
        <f>IF(OR($E61=0,I$78=0),0,IF(AND(I61="N/A",$G61&lt;&gt;""),0,$F61+SUMPRODUCT(($G$14:$G$71=$A61)*($E$14:$E$71=1)*(I$14:I$71="N/A")*$F$14:$F$71)))</f>
        <v/>
      </c>
      <c r="K61" s="22">
        <f>IF(I61="SI",J61,0)</f>
        <v/>
      </c>
      <c r="L61" s="21" t="n"/>
      <c r="M61" s="22">
        <f>IF(OR($E61=0,L$78=0),0,IF(AND(L61="N/A",$G61&lt;&gt;""),0,$F61+SUMPRODUCT(($G$14:$G$71=$A61)*($E$14:$E$71=1)*(L$14:L$71="N/A")*$F$14:$F$71)))</f>
        <v/>
      </c>
      <c r="N61" s="22">
        <f>IF(L61="SI",M61,0)</f>
        <v/>
      </c>
      <c r="O61" s="21" t="n"/>
      <c r="P61" s="22">
        <f>IF(OR($E61=0,O$78=0),0,IF(AND(O61="N/A",$G61&lt;&gt;""),0,$F61+SUMPRODUCT(($G$14:$G$71=$A61)*($E$14:$E$71=1)*(O$14:O$71="N/A")*$F$14:$F$71)))</f>
        <v/>
      </c>
      <c r="Q61" s="22">
        <f>IF(O61="SI",P61,0)</f>
        <v/>
      </c>
      <c r="R61" s="21" t="n"/>
      <c r="S61" s="22">
        <f>IF(OR($E61=0,R$78=0),0,IF(AND(R61="N/A",$G61&lt;&gt;""),0,$F61+SUMPRODUCT(($G$14:$G$71=$A61)*($E$14:$E$71=1)*(R$14:R$71="N/A")*$F$14:$F$71)))</f>
        <v/>
      </c>
      <c r="T61" s="22">
        <f>IF(R61="SI",S61,0)</f>
        <v/>
      </c>
      <c r="U61" s="21" t="n"/>
      <c r="V61" s="22">
        <f>IF(OR($E61=0,U$78=0),0,IF(AND(U61="N/A",$G61&lt;&gt;""),0,$F61+SUMPRODUCT(($G$14:$G$71=$A61)*($E$14:$E$71=1)*(U$14:U$71="N/A")*$F$14:$F$71)))</f>
        <v/>
      </c>
      <c r="W61" s="22">
        <f>IF(U61="SI",V61,0)</f>
        <v/>
      </c>
      <c r="X61" s="21" t="n"/>
      <c r="Y61" s="22">
        <f>IF(OR($E61=0,X$78=0),0,IF(AND(X61="N/A",$G61&lt;&gt;""),0,$F61+SUMPRODUCT(($G$14:$G$71=$A61)*($E$14:$E$71=1)*(X$14:X$71="N/A")*$F$14:$F$71)))</f>
        <v/>
      </c>
      <c r="Z61" s="22">
        <f>IF(X61="SI",Y61,0)</f>
        <v/>
      </c>
      <c r="AA61" s="22">
        <f>SUM(J61,M61,P61,S61,V61,Y61)</f>
        <v/>
      </c>
      <c r="AB61" s="22">
        <f>SUM(K61,N61,Q61,T61,W61,Z61)</f>
        <v/>
      </c>
      <c r="AC61" s="23">
        <f>IF(AA61=0,"",AB61/AA61)</f>
        <v/>
      </c>
      <c r="AD61" s="22">
        <f>CRITERIOS!Q49</f>
        <v/>
      </c>
      <c r="AE61" s="22">
        <f>IF(AND(E61=1,H61&lt;&gt;"X",((I61="N/A")+(L61="N/A")+(O61="N/A")+(R61="N/A")+(U61="N/A")+(X61="N/A"))&gt;0),"REVISAR","")</f>
        <v/>
      </c>
    </row>
    <row r="62">
      <c r="A62" s="24">
        <f>CRITERIOS!B50</f>
        <v/>
      </c>
      <c r="B62" s="24">
        <f>CRITERIOS!C50</f>
        <v/>
      </c>
      <c r="C62" s="25">
        <f>CRITERIOS!D50</f>
        <v/>
      </c>
      <c r="D62" s="24">
        <f>CRITERIOS!E50</f>
        <v/>
      </c>
      <c r="E62" s="24">
        <f>IFERROR(IF(AND(OR(CRITERIOS!F50="Todos",CRITERIOS!F50=$B$4),INDEX(CRITERIOS!H50:J50,MATCH($B$5,VARIABLES!$E$2:$E$4,0))=1),1,0),0)</f>
        <v/>
      </c>
      <c r="F62" s="24">
        <f>IFERROR(IF(E62=1,INDEX(CRITERIOS!K50:M50,MATCH($B$5,VARIABLES!$E$2:$E$4,0)),0),0)</f>
        <v/>
      </c>
      <c r="G62" s="24">
        <f>IF(CRITERIOS!N50="","",CRITERIOS!N50)</f>
        <v/>
      </c>
      <c r="H62" s="24">
        <f>IF(CRITERIOS!O50="","",CRITERIOS!O50)</f>
        <v/>
      </c>
      <c r="I62" s="21" t="n"/>
      <c r="J62" s="22">
        <f>IF(OR($E62=0,I$78=0),0,IF(AND(I62="N/A",$G62&lt;&gt;""),0,$F62+SUMPRODUCT(($G$14:$G$71=$A62)*($E$14:$E$71=1)*(I$14:I$71="N/A")*$F$14:$F$71)))</f>
        <v/>
      </c>
      <c r="K62" s="22">
        <f>IF(I62="SI",J62,0)</f>
        <v/>
      </c>
      <c r="L62" s="21" t="n"/>
      <c r="M62" s="22">
        <f>IF(OR($E62=0,L$78=0),0,IF(AND(L62="N/A",$G62&lt;&gt;""),0,$F62+SUMPRODUCT(($G$14:$G$71=$A62)*($E$14:$E$71=1)*(L$14:L$71="N/A")*$F$14:$F$71)))</f>
        <v/>
      </c>
      <c r="N62" s="22">
        <f>IF(L62="SI",M62,0)</f>
        <v/>
      </c>
      <c r="O62" s="21" t="n"/>
      <c r="P62" s="22">
        <f>IF(OR($E62=0,O$78=0),0,IF(AND(O62="N/A",$G62&lt;&gt;""),0,$F62+SUMPRODUCT(($G$14:$G$71=$A62)*($E$14:$E$71=1)*(O$14:O$71="N/A")*$F$14:$F$71)))</f>
        <v/>
      </c>
      <c r="Q62" s="22">
        <f>IF(O62="SI",P62,0)</f>
        <v/>
      </c>
      <c r="R62" s="21" t="n"/>
      <c r="S62" s="22">
        <f>IF(OR($E62=0,R$78=0),0,IF(AND(R62="N/A",$G62&lt;&gt;""),0,$F62+SUMPRODUCT(($G$14:$G$71=$A62)*($E$14:$E$71=1)*(R$14:R$71="N/A")*$F$14:$F$71)))</f>
        <v/>
      </c>
      <c r="T62" s="22">
        <f>IF(R62="SI",S62,0)</f>
        <v/>
      </c>
      <c r="U62" s="21" t="n"/>
      <c r="V62" s="22">
        <f>IF(OR($E62=0,U$78=0),0,IF(AND(U62="N/A",$G62&lt;&gt;""),0,$F62+SUMPRODUCT(($G$14:$G$71=$A62)*($E$14:$E$71=1)*(U$14:U$71="N/A")*$F$14:$F$71)))</f>
        <v/>
      </c>
      <c r="W62" s="22">
        <f>IF(U62="SI",V62,0)</f>
        <v/>
      </c>
      <c r="X62" s="21" t="n"/>
      <c r="Y62" s="22">
        <f>IF(OR($E62=0,X$78=0),0,IF(AND(X62="N/A",$G62&lt;&gt;""),0,$F62+SUMPRODUCT(($G$14:$G$71=$A62)*($E$14:$E$71=1)*(X$14:X$71="N/A")*$F$14:$F$71)))</f>
        <v/>
      </c>
      <c r="Z62" s="22">
        <f>IF(X62="SI",Y62,0)</f>
        <v/>
      </c>
      <c r="AA62" s="22">
        <f>SUM(J62,M62,P62,S62,V62,Y62)</f>
        <v/>
      </c>
      <c r="AB62" s="22">
        <f>SUM(K62,N62,Q62,T62,W62,Z62)</f>
        <v/>
      </c>
      <c r="AC62" s="23">
        <f>IF(AA62=0,"",AB62/AA62)</f>
        <v/>
      </c>
      <c r="AD62" s="22">
        <f>CRITERIOS!Q50</f>
        <v/>
      </c>
      <c r="AE62" s="22">
        <f>IF(AND(E62=1,H62&lt;&gt;"X",((I62="N/A")+(L62="N/A")+(O62="N/A")+(R62="N/A")+(U62="N/A")+(X62="N/A"))&gt;0),"REVISAR","")</f>
        <v/>
      </c>
    </row>
    <row r="63">
      <c r="A63" s="24">
        <f>CRITERIOS!B51</f>
        <v/>
      </c>
      <c r="B63" s="24">
        <f>CRITERIOS!C51</f>
        <v/>
      </c>
      <c r="C63" s="25">
        <f>CRITERIOS!D51</f>
        <v/>
      </c>
      <c r="D63" s="24">
        <f>CRITERIOS!E51</f>
        <v/>
      </c>
      <c r="E63" s="24">
        <f>IFERROR(IF(AND(OR(CRITERIOS!F51="Todos",CRITERIOS!F51=$B$4),INDEX(CRITERIOS!H51:J51,MATCH($B$5,VARIABLES!$E$2:$E$4,0))=1),1,0),0)</f>
        <v/>
      </c>
      <c r="F63" s="24">
        <f>IFERROR(IF(E63=1,INDEX(CRITERIOS!K51:M51,MATCH($B$5,VARIABLES!$E$2:$E$4,0)),0),0)</f>
        <v/>
      </c>
      <c r="G63" s="24">
        <f>IF(CRITERIOS!N51="","",CRITERIOS!N51)</f>
        <v/>
      </c>
      <c r="H63" s="24">
        <f>IF(CRITERIOS!O51="","",CRITERIOS!O51)</f>
        <v/>
      </c>
      <c r="I63" s="21" t="n"/>
      <c r="J63" s="22">
        <f>IF(OR($E63=0,I$78=0),0,IF(AND(I63="N/A",$G63&lt;&gt;""),0,$F63+SUMPRODUCT(($G$14:$G$71=$A63)*($E$14:$E$71=1)*(I$14:I$71="N/A")*$F$14:$F$71)))</f>
        <v/>
      </c>
      <c r="K63" s="22">
        <f>IF(I63="SI",J63,0)</f>
        <v/>
      </c>
      <c r="L63" s="21" t="n"/>
      <c r="M63" s="22">
        <f>IF(OR($E63=0,L$78=0),0,IF(AND(L63="N/A",$G63&lt;&gt;""),0,$F63+SUMPRODUCT(($G$14:$G$71=$A63)*($E$14:$E$71=1)*(L$14:L$71="N/A")*$F$14:$F$71)))</f>
        <v/>
      </c>
      <c r="N63" s="22">
        <f>IF(L63="SI",M63,0)</f>
        <v/>
      </c>
      <c r="O63" s="21" t="n"/>
      <c r="P63" s="22">
        <f>IF(OR($E63=0,O$78=0),0,IF(AND(O63="N/A",$G63&lt;&gt;""),0,$F63+SUMPRODUCT(($G$14:$G$71=$A63)*($E$14:$E$71=1)*(O$14:O$71="N/A")*$F$14:$F$71)))</f>
        <v/>
      </c>
      <c r="Q63" s="22">
        <f>IF(O63="SI",P63,0)</f>
        <v/>
      </c>
      <c r="R63" s="21" t="n"/>
      <c r="S63" s="22">
        <f>IF(OR($E63=0,R$78=0),0,IF(AND(R63="N/A",$G63&lt;&gt;""),0,$F63+SUMPRODUCT(($G$14:$G$71=$A63)*($E$14:$E$71=1)*(R$14:R$71="N/A")*$F$14:$F$71)))</f>
        <v/>
      </c>
      <c r="T63" s="22">
        <f>IF(R63="SI",S63,0)</f>
        <v/>
      </c>
      <c r="U63" s="21" t="n"/>
      <c r="V63" s="22">
        <f>IF(OR($E63=0,U$78=0),0,IF(AND(U63="N/A",$G63&lt;&gt;""),0,$F63+SUMPRODUCT(($G$14:$G$71=$A63)*($E$14:$E$71=1)*(U$14:U$71="N/A")*$F$14:$F$71)))</f>
        <v/>
      </c>
      <c r="W63" s="22">
        <f>IF(U63="SI",V63,0)</f>
        <v/>
      </c>
      <c r="X63" s="21" t="n"/>
      <c r="Y63" s="22">
        <f>IF(OR($E63=0,X$78=0),0,IF(AND(X63="N/A",$G63&lt;&gt;""),0,$F63+SUMPRODUCT(($G$14:$G$71=$A63)*($E$14:$E$71=1)*(X$14:X$71="N/A")*$F$14:$F$71)))</f>
        <v/>
      </c>
      <c r="Z63" s="22">
        <f>IF(X63="SI",Y63,0)</f>
        <v/>
      </c>
      <c r="AA63" s="22">
        <f>SUM(J63,M63,P63,S63,V63,Y63)</f>
        <v/>
      </c>
      <c r="AB63" s="22">
        <f>SUM(K63,N63,Q63,T63,W63,Z63)</f>
        <v/>
      </c>
      <c r="AC63" s="23">
        <f>IF(AA63=0,"",AB63/AA63)</f>
        <v/>
      </c>
      <c r="AD63" s="22">
        <f>CRITERIOS!Q51</f>
        <v/>
      </c>
      <c r="AE63" s="22">
        <f>IF(AND(E63=1,H63&lt;&gt;"X",((I63="N/A")+(L63="N/A")+(O63="N/A")+(R63="N/A")+(U63="N/A")+(X63="N/A"))&gt;0),"REVISAR","")</f>
        <v/>
      </c>
    </row>
    <row r="64">
      <c r="A64" s="22">
        <f>CRITERIOS!B52</f>
        <v/>
      </c>
      <c r="B64" s="22">
        <f>CRITERIOS!C52</f>
        <v/>
      </c>
      <c r="C64" s="8">
        <f>CRITERIOS!D52</f>
        <v/>
      </c>
      <c r="D64" s="22">
        <f>CRITERIOS!E52</f>
        <v/>
      </c>
      <c r="E64" s="22">
        <f>IFERROR(IF(AND(OR(CRITERIOS!F52="Todos",CRITERIOS!F52=$B$4),INDEX(CRITERIOS!H52:J52,MATCH($B$5,VARIABLES!$E$2:$E$4,0))=1),1,0),0)</f>
        <v/>
      </c>
      <c r="F64" s="22">
        <f>IFERROR(IF(E64=1,INDEX(CRITERIOS!K52:M52,MATCH($B$5,VARIABLES!$E$2:$E$4,0)),0),0)</f>
        <v/>
      </c>
      <c r="G64" s="22">
        <f>IF(CRITERIOS!N52="","",CRITERIOS!N52)</f>
        <v/>
      </c>
      <c r="H64" s="22">
        <f>IF(CRITERIOS!O52="","",CRITERIOS!O52)</f>
        <v/>
      </c>
      <c r="I64" s="21" t="n"/>
      <c r="J64" s="22">
        <f>IF(OR($E64=0,I$78=0),0,IF(AND(I64="N/A",$G64&lt;&gt;""),0,$F64+SUMPRODUCT(($G$14:$G$71=$A64)*($E$14:$E$71=1)*(I$14:I$71="N/A")*$F$14:$F$71)))</f>
        <v/>
      </c>
      <c r="K64" s="22">
        <f>IF(I64="SI",J64,0)</f>
        <v/>
      </c>
      <c r="L64" s="21" t="n"/>
      <c r="M64" s="22">
        <f>IF(OR($E64=0,L$78=0),0,IF(AND(L64="N/A",$G64&lt;&gt;""),0,$F64+SUMPRODUCT(($G$14:$G$71=$A64)*($E$14:$E$71=1)*(L$14:L$71="N/A")*$F$14:$F$71)))</f>
        <v/>
      </c>
      <c r="N64" s="22">
        <f>IF(L64="SI",M64,0)</f>
        <v/>
      </c>
      <c r="O64" s="21" t="n"/>
      <c r="P64" s="22">
        <f>IF(OR($E64=0,O$78=0),0,IF(AND(O64="N/A",$G64&lt;&gt;""),0,$F64+SUMPRODUCT(($G$14:$G$71=$A64)*($E$14:$E$71=1)*(O$14:O$71="N/A")*$F$14:$F$71)))</f>
        <v/>
      </c>
      <c r="Q64" s="22">
        <f>IF(O64="SI",P64,0)</f>
        <v/>
      </c>
      <c r="R64" s="21" t="n"/>
      <c r="S64" s="22">
        <f>IF(OR($E64=0,R$78=0),0,IF(AND(R64="N/A",$G64&lt;&gt;""),0,$F64+SUMPRODUCT(($G$14:$G$71=$A64)*($E$14:$E$71=1)*(R$14:R$71="N/A")*$F$14:$F$71)))</f>
        <v/>
      </c>
      <c r="T64" s="22">
        <f>IF(R64="SI",S64,0)</f>
        <v/>
      </c>
      <c r="U64" s="21" t="n"/>
      <c r="V64" s="22">
        <f>IF(OR($E64=0,U$78=0),0,IF(AND(U64="N/A",$G64&lt;&gt;""),0,$F64+SUMPRODUCT(($G$14:$G$71=$A64)*($E$14:$E$71=1)*(U$14:U$71="N/A")*$F$14:$F$71)))</f>
        <v/>
      </c>
      <c r="W64" s="22">
        <f>IF(U64="SI",V64,0)</f>
        <v/>
      </c>
      <c r="X64" s="21" t="n"/>
      <c r="Y64" s="22">
        <f>IF(OR($E64=0,X$78=0),0,IF(AND(X64="N/A",$G64&lt;&gt;""),0,$F64+SUMPRODUCT(($G$14:$G$71=$A64)*($E$14:$E$71=1)*(X$14:X$71="N/A")*$F$14:$F$71)))</f>
        <v/>
      </c>
      <c r="Z64" s="22">
        <f>IF(X64="SI",Y64,0)</f>
        <v/>
      </c>
      <c r="AA64" s="22">
        <f>SUM(J64,M64,P64,S64,V64,Y64)</f>
        <v/>
      </c>
      <c r="AB64" s="22">
        <f>SUM(K64,N64,Q64,T64,W64,Z64)</f>
        <v/>
      </c>
      <c r="AC64" s="23">
        <f>IF(AA64=0,"",AB64/AA64)</f>
        <v/>
      </c>
      <c r="AD64" s="22">
        <f>CRITERIOS!Q52</f>
        <v/>
      </c>
      <c r="AE64" s="22">
        <f>IF(AND(E64=1,H64&lt;&gt;"X",((I64="N/A")+(L64="N/A")+(O64="N/A")+(R64="N/A")+(U64="N/A")+(X64="N/A"))&gt;0),"REVISAR","")</f>
        <v/>
      </c>
    </row>
    <row r="65">
      <c r="A65" s="24">
        <f>CRITERIOS!B53</f>
        <v/>
      </c>
      <c r="B65" s="24">
        <f>CRITERIOS!C53</f>
        <v/>
      </c>
      <c r="C65" s="25">
        <f>CRITERIOS!D53</f>
        <v/>
      </c>
      <c r="D65" s="24">
        <f>CRITERIOS!E53</f>
        <v/>
      </c>
      <c r="E65" s="24">
        <f>IFERROR(IF(AND(OR(CRITERIOS!F53="Todos",CRITERIOS!F53=$B$4),INDEX(CRITERIOS!H53:J53,MATCH($B$5,VARIABLES!$E$2:$E$4,0))=1),1,0),0)</f>
        <v/>
      </c>
      <c r="F65" s="24">
        <f>IFERROR(IF(E65=1,INDEX(CRITERIOS!K53:M53,MATCH($B$5,VARIABLES!$E$2:$E$4,0)),0),0)</f>
        <v/>
      </c>
      <c r="G65" s="24">
        <f>IF(CRITERIOS!N53="","",CRITERIOS!N53)</f>
        <v/>
      </c>
      <c r="H65" s="24">
        <f>IF(CRITERIOS!O53="","",CRITERIOS!O53)</f>
        <v/>
      </c>
      <c r="I65" s="21" t="n"/>
      <c r="J65" s="22">
        <f>IF(OR($E65=0,I$78=0),0,IF(AND(I65="N/A",$G65&lt;&gt;""),0,$F65+SUMPRODUCT(($G$14:$G$71=$A65)*($E$14:$E$71=1)*(I$14:I$71="N/A")*$F$14:$F$71)))</f>
        <v/>
      </c>
      <c r="K65" s="22">
        <f>IF(I65="SI",J65,0)</f>
        <v/>
      </c>
      <c r="L65" s="21" t="n"/>
      <c r="M65" s="22">
        <f>IF(OR($E65=0,L$78=0),0,IF(AND(L65="N/A",$G65&lt;&gt;""),0,$F65+SUMPRODUCT(($G$14:$G$71=$A65)*($E$14:$E$71=1)*(L$14:L$71="N/A")*$F$14:$F$71)))</f>
        <v/>
      </c>
      <c r="N65" s="22">
        <f>IF(L65="SI",M65,0)</f>
        <v/>
      </c>
      <c r="O65" s="21" t="n"/>
      <c r="P65" s="22">
        <f>IF(OR($E65=0,O$78=0),0,IF(AND(O65="N/A",$G65&lt;&gt;""),0,$F65+SUMPRODUCT(($G$14:$G$71=$A65)*($E$14:$E$71=1)*(O$14:O$71="N/A")*$F$14:$F$71)))</f>
        <v/>
      </c>
      <c r="Q65" s="22">
        <f>IF(O65="SI",P65,0)</f>
        <v/>
      </c>
      <c r="R65" s="21" t="n"/>
      <c r="S65" s="22">
        <f>IF(OR($E65=0,R$78=0),0,IF(AND(R65="N/A",$G65&lt;&gt;""),0,$F65+SUMPRODUCT(($G$14:$G$71=$A65)*($E$14:$E$71=1)*(R$14:R$71="N/A")*$F$14:$F$71)))</f>
        <v/>
      </c>
      <c r="T65" s="22">
        <f>IF(R65="SI",S65,0)</f>
        <v/>
      </c>
      <c r="U65" s="21" t="n"/>
      <c r="V65" s="22">
        <f>IF(OR($E65=0,U$78=0),0,IF(AND(U65="N/A",$G65&lt;&gt;""),0,$F65+SUMPRODUCT(($G$14:$G$71=$A65)*($E$14:$E$71=1)*(U$14:U$71="N/A")*$F$14:$F$71)))</f>
        <v/>
      </c>
      <c r="W65" s="22">
        <f>IF(U65="SI",V65,0)</f>
        <v/>
      </c>
      <c r="X65" s="21" t="n"/>
      <c r="Y65" s="22">
        <f>IF(OR($E65=0,X$78=0),0,IF(AND(X65="N/A",$G65&lt;&gt;""),0,$F65+SUMPRODUCT(($G$14:$G$71=$A65)*($E$14:$E$71=1)*(X$14:X$71="N/A")*$F$14:$F$71)))</f>
        <v/>
      </c>
      <c r="Z65" s="22">
        <f>IF(X65="SI",Y65,0)</f>
        <v/>
      </c>
      <c r="AA65" s="22">
        <f>SUM(J65,M65,P65,S65,V65,Y65)</f>
        <v/>
      </c>
      <c r="AB65" s="22">
        <f>SUM(K65,N65,Q65,T65,W65,Z65)</f>
        <v/>
      </c>
      <c r="AC65" s="23">
        <f>IF(AA65=0,"",AB65/AA65)</f>
        <v/>
      </c>
      <c r="AD65" s="22">
        <f>CRITERIOS!Q53</f>
        <v/>
      </c>
      <c r="AE65" s="22">
        <f>IF(AND(E65=1,H65&lt;&gt;"X",((I65="N/A")+(L65="N/A")+(O65="N/A")+(R65="N/A")+(U65="N/A")+(X65="N/A"))&gt;0),"REVISAR","")</f>
        <v/>
      </c>
    </row>
    <row r="66">
      <c r="A66" s="24">
        <f>CRITERIOS!B54</f>
        <v/>
      </c>
      <c r="B66" s="24">
        <f>CRITERIOS!C54</f>
        <v/>
      </c>
      <c r="C66" s="25">
        <f>CRITERIOS!D54</f>
        <v/>
      </c>
      <c r="D66" s="24">
        <f>CRITERIOS!E54</f>
        <v/>
      </c>
      <c r="E66" s="24">
        <f>IFERROR(IF(AND(OR(CRITERIOS!F54="Todos",CRITERIOS!F54=$B$4),INDEX(CRITERIOS!H54:J54,MATCH($B$5,VARIABLES!$E$2:$E$4,0))=1),1,0),0)</f>
        <v/>
      </c>
      <c r="F66" s="24">
        <f>IFERROR(IF(E66=1,INDEX(CRITERIOS!K54:M54,MATCH($B$5,VARIABLES!$E$2:$E$4,0)),0),0)</f>
        <v/>
      </c>
      <c r="G66" s="24">
        <f>IF(CRITERIOS!N54="","",CRITERIOS!N54)</f>
        <v/>
      </c>
      <c r="H66" s="24">
        <f>IF(CRITERIOS!O54="","",CRITERIOS!O54)</f>
        <v/>
      </c>
      <c r="I66" s="21" t="n"/>
      <c r="J66" s="22">
        <f>IF(OR($E66=0,I$78=0),0,IF(AND(I66="N/A",$G66&lt;&gt;""),0,$F66+SUMPRODUCT(($G$14:$G$71=$A66)*($E$14:$E$71=1)*(I$14:I$71="N/A")*$F$14:$F$71)))</f>
        <v/>
      </c>
      <c r="K66" s="22">
        <f>IF(I66="SI",J66,0)</f>
        <v/>
      </c>
      <c r="L66" s="21" t="n"/>
      <c r="M66" s="22">
        <f>IF(OR($E66=0,L$78=0),0,IF(AND(L66="N/A",$G66&lt;&gt;""),0,$F66+SUMPRODUCT(($G$14:$G$71=$A66)*($E$14:$E$71=1)*(L$14:L$71="N/A")*$F$14:$F$71)))</f>
        <v/>
      </c>
      <c r="N66" s="22">
        <f>IF(L66="SI",M66,0)</f>
        <v/>
      </c>
      <c r="O66" s="21" t="n"/>
      <c r="P66" s="22">
        <f>IF(OR($E66=0,O$78=0),0,IF(AND(O66="N/A",$G66&lt;&gt;""),0,$F66+SUMPRODUCT(($G$14:$G$71=$A66)*($E$14:$E$71=1)*(O$14:O$71="N/A")*$F$14:$F$71)))</f>
        <v/>
      </c>
      <c r="Q66" s="22">
        <f>IF(O66="SI",P66,0)</f>
        <v/>
      </c>
      <c r="R66" s="21" t="n"/>
      <c r="S66" s="22">
        <f>IF(OR($E66=0,R$78=0),0,IF(AND(R66="N/A",$G66&lt;&gt;""),0,$F66+SUMPRODUCT(($G$14:$G$71=$A66)*($E$14:$E$71=1)*(R$14:R$71="N/A")*$F$14:$F$71)))</f>
        <v/>
      </c>
      <c r="T66" s="22">
        <f>IF(R66="SI",S66,0)</f>
        <v/>
      </c>
      <c r="U66" s="21" t="n"/>
      <c r="V66" s="22">
        <f>IF(OR($E66=0,U$78=0),0,IF(AND(U66="N/A",$G66&lt;&gt;""),0,$F66+SUMPRODUCT(($G$14:$G$71=$A66)*($E$14:$E$71=1)*(U$14:U$71="N/A")*$F$14:$F$71)))</f>
        <v/>
      </c>
      <c r="W66" s="22">
        <f>IF(U66="SI",V66,0)</f>
        <v/>
      </c>
      <c r="X66" s="21" t="n"/>
      <c r="Y66" s="22">
        <f>IF(OR($E66=0,X$78=0),0,IF(AND(X66="N/A",$G66&lt;&gt;""),0,$F66+SUMPRODUCT(($G$14:$G$71=$A66)*($E$14:$E$71=1)*(X$14:X$71="N/A")*$F$14:$F$71)))</f>
        <v/>
      </c>
      <c r="Z66" s="22">
        <f>IF(X66="SI",Y66,0)</f>
        <v/>
      </c>
      <c r="AA66" s="22">
        <f>SUM(J66,M66,P66,S66,V66,Y66)</f>
        <v/>
      </c>
      <c r="AB66" s="22">
        <f>SUM(K66,N66,Q66,T66,W66,Z66)</f>
        <v/>
      </c>
      <c r="AC66" s="23">
        <f>IF(AA66=0,"",AB66/AA66)</f>
        <v/>
      </c>
      <c r="AD66" s="22">
        <f>CRITERIOS!Q54</f>
        <v/>
      </c>
      <c r="AE66" s="22">
        <f>IF(AND(E66=1,H66&lt;&gt;"X",((I66="N/A")+(L66="N/A")+(O66="N/A")+(R66="N/A")+(U66="N/A")+(X66="N/A"))&gt;0),"REVISAR","")</f>
        <v/>
      </c>
    </row>
    <row r="67">
      <c r="A67" s="24">
        <f>CRITERIOS!B55</f>
        <v/>
      </c>
      <c r="B67" s="24">
        <f>CRITERIOS!C55</f>
        <v/>
      </c>
      <c r="C67" s="25">
        <f>CRITERIOS!D55</f>
        <v/>
      </c>
      <c r="D67" s="24">
        <f>CRITERIOS!E55</f>
        <v/>
      </c>
      <c r="E67" s="24">
        <f>IFERROR(IF(AND(OR(CRITERIOS!F55="Todos",CRITERIOS!F55=$B$4),INDEX(CRITERIOS!H55:J55,MATCH($B$5,VARIABLES!$E$2:$E$4,0))=1),1,0),0)</f>
        <v/>
      </c>
      <c r="F67" s="24">
        <f>IFERROR(IF(E67=1,INDEX(CRITERIOS!K55:M55,MATCH($B$5,VARIABLES!$E$2:$E$4,0)),0),0)</f>
        <v/>
      </c>
      <c r="G67" s="24">
        <f>IF(CRITERIOS!N55="","",CRITERIOS!N55)</f>
        <v/>
      </c>
      <c r="H67" s="24">
        <f>IF(CRITERIOS!O55="","",CRITERIOS!O55)</f>
        <v/>
      </c>
      <c r="I67" s="21" t="n"/>
      <c r="J67" s="22">
        <f>IF(OR($E67=0,I$78=0),0,IF(AND(I67="N/A",$G67&lt;&gt;""),0,$F67+SUMPRODUCT(($G$14:$G$71=$A67)*($E$14:$E$71=1)*(I$14:I$71="N/A")*$F$14:$F$71)))</f>
        <v/>
      </c>
      <c r="K67" s="22">
        <f>IF(I67="SI",J67,0)</f>
        <v/>
      </c>
      <c r="L67" s="21" t="n"/>
      <c r="M67" s="22">
        <f>IF(OR($E67=0,L$78=0),0,IF(AND(L67="N/A",$G67&lt;&gt;""),0,$F67+SUMPRODUCT(($G$14:$G$71=$A67)*($E$14:$E$71=1)*(L$14:L$71="N/A")*$F$14:$F$71)))</f>
        <v/>
      </c>
      <c r="N67" s="22">
        <f>IF(L67="SI",M67,0)</f>
        <v/>
      </c>
      <c r="O67" s="21" t="n"/>
      <c r="P67" s="22">
        <f>IF(OR($E67=0,O$78=0),0,IF(AND(O67="N/A",$G67&lt;&gt;""),0,$F67+SUMPRODUCT(($G$14:$G$71=$A67)*($E$14:$E$71=1)*(O$14:O$71="N/A")*$F$14:$F$71)))</f>
        <v/>
      </c>
      <c r="Q67" s="22">
        <f>IF(O67="SI",P67,0)</f>
        <v/>
      </c>
      <c r="R67" s="21" t="n"/>
      <c r="S67" s="22">
        <f>IF(OR($E67=0,R$78=0),0,IF(AND(R67="N/A",$G67&lt;&gt;""),0,$F67+SUMPRODUCT(($G$14:$G$71=$A67)*($E$14:$E$71=1)*(R$14:R$71="N/A")*$F$14:$F$71)))</f>
        <v/>
      </c>
      <c r="T67" s="22">
        <f>IF(R67="SI",S67,0)</f>
        <v/>
      </c>
      <c r="U67" s="21" t="n"/>
      <c r="V67" s="22">
        <f>IF(OR($E67=0,U$78=0),0,IF(AND(U67="N/A",$G67&lt;&gt;""),0,$F67+SUMPRODUCT(($G$14:$G$71=$A67)*($E$14:$E$71=1)*(U$14:U$71="N/A")*$F$14:$F$71)))</f>
        <v/>
      </c>
      <c r="W67" s="22">
        <f>IF(U67="SI",V67,0)</f>
        <v/>
      </c>
      <c r="X67" s="21" t="n"/>
      <c r="Y67" s="22">
        <f>IF(OR($E67=0,X$78=0),0,IF(AND(X67="N/A",$G67&lt;&gt;""),0,$F67+SUMPRODUCT(($G$14:$G$71=$A67)*($E$14:$E$71=1)*(X$14:X$71="N/A")*$F$14:$F$71)))</f>
        <v/>
      </c>
      <c r="Z67" s="22">
        <f>IF(X67="SI",Y67,0)</f>
        <v/>
      </c>
      <c r="AA67" s="22">
        <f>SUM(J67,M67,P67,S67,V67,Y67)</f>
        <v/>
      </c>
      <c r="AB67" s="22">
        <f>SUM(K67,N67,Q67,T67,W67,Z67)</f>
        <v/>
      </c>
      <c r="AC67" s="23">
        <f>IF(AA67=0,"",AB67/AA67)</f>
        <v/>
      </c>
      <c r="AD67" s="22">
        <f>CRITERIOS!Q55</f>
        <v/>
      </c>
      <c r="AE67" s="22">
        <f>IF(AND(E67=1,H67&lt;&gt;"X",((I67="N/A")+(L67="N/A")+(O67="N/A")+(R67="N/A")+(U67="N/A")+(X67="N/A"))&gt;0),"REVISAR","")</f>
        <v/>
      </c>
    </row>
    <row r="68">
      <c r="A68" s="24">
        <f>CRITERIOS!B56</f>
        <v/>
      </c>
      <c r="B68" s="24">
        <f>CRITERIOS!C56</f>
        <v/>
      </c>
      <c r="C68" s="25">
        <f>CRITERIOS!D56</f>
        <v/>
      </c>
      <c r="D68" s="24">
        <f>CRITERIOS!E56</f>
        <v/>
      </c>
      <c r="E68" s="24">
        <f>IFERROR(IF(AND(OR(CRITERIOS!F56="Todos",CRITERIOS!F56=$B$4),INDEX(CRITERIOS!H56:J56,MATCH($B$5,VARIABLES!$E$2:$E$4,0))=1),1,0),0)</f>
        <v/>
      </c>
      <c r="F68" s="24">
        <f>IFERROR(IF(E68=1,INDEX(CRITERIOS!K56:M56,MATCH($B$5,VARIABLES!$E$2:$E$4,0)),0),0)</f>
        <v/>
      </c>
      <c r="G68" s="24">
        <f>IF(CRITERIOS!N56="","",CRITERIOS!N56)</f>
        <v/>
      </c>
      <c r="H68" s="24">
        <f>IF(CRITERIOS!O56="","",CRITERIOS!O56)</f>
        <v/>
      </c>
      <c r="I68" s="21" t="n"/>
      <c r="J68" s="22">
        <f>IF(OR($E68=0,I$78=0),0,IF(AND(I68="N/A",$G68&lt;&gt;""),0,$F68+SUMPRODUCT(($G$14:$G$71=$A68)*($E$14:$E$71=1)*(I$14:I$71="N/A")*$F$14:$F$71)))</f>
        <v/>
      </c>
      <c r="K68" s="22">
        <f>IF(I68="SI",J68,0)</f>
        <v/>
      </c>
      <c r="L68" s="21" t="n"/>
      <c r="M68" s="22">
        <f>IF(OR($E68=0,L$78=0),0,IF(AND(L68="N/A",$G68&lt;&gt;""),0,$F68+SUMPRODUCT(($G$14:$G$71=$A68)*($E$14:$E$71=1)*(L$14:L$71="N/A")*$F$14:$F$71)))</f>
        <v/>
      </c>
      <c r="N68" s="22">
        <f>IF(L68="SI",M68,0)</f>
        <v/>
      </c>
      <c r="O68" s="21" t="n"/>
      <c r="P68" s="22">
        <f>IF(OR($E68=0,O$78=0),0,IF(AND(O68="N/A",$G68&lt;&gt;""),0,$F68+SUMPRODUCT(($G$14:$G$71=$A68)*($E$14:$E$71=1)*(O$14:O$71="N/A")*$F$14:$F$71)))</f>
        <v/>
      </c>
      <c r="Q68" s="22">
        <f>IF(O68="SI",P68,0)</f>
        <v/>
      </c>
      <c r="R68" s="21" t="n"/>
      <c r="S68" s="22">
        <f>IF(OR($E68=0,R$78=0),0,IF(AND(R68="N/A",$G68&lt;&gt;""),0,$F68+SUMPRODUCT(($G$14:$G$71=$A68)*($E$14:$E$71=1)*(R$14:R$71="N/A")*$F$14:$F$71)))</f>
        <v/>
      </c>
      <c r="T68" s="22">
        <f>IF(R68="SI",S68,0)</f>
        <v/>
      </c>
      <c r="U68" s="21" t="n"/>
      <c r="V68" s="22">
        <f>IF(OR($E68=0,U$78=0),0,IF(AND(U68="N/A",$G68&lt;&gt;""),0,$F68+SUMPRODUCT(($G$14:$G$71=$A68)*($E$14:$E$71=1)*(U$14:U$71="N/A")*$F$14:$F$71)))</f>
        <v/>
      </c>
      <c r="W68" s="22">
        <f>IF(U68="SI",V68,0)</f>
        <v/>
      </c>
      <c r="X68" s="21" t="n"/>
      <c r="Y68" s="22">
        <f>IF(OR($E68=0,X$78=0),0,IF(AND(X68="N/A",$G68&lt;&gt;""),0,$F68+SUMPRODUCT(($G$14:$G$71=$A68)*($E$14:$E$71=1)*(X$14:X$71="N/A")*$F$14:$F$71)))</f>
        <v/>
      </c>
      <c r="Z68" s="22">
        <f>IF(X68="SI",Y68,0)</f>
        <v/>
      </c>
      <c r="AA68" s="22">
        <f>SUM(J68,M68,P68,S68,V68,Y68)</f>
        <v/>
      </c>
      <c r="AB68" s="22">
        <f>SUM(K68,N68,Q68,T68,W68,Z68)</f>
        <v/>
      </c>
      <c r="AC68" s="23">
        <f>IF(AA68=0,"",AB68/AA68)</f>
        <v/>
      </c>
      <c r="AD68" s="22">
        <f>CRITERIOS!Q56</f>
        <v/>
      </c>
      <c r="AE68" s="22">
        <f>IF(AND(E68=1,H68&lt;&gt;"X",((I68="N/A")+(L68="N/A")+(O68="N/A")+(R68="N/A")+(U68="N/A")+(X68="N/A"))&gt;0),"REVISAR","")</f>
        <v/>
      </c>
    </row>
    <row r="69">
      <c r="A69" s="22">
        <f>CRITERIOS!B57</f>
        <v/>
      </c>
      <c r="B69" s="22">
        <f>CRITERIOS!C57</f>
        <v/>
      </c>
      <c r="C69" s="8">
        <f>CRITERIOS!D57</f>
        <v/>
      </c>
      <c r="D69" s="22">
        <f>CRITERIOS!E57</f>
        <v/>
      </c>
      <c r="E69" s="22">
        <f>IFERROR(IF(AND(OR(CRITERIOS!F57="Todos",CRITERIOS!F57=$B$4),INDEX(CRITERIOS!H57:J57,MATCH($B$5,VARIABLES!$E$2:$E$4,0))=1),1,0),0)</f>
        <v/>
      </c>
      <c r="F69" s="22">
        <f>IFERROR(IF(E69=1,INDEX(CRITERIOS!K57:M57,MATCH($B$5,VARIABLES!$E$2:$E$4,0)),0),0)</f>
        <v/>
      </c>
      <c r="G69" s="22">
        <f>IF(CRITERIOS!N57="","",CRITERIOS!N57)</f>
        <v/>
      </c>
      <c r="H69" s="22">
        <f>IF(CRITERIOS!O57="","",CRITERIOS!O57)</f>
        <v/>
      </c>
      <c r="I69" s="21" t="n"/>
      <c r="J69" s="22">
        <f>IF(OR($E69=0,I$78=0),0,IF(AND(I69="N/A",$G69&lt;&gt;""),0,$F69+SUMPRODUCT(($G$14:$G$71=$A69)*($E$14:$E$71=1)*(I$14:I$71="N/A")*$F$14:$F$71)))</f>
        <v/>
      </c>
      <c r="K69" s="22">
        <f>IF(I69="SI",J69,0)</f>
        <v/>
      </c>
      <c r="L69" s="21" t="n"/>
      <c r="M69" s="22">
        <f>IF(OR($E69=0,L$78=0),0,IF(AND(L69="N/A",$G69&lt;&gt;""),0,$F69+SUMPRODUCT(($G$14:$G$71=$A69)*($E$14:$E$71=1)*(L$14:L$71="N/A")*$F$14:$F$71)))</f>
        <v/>
      </c>
      <c r="N69" s="22">
        <f>IF(L69="SI",M69,0)</f>
        <v/>
      </c>
      <c r="O69" s="21" t="n"/>
      <c r="P69" s="22">
        <f>IF(OR($E69=0,O$78=0),0,IF(AND(O69="N/A",$G69&lt;&gt;""),0,$F69+SUMPRODUCT(($G$14:$G$71=$A69)*($E$14:$E$71=1)*(O$14:O$71="N/A")*$F$14:$F$71)))</f>
        <v/>
      </c>
      <c r="Q69" s="22">
        <f>IF(O69="SI",P69,0)</f>
        <v/>
      </c>
      <c r="R69" s="21" t="n"/>
      <c r="S69" s="22">
        <f>IF(OR($E69=0,R$78=0),0,IF(AND(R69="N/A",$G69&lt;&gt;""),0,$F69+SUMPRODUCT(($G$14:$G$71=$A69)*($E$14:$E$71=1)*(R$14:R$71="N/A")*$F$14:$F$71)))</f>
        <v/>
      </c>
      <c r="T69" s="22">
        <f>IF(R69="SI",S69,0)</f>
        <v/>
      </c>
      <c r="U69" s="21" t="n"/>
      <c r="V69" s="22">
        <f>IF(OR($E69=0,U$78=0),0,IF(AND(U69="N/A",$G69&lt;&gt;""),0,$F69+SUMPRODUCT(($G$14:$G$71=$A69)*($E$14:$E$71=1)*(U$14:U$71="N/A")*$F$14:$F$71)))</f>
        <v/>
      </c>
      <c r="W69" s="22">
        <f>IF(U69="SI",V69,0)</f>
        <v/>
      </c>
      <c r="X69" s="21" t="n"/>
      <c r="Y69" s="22">
        <f>IF(OR($E69=0,X$78=0),0,IF(AND(X69="N/A",$G69&lt;&gt;""),0,$F69+SUMPRODUCT(($G$14:$G$71=$A69)*($E$14:$E$71=1)*(X$14:X$71="N/A")*$F$14:$F$71)))</f>
        <v/>
      </c>
      <c r="Z69" s="22">
        <f>IF(X69="SI",Y69,0)</f>
        <v/>
      </c>
      <c r="AA69" s="22">
        <f>SUM(J69,M69,P69,S69,V69,Y69)</f>
        <v/>
      </c>
      <c r="AB69" s="22">
        <f>SUM(K69,N69,Q69,T69,W69,Z69)</f>
        <v/>
      </c>
      <c r="AC69" s="23">
        <f>IF(AA69=0,"",AB69/AA69)</f>
        <v/>
      </c>
      <c r="AD69" s="22">
        <f>CRITERIOS!Q57</f>
        <v/>
      </c>
      <c r="AE69" s="22">
        <f>IF(AND(E69=1,H69&lt;&gt;"X",((I69="N/A")+(L69="N/A")+(O69="N/A")+(R69="N/A")+(U69="N/A")+(X69="N/A"))&gt;0),"REVISAR","")</f>
        <v/>
      </c>
    </row>
    <row r="70">
      <c r="A70" s="22">
        <f>CRITERIOS!B58</f>
        <v/>
      </c>
      <c r="B70" s="22">
        <f>CRITERIOS!C58</f>
        <v/>
      </c>
      <c r="C70" s="8">
        <f>CRITERIOS!D58</f>
        <v/>
      </c>
      <c r="D70" s="22">
        <f>CRITERIOS!E58</f>
        <v/>
      </c>
      <c r="E70" s="22">
        <f>IFERROR(IF(AND(OR(CRITERIOS!F58="Todos",CRITERIOS!F58=$B$4),INDEX(CRITERIOS!H58:J58,MATCH($B$5,VARIABLES!$E$2:$E$4,0))=1),1,0),0)</f>
        <v/>
      </c>
      <c r="F70" s="22">
        <f>IFERROR(IF(E70=1,INDEX(CRITERIOS!K58:M58,MATCH($B$5,VARIABLES!$E$2:$E$4,0)),0),0)</f>
        <v/>
      </c>
      <c r="G70" s="22">
        <f>IF(CRITERIOS!N58="","",CRITERIOS!N58)</f>
        <v/>
      </c>
      <c r="H70" s="22">
        <f>IF(CRITERIOS!O58="","",CRITERIOS!O58)</f>
        <v/>
      </c>
      <c r="I70" s="21" t="n"/>
      <c r="J70" s="22">
        <f>IF(OR($E70=0,I$78=0),0,IF(AND(I70="N/A",$G70&lt;&gt;""),0,$F70+SUMPRODUCT(($G$14:$G$71=$A70)*($E$14:$E$71=1)*(I$14:I$71="N/A")*$F$14:$F$71)))</f>
        <v/>
      </c>
      <c r="K70" s="22">
        <f>IF(I70="SI",J70,0)</f>
        <v/>
      </c>
      <c r="L70" s="21" t="n"/>
      <c r="M70" s="22">
        <f>IF(OR($E70=0,L$78=0),0,IF(AND(L70="N/A",$G70&lt;&gt;""),0,$F70+SUMPRODUCT(($G$14:$G$71=$A70)*($E$14:$E$71=1)*(L$14:L$71="N/A")*$F$14:$F$71)))</f>
        <v/>
      </c>
      <c r="N70" s="22">
        <f>IF(L70="SI",M70,0)</f>
        <v/>
      </c>
      <c r="O70" s="21" t="n"/>
      <c r="P70" s="22">
        <f>IF(OR($E70=0,O$78=0),0,IF(AND(O70="N/A",$G70&lt;&gt;""),0,$F70+SUMPRODUCT(($G$14:$G$71=$A70)*($E$14:$E$71=1)*(O$14:O$71="N/A")*$F$14:$F$71)))</f>
        <v/>
      </c>
      <c r="Q70" s="22">
        <f>IF(O70="SI",P70,0)</f>
        <v/>
      </c>
      <c r="R70" s="21" t="n"/>
      <c r="S70" s="22">
        <f>IF(OR($E70=0,R$78=0),0,IF(AND(R70="N/A",$G70&lt;&gt;""),0,$F70+SUMPRODUCT(($G$14:$G$71=$A70)*($E$14:$E$71=1)*(R$14:R$71="N/A")*$F$14:$F$71)))</f>
        <v/>
      </c>
      <c r="T70" s="22">
        <f>IF(R70="SI",S70,0)</f>
        <v/>
      </c>
      <c r="U70" s="21" t="n"/>
      <c r="V70" s="22">
        <f>IF(OR($E70=0,U$78=0),0,IF(AND(U70="N/A",$G70&lt;&gt;""),0,$F70+SUMPRODUCT(($G$14:$G$71=$A70)*($E$14:$E$71=1)*(U$14:U$71="N/A")*$F$14:$F$71)))</f>
        <v/>
      </c>
      <c r="W70" s="22">
        <f>IF(U70="SI",V70,0)</f>
        <v/>
      </c>
      <c r="X70" s="21" t="n"/>
      <c r="Y70" s="22">
        <f>IF(OR($E70=0,X$78=0),0,IF(AND(X70="N/A",$G70&lt;&gt;""),0,$F70+SUMPRODUCT(($G$14:$G$71=$A70)*($E$14:$E$71=1)*(X$14:X$71="N/A")*$F$14:$F$71)))</f>
        <v/>
      </c>
      <c r="Z70" s="22">
        <f>IF(X70="SI",Y70,0)</f>
        <v/>
      </c>
      <c r="AA70" s="22">
        <f>SUM(J70,M70,P70,S70,V70,Y70)</f>
        <v/>
      </c>
      <c r="AB70" s="22">
        <f>SUM(K70,N70,Q70,T70,W70,Z70)</f>
        <v/>
      </c>
      <c r="AC70" s="23">
        <f>IF(AA70=0,"",AB70/AA70)</f>
        <v/>
      </c>
      <c r="AD70" s="22">
        <f>CRITERIOS!Q58</f>
        <v/>
      </c>
      <c r="AE70" s="22">
        <f>IF(AND(E70=1,H70&lt;&gt;"X",((I70="N/A")+(L70="N/A")+(O70="N/A")+(R70="N/A")+(U70="N/A")+(X70="N/A"))&gt;0),"REVISAR","")</f>
        <v/>
      </c>
    </row>
    <row r="71">
      <c r="A71" s="24">
        <f>CRITERIOS!B59</f>
        <v/>
      </c>
      <c r="B71" s="24">
        <f>CRITERIOS!C59</f>
        <v/>
      </c>
      <c r="C71" s="25">
        <f>CRITERIOS!D59</f>
        <v/>
      </c>
      <c r="D71" s="24">
        <f>CRITERIOS!E59</f>
        <v/>
      </c>
      <c r="E71" s="24">
        <f>IFERROR(IF(AND(OR(CRITERIOS!F59="Todos",CRITERIOS!F59=$B$4),INDEX(CRITERIOS!H59:J59,MATCH($B$5,VARIABLES!$E$2:$E$4,0))=1),1,0),0)</f>
        <v/>
      </c>
      <c r="F71" s="24">
        <f>IFERROR(IF(E71=1,INDEX(CRITERIOS!K59:M59,MATCH($B$5,VARIABLES!$E$2:$E$4,0)),0),0)</f>
        <v/>
      </c>
      <c r="G71" s="24">
        <f>IF(CRITERIOS!N59="","",CRITERIOS!N59)</f>
        <v/>
      </c>
      <c r="H71" s="24">
        <f>IF(CRITERIOS!O59="","",CRITERIOS!O59)</f>
        <v/>
      </c>
      <c r="I71" s="21" t="n"/>
      <c r="J71" s="22">
        <f>IF(OR($E71=0,I$78=0),0,IF(AND(I71="N/A",$G71&lt;&gt;""),0,$F71+SUMPRODUCT(($G$14:$G$71=$A71)*($E$14:$E$71=1)*(I$14:I$71="N/A")*$F$14:$F$71)))</f>
        <v/>
      </c>
      <c r="K71" s="22">
        <f>IF(I71="SI",J71,0)</f>
        <v/>
      </c>
      <c r="L71" s="21" t="n"/>
      <c r="M71" s="22">
        <f>IF(OR($E71=0,L$78=0),0,IF(AND(L71="N/A",$G71&lt;&gt;""),0,$F71+SUMPRODUCT(($G$14:$G$71=$A71)*($E$14:$E$71=1)*(L$14:L$71="N/A")*$F$14:$F$71)))</f>
        <v/>
      </c>
      <c r="N71" s="22">
        <f>IF(L71="SI",M71,0)</f>
        <v/>
      </c>
      <c r="O71" s="21" t="n"/>
      <c r="P71" s="22">
        <f>IF(OR($E71=0,O$78=0),0,IF(AND(O71="N/A",$G71&lt;&gt;""),0,$F71+SUMPRODUCT(($G$14:$G$71=$A71)*($E$14:$E$71=1)*(O$14:O$71="N/A")*$F$14:$F$71)))</f>
        <v/>
      </c>
      <c r="Q71" s="22">
        <f>IF(O71="SI",P71,0)</f>
        <v/>
      </c>
      <c r="R71" s="21" t="n"/>
      <c r="S71" s="22">
        <f>IF(OR($E71=0,R$78=0),0,IF(AND(R71="N/A",$G71&lt;&gt;""),0,$F71+SUMPRODUCT(($G$14:$G$71=$A71)*($E$14:$E$71=1)*(R$14:R$71="N/A")*$F$14:$F$71)))</f>
        <v/>
      </c>
      <c r="T71" s="22">
        <f>IF(R71="SI",S71,0)</f>
        <v/>
      </c>
      <c r="U71" s="21" t="n"/>
      <c r="V71" s="22">
        <f>IF(OR($E71=0,U$78=0),0,IF(AND(U71="N/A",$G71&lt;&gt;""),0,$F71+SUMPRODUCT(($G$14:$G$71=$A71)*($E$14:$E$71=1)*(U$14:U$71="N/A")*$F$14:$F$71)))</f>
        <v/>
      </c>
      <c r="W71" s="22">
        <f>IF(U71="SI",V71,0)</f>
        <v/>
      </c>
      <c r="X71" s="21" t="n"/>
      <c r="Y71" s="22">
        <f>IF(OR($E71=0,X$78=0),0,IF(AND(X71="N/A",$G71&lt;&gt;""),0,$F71+SUMPRODUCT(($G$14:$G$71=$A71)*($E$14:$E$71=1)*(X$14:X$71="N/A")*$F$14:$F$71)))</f>
        <v/>
      </c>
      <c r="Z71" s="22">
        <f>IF(X71="SI",Y71,0)</f>
        <v/>
      </c>
      <c r="AA71" s="22">
        <f>SUM(J71,M71,P71,S71,V71,Y71)</f>
        <v/>
      </c>
      <c r="AB71" s="22">
        <f>SUM(K71,N71,Q71,T71,W71,Z71)</f>
        <v/>
      </c>
      <c r="AC71" s="23">
        <f>IF(AA71=0,"",AB71/AA71)</f>
        <v/>
      </c>
      <c r="AD71" s="22">
        <f>CRITERIOS!Q59</f>
        <v/>
      </c>
      <c r="AE71" s="22">
        <f>IF(AND(E71=1,H71&lt;&gt;"X",((I71="N/A")+(L71="N/A")+(O71="N/A")+(R71="N/A")+(U71="N/A")+(X71="N/A"))&gt;0),"REVISAR","")</f>
        <v/>
      </c>
    </row>
    <row r="73">
      <c r="C73" s="4" t="inlineStr">
        <is>
          <t>Puntaje de la conversación (/100)</t>
        </is>
      </c>
      <c r="K73" s="26">
        <f>IF(I78=1,SUM(K14:K71),"")</f>
        <v/>
      </c>
      <c r="N73" s="26">
        <f>IF(L78=1,SUM(N14:N71),"")</f>
        <v/>
      </c>
      <c r="Q73" s="26">
        <f>IF(O78=1,SUM(Q14:Q71),"")</f>
        <v/>
      </c>
      <c r="T73" s="26">
        <f>IF(R78=1,SUM(T14:T71),"")</f>
        <v/>
      </c>
      <c r="W73" s="26">
        <f>IF(U78=1,SUM(W14:W71),"")</f>
        <v/>
      </c>
      <c r="Z73" s="26">
        <f>IF(X78=1,SUM(Z14:Z71),"")</f>
        <v/>
      </c>
    </row>
    <row r="74">
      <c r="C74" s="4" t="inlineStr">
        <is>
          <t>Fase I: HD con NO (1 = reprueba)</t>
        </is>
      </c>
      <c r="I74">
        <f>IF(I78=1,IF(COUNTIFS($D$14:$D$71,"Control HD",I14:I71,"NO")&gt;0,1,0),0)</f>
        <v/>
      </c>
      <c r="L74">
        <f>IF(L78=1,IF(COUNTIFS($D$14:$D$71,"Control HD",L14:L71,"NO")&gt;0,1,0),0)</f>
        <v/>
      </c>
      <c r="O74">
        <f>IF(O78=1,IF(COUNTIFS($D$14:$D$71,"Control HD",O14:O71,"NO")&gt;0,1,0),0)</f>
        <v/>
      </c>
      <c r="R74">
        <f>IF(R78=1,IF(COUNTIFS($D$14:$D$71,"Control HD",R14:R71,"NO")&gt;0,1,0),0)</f>
        <v/>
      </c>
      <c r="U74">
        <f>IF(U78=1,IF(COUNTIFS($D$14:$D$71,"Control HD",U14:U71,"NO")&gt;0,1,0),0)</f>
        <v/>
      </c>
      <c r="X74">
        <f>IF(X78=1,IF(COUNTIFS($D$14:$D$71,"Control HD",X14:X71,"NO")&gt;0,1,0),0)</f>
        <v/>
      </c>
    </row>
    <row r="75">
      <c r="C75" s="4" t="inlineStr">
        <is>
          <t>ECU con error (1 = sí)</t>
        </is>
      </c>
      <c r="I75">
        <f>IF(I78=1,IF(COUNTIFS($D$14:$D$71,"ECU",I14:I71,"NO")&gt;0,1,0),0)</f>
        <v/>
      </c>
      <c r="L75">
        <f>IF(L78=1,IF(COUNTIFS($D$14:$D$71,"ECU",L14:L71,"NO")&gt;0,1,0),0)</f>
        <v/>
      </c>
      <c r="O75">
        <f>IF(O78=1,IF(COUNTIFS($D$14:$D$71,"ECU",O14:O71,"NO")&gt;0,1,0),0)</f>
        <v/>
      </c>
      <c r="R75">
        <f>IF(R78=1,IF(COUNTIFS($D$14:$D$71,"ECU",R14:R71,"NO")&gt;0,1,0),0)</f>
        <v/>
      </c>
      <c r="U75">
        <f>IF(U78=1,IF(COUNTIFS($D$14:$D$71,"ECU",U14:U71,"NO")&gt;0,1,0),0)</f>
        <v/>
      </c>
      <c r="X75">
        <f>IF(X78=1,IF(COUNTIFS($D$14:$D$71,"ECU",X14:X71,"NO")&gt;0,1,0),0)</f>
        <v/>
      </c>
    </row>
    <row r="76">
      <c r="C76" s="4" t="inlineStr">
        <is>
          <t>ECN con error (1 = sí)</t>
        </is>
      </c>
      <c r="I76">
        <f>IF(I78=1,IF(COUNTIFS($D$14:$D$71,"ECN",I14:I71,"NO")&gt;0,1,0),0)</f>
        <v/>
      </c>
      <c r="L76">
        <f>IF(L78=1,IF(COUNTIFS($D$14:$D$71,"ECN",L14:L71,"NO")&gt;0,1,0),0)</f>
        <v/>
      </c>
      <c r="O76">
        <f>IF(O78=1,IF(COUNTIFS($D$14:$D$71,"ECN",O14:O71,"NO")&gt;0,1,0),0)</f>
        <v/>
      </c>
      <c r="R76">
        <f>IF(R78=1,IF(COUNTIFS($D$14:$D$71,"ECN",R14:R71,"NO")&gt;0,1,0),0)</f>
        <v/>
      </c>
      <c r="U76">
        <f>IF(U78=1,IF(COUNTIFS($D$14:$D$71,"ECN",U14:U71,"NO")&gt;0,1,0),0)</f>
        <v/>
      </c>
      <c r="X76">
        <f>IF(X78=1,IF(COUNTIFS($D$14:$D$71,"ECN",X14:X71,"NO")&gt;0,1,0),0)</f>
        <v/>
      </c>
    </row>
    <row r="77">
      <c r="C77" s="4" t="inlineStr">
        <is>
          <t>ECC con error (1 = sí)</t>
        </is>
      </c>
      <c r="I77">
        <f>IF(I78=1,IF(COUNTIFS($D$14:$D$71,"ECC",I14:I71,"NO")&gt;0,1,0),0)</f>
        <v/>
      </c>
      <c r="L77">
        <f>IF(L78=1,IF(COUNTIFS($D$14:$D$71,"ECC",L14:L71,"NO")&gt;0,1,0),0)</f>
        <v/>
      </c>
      <c r="O77">
        <f>IF(O78=1,IF(COUNTIFS($D$14:$D$71,"ECC",O14:O71,"NO")&gt;0,1,0),0)</f>
        <v/>
      </c>
      <c r="R77">
        <f>IF(R78=1,IF(COUNTIFS($D$14:$D$71,"ECC",R14:R71,"NO")&gt;0,1,0),0)</f>
        <v/>
      </c>
      <c r="U77">
        <f>IF(U78=1,IF(COUNTIFS($D$14:$D$71,"ECC",U14:U71,"NO")&gt;0,1,0),0)</f>
        <v/>
      </c>
      <c r="X77">
        <f>IF(X78=1,IF(COUNTIFS($D$14:$D$71,"ECC",X14:X71,"NO")&gt;0,1,0),0)</f>
        <v/>
      </c>
    </row>
    <row r="78">
      <c r="C78" s="4" t="inlineStr">
        <is>
          <t>Conversación evaluada (1 = sí)</t>
        </is>
      </c>
      <c r="I78">
        <f>IF(COUNTA(I14:I71)&gt;0,1,0)</f>
        <v/>
      </c>
      <c r="L78">
        <f>IF(COUNTA(L14:L71)&gt;0,1,0)</f>
        <v/>
      </c>
      <c r="O78">
        <f>IF(COUNTA(O14:O71)&gt;0,1,0)</f>
        <v/>
      </c>
      <c r="R78">
        <f>IF(COUNTA(R14:R71)&gt;0,1,0)</f>
        <v/>
      </c>
      <c r="U78">
        <f>IF(COUNTA(U14:U71)&gt;0,1,0)</f>
        <v/>
      </c>
      <c r="X78">
        <f>IF(COUNTA(X14:X71)&gt;0,1,0)</f>
        <v/>
      </c>
    </row>
    <row r="79">
      <c r="C79" s="4" t="inlineStr">
        <is>
          <t>Casillas aplicables sin diligenciar</t>
        </is>
      </c>
      <c r="I79">
        <f>IF(I78=1,SUMPRODUCT(($E$14:$E$71=1)*(I14:I71="")),0)</f>
        <v/>
      </c>
      <c r="L79">
        <f>IF(L78=1,SUMPRODUCT(($E$14:$E$71=1)*(L14:L71="")),0)</f>
        <v/>
      </c>
      <c r="O79">
        <f>IF(O78=1,SUMPRODUCT(($E$14:$E$71=1)*(O14:O71="")),0)</f>
        <v/>
      </c>
      <c r="R79">
        <f>IF(R78=1,SUMPRODUCT(($E$14:$E$71=1)*(R14:R71="")),0)</f>
        <v/>
      </c>
      <c r="U79">
        <f>IF(U78=1,SUMPRODUCT(($E$14:$E$71=1)*(U14:U71="")),0)</f>
        <v/>
      </c>
      <c r="X79">
        <f>IF(X78=1,SUMPRODUCT(($E$14:$E$71=1)*(X14:X71="")),0)</f>
        <v/>
      </c>
    </row>
  </sheetData>
  <mergeCells count="18">
    <mergeCell ref="X10:Z10"/>
    <mergeCell ref="I11:K11"/>
    <mergeCell ref="X11:Z11"/>
    <mergeCell ref="I10:K10"/>
    <mergeCell ref="L11:N11"/>
    <mergeCell ref="L10:N10"/>
    <mergeCell ref="R11:T11"/>
    <mergeCell ref="R10:T10"/>
    <mergeCell ref="X9:Z9"/>
    <mergeCell ref="U10:W10"/>
    <mergeCell ref="I9:K9"/>
    <mergeCell ref="O9:Q9"/>
    <mergeCell ref="L9:N9"/>
    <mergeCell ref="R9:T9"/>
    <mergeCell ref="U9:W9"/>
    <mergeCell ref="U11:W11"/>
    <mergeCell ref="O10:Q10"/>
    <mergeCell ref="O11:Q11"/>
  </mergeCells>
  <dataValidations count="5">
    <dataValidation sqref="I14:I71 L14:L71 O14:O71 R14:R71 U14:U71 X14:X71" showDropDown="0" showInputMessage="0" showErrorMessage="0" allowBlank="1" type="list">
      <formula1>"SI,NO,N/A"</formula1>
    </dataValidation>
    <dataValidation sqref="B4" showDropDown="0" showInputMessage="0" showErrorMessage="0" allowBlank="1" type="list">
      <formula1>VARIABLES!$D$2:$D$5</formula1>
    </dataValidation>
    <dataValidation sqref="B5" showDropDown="0" showInputMessage="0" showErrorMessage="0" allowBlank="1" type="list">
      <formula1>VARIABLES!$E$2:$E$4</formula1>
    </dataValidation>
    <dataValidation sqref="I11 L11 O11 R11 U11 X11" showDropDown="0" showInputMessage="0" showErrorMessage="0" allowBlank="1" type="list">
      <formula1>VARIABLES!$B$2:$B$3</formula1>
    </dataValidation>
    <dataValidation sqref="B6" showDropDown="0" showInputMessage="0" showErrorMessage="0" allowBlank="1" type="list">
      <formula1>VARIABLES!$C$2:$C$13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79"/>
  <sheetViews>
    <sheetView workbookViewId="0">
      <pane xSplit="3" ySplit="13" topLeftCell="D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60" customWidth="1" min="3" max="3"/>
    <col width="11" customWidth="1" min="4" max="4"/>
    <col outlineLevel="1" width="7" customWidth="1" min="5" max="5"/>
    <col outlineLevel="1" width="7" customWidth="1" min="6" max="6"/>
    <col outlineLevel="1" width="9" customWidth="1" min="7" max="7"/>
    <col outlineLevel="1" width="8" customWidth="1" min="8" max="8"/>
    <col width="11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11" customWidth="1" min="15" max="15"/>
    <col width="8" customWidth="1" min="16" max="16"/>
    <col width="8" customWidth="1" min="17" max="17"/>
    <col width="11" customWidth="1" min="18" max="18"/>
    <col width="8" customWidth="1" min="19" max="19"/>
    <col width="8" customWidth="1" min="20" max="20"/>
    <col width="11" customWidth="1" min="21" max="21"/>
    <col width="8" customWidth="1" min="22" max="22"/>
    <col width="8" customWidth="1" min="23" max="23"/>
    <col width="11" customWidth="1" min="24" max="24"/>
    <col width="8" customWidth="1" min="25" max="25"/>
    <col width="8" customWidth="1" min="26" max="26"/>
    <col outlineLevel="1" width="10" customWidth="1" min="27" max="27"/>
    <col outlineLevel="1" width="10" customWidth="1" min="28" max="28"/>
    <col width="10" customWidth="1" min="29" max="29"/>
    <col outlineLevel="1" width="10" customWidth="1" min="30" max="30"/>
    <col width="10" customWidth="1" min="31" max="31"/>
  </cols>
  <sheetData>
    <row r="1">
      <c r="A1" s="3" t="inlineStr">
        <is>
          <t>FORMATO DE MONITOREO COMERCIAL · PREVENTA Y VENTA</t>
        </is>
      </c>
    </row>
    <row r="3">
      <c r="A3" s="4" t="inlineStr">
        <is>
          <t>Asesor</t>
        </is>
      </c>
      <c r="B3" s="5" t="n"/>
      <c r="I3" s="4" t="inlineStr">
        <is>
          <t>Fase I (Habeas Data)</t>
        </is>
      </c>
      <c r="P3" s="16">
        <f>IF($B$7=0,"",IF(SUM(I74,L74,O74,R74,U74,X74)&gt;0,"Reprobada","Aprobada"))</f>
        <v/>
      </c>
      <c r="S3" s="4" t="inlineStr">
        <is>
          <t>ECU · % sin error</t>
        </is>
      </c>
      <c r="Z3" s="17">
        <f>IF($B$7=0,"",1-SUM(I75,L75,O75,R75,U75,X75)/$B$7)</f>
        <v/>
      </c>
    </row>
    <row r="4">
      <c r="A4" s="4" t="inlineStr">
        <is>
          <t>Canal</t>
        </is>
      </c>
      <c r="B4" s="5" t="n"/>
      <c r="I4" s="4" t="inlineStr">
        <is>
          <t>Nota /100</t>
        </is>
      </c>
      <c r="P4" s="18">
        <f>IF($B$7=0,"",IF(P3="Reprobada",0,AVERAGE(K73,N73,Q73,T73,W73,Z73)*1))</f>
        <v/>
      </c>
      <c r="S4" s="4" t="inlineStr">
        <is>
          <t>ECN · % sin error</t>
        </is>
      </c>
      <c r="Z4" s="17">
        <f>IF($B$7=0,"",1-SUM(I76,L76,O76,R76,U76,X76)/$B$7)</f>
        <v/>
      </c>
    </row>
    <row r="5">
      <c r="A5" s="4" t="inlineStr">
        <is>
          <t>Gestión</t>
        </is>
      </c>
      <c r="B5" s="5" t="n"/>
      <c r="I5" s="4" t="inlineStr">
        <is>
          <t>Nota /300</t>
        </is>
      </c>
      <c r="P5" s="18">
        <f>IF(P4="","",P4*3)</f>
        <v/>
      </c>
      <c r="S5" s="4" t="inlineStr">
        <is>
          <t>ECC · % sin error</t>
        </is>
      </c>
      <c r="Z5" s="17">
        <f>IF($B$7=0,"",1-SUM(I77,L77,O77,R77,U77,X77)/$B$7)</f>
        <v/>
      </c>
    </row>
    <row r="6">
      <c r="A6" s="4" t="inlineStr">
        <is>
          <t>Mes</t>
        </is>
      </c>
      <c r="B6" s="5" t="n"/>
      <c r="I6" s="4" t="inlineStr">
        <is>
          <t>Nivel</t>
        </is>
      </c>
      <c r="P6" s="16">
        <f>IF(P4="","",IF(P3="Reprobada","Crítico",LOOKUP(P4/100,'TABLA GENERAL'!$I$7:$I$10,'TABLA GENERAL'!$F$7:$F$10)))</f>
        <v/>
      </c>
      <c r="S6" s="4" t="inlineStr">
        <is>
          <t>Alerta Dirección</t>
        </is>
      </c>
      <c r="Z6" s="16">
        <f>IF($B$7=0,"",IF(SUMPRODUCT($AD$14:$AD$71*((I14:I71="NO")+(L14:L71="NO")+(O14:O71="NO")+(R14:R71="NO")+(U14:U71="NO")+(X14:X71="NO")))&gt;0,"SÍ - reportar","No"))</f>
        <v/>
      </c>
    </row>
    <row r="7">
      <c r="A7" s="4" t="inlineStr">
        <is>
          <t>Conversaciones evaluadas</t>
        </is>
      </c>
      <c r="B7">
        <f>SUM(I78,L78,O78,R78,U78,X78)</f>
        <v/>
      </c>
      <c r="I7" s="4" t="inlineStr">
        <is>
          <t>Estado</t>
        </is>
      </c>
      <c r="P7" s="16">
        <f>IF(P4="","",IF(P3="Reprobada","Reprobado",IF(P4/100&gt;='TABLA GENERAL'!$C$21,"Aprobado","Plan de acción")))</f>
        <v/>
      </c>
      <c r="S7" s="4" t="inlineStr">
        <is>
          <t>Casillas por revisar</t>
        </is>
      </c>
      <c r="Z7" s="16">
        <f>SUM(I79,L79,O79,R79,U79,X79)+COUNTIF(AE14:AE71,"REVISAR")</f>
        <v/>
      </c>
    </row>
    <row r="9">
      <c r="I9" s="6" t="inlineStr">
        <is>
          <t>Conversación 1</t>
        </is>
      </c>
      <c r="L9" s="6" t="inlineStr">
        <is>
          <t>Conversación 2</t>
        </is>
      </c>
      <c r="O9" s="6" t="inlineStr">
        <is>
          <t>Conversación 3</t>
        </is>
      </c>
      <c r="R9" s="6" t="inlineStr">
        <is>
          <t>Conversación 4</t>
        </is>
      </c>
      <c r="U9" s="6" t="inlineStr">
        <is>
          <t>Conversación 5</t>
        </is>
      </c>
      <c r="X9" s="6" t="inlineStr">
        <is>
          <t>Conversación 6</t>
        </is>
      </c>
    </row>
    <row r="10">
      <c r="C10" s="4" t="inlineStr">
        <is>
          <t>Fecha / ID de la conversación</t>
        </is>
      </c>
      <c r="I10" s="5" t="n"/>
      <c r="L10" s="5" t="n"/>
      <c r="O10" s="5" t="n"/>
      <c r="R10" s="5" t="n"/>
      <c r="U10" s="5" t="n"/>
      <c r="X10" s="5" t="n"/>
    </row>
    <row r="11">
      <c r="C11" s="4" t="inlineStr">
        <is>
          <t>Modalidad</t>
        </is>
      </c>
      <c r="I11" s="5" t="n"/>
      <c r="L11" s="5" t="n"/>
      <c r="O11" s="5" t="n"/>
      <c r="R11" s="5" t="n"/>
      <c r="U11" s="5" t="n"/>
      <c r="X11" s="5" t="n"/>
    </row>
    <row r="13" ht="32" customHeight="1">
      <c r="A13" s="6" t="inlineStr">
        <is>
          <t>Código</t>
        </is>
      </c>
      <c r="B13" s="6" t="inlineStr">
        <is>
          <t>Dimensión</t>
        </is>
      </c>
      <c r="C13" s="6" t="inlineStr">
        <is>
          <t>Descripción</t>
        </is>
      </c>
      <c r="D13" s="6" t="inlineStr">
        <is>
          <t>Tipo</t>
        </is>
      </c>
      <c r="E13" s="6" t="inlineStr">
        <is>
          <t>Aplica</t>
        </is>
      </c>
      <c r="F13" s="6" t="inlineStr">
        <is>
          <t>Peso base</t>
        </is>
      </c>
      <c r="G13" s="6" t="inlineStr">
        <is>
          <t>Receptor N/A</t>
        </is>
      </c>
      <c r="H13" s="6" t="inlineStr">
        <is>
          <t>Admite N/A</t>
        </is>
      </c>
      <c r="I13" s="6" t="inlineStr">
        <is>
          <t>Resultado</t>
        </is>
      </c>
      <c r="J13" s="6" t="inlineStr">
        <is>
          <t>Peso estab.</t>
        </is>
      </c>
      <c r="K13" s="6" t="inlineStr">
        <is>
          <t>Peso logrado</t>
        </is>
      </c>
      <c r="L13" s="6" t="inlineStr">
        <is>
          <t>Resultado</t>
        </is>
      </c>
      <c r="M13" s="6" t="inlineStr">
        <is>
          <t>Peso estab.</t>
        </is>
      </c>
      <c r="N13" s="6" t="inlineStr">
        <is>
          <t>Peso logrado</t>
        </is>
      </c>
      <c r="O13" s="6" t="inlineStr">
        <is>
          <t>Resultado</t>
        </is>
      </c>
      <c r="P13" s="6" t="inlineStr">
        <is>
          <t>Peso estab.</t>
        </is>
      </c>
      <c r="Q13" s="6" t="inlineStr">
        <is>
          <t>Peso logrado</t>
        </is>
      </c>
      <c r="R13" s="6" t="inlineStr">
        <is>
          <t>Resultado</t>
        </is>
      </c>
      <c r="S13" s="6" t="inlineStr">
        <is>
          <t>Peso estab.</t>
        </is>
      </c>
      <c r="T13" s="6" t="inlineStr">
        <is>
          <t>Peso logrado</t>
        </is>
      </c>
      <c r="U13" s="6" t="inlineStr">
        <is>
          <t>Resultado</t>
        </is>
      </c>
      <c r="V13" s="6" t="inlineStr">
        <is>
          <t>Peso estab.</t>
        </is>
      </c>
      <c r="W13" s="6" t="inlineStr">
        <is>
          <t>Peso logrado</t>
        </is>
      </c>
      <c r="X13" s="6" t="inlineStr">
        <is>
          <t>Resultado</t>
        </is>
      </c>
      <c r="Y13" s="6" t="inlineStr">
        <is>
          <t>Peso estab.</t>
        </is>
      </c>
      <c r="Z13" s="6" t="inlineStr">
        <is>
          <t>Peso logrado</t>
        </is>
      </c>
      <c r="AA13" s="6" t="inlineStr">
        <is>
          <t>Σ peso estab.</t>
        </is>
      </c>
      <c r="AB13" s="6" t="inlineStr">
        <is>
          <t>Σ peso logrado</t>
        </is>
      </c>
      <c r="AC13" s="6" t="inlineStr">
        <is>
          <t>% cumplimiento</t>
        </is>
      </c>
      <c r="AD13" s="6" t="inlineStr">
        <is>
          <t>Alerta</t>
        </is>
      </c>
      <c r="AE13" s="6" t="inlineStr">
        <is>
          <t>Validación</t>
        </is>
      </c>
    </row>
    <row r="14">
      <c r="A14" s="19">
        <f>CRITERIOS!B2</f>
        <v/>
      </c>
      <c r="B14" s="19">
        <f>CRITERIOS!C2</f>
        <v/>
      </c>
      <c r="C14" s="20">
        <f>CRITERIOS!D2</f>
        <v/>
      </c>
      <c r="D14" s="19">
        <f>CRITERIOS!E2</f>
        <v/>
      </c>
      <c r="E14" s="19">
        <f>IFERROR(IF(AND(OR(CRITERIOS!F2="Todos",CRITERIOS!F2=$B$4),INDEX(CRITERIOS!H2:J2,MATCH($B$5,VARIABLES!$E$2:$E$4,0))=1),1,0),0)</f>
        <v/>
      </c>
      <c r="F14" s="19">
        <f>IFERROR(IF(E14=1,INDEX(CRITERIOS!K2:M2,MATCH($B$5,VARIABLES!$E$2:$E$4,0)),0),0)</f>
        <v/>
      </c>
      <c r="G14" s="19">
        <f>IF(CRITERIOS!N2="","",CRITERIOS!N2)</f>
        <v/>
      </c>
      <c r="H14" s="19">
        <f>IF(CRITERIOS!O2="","",CRITERIOS!O2)</f>
        <v/>
      </c>
      <c r="I14" s="21" t="n"/>
      <c r="J14" s="22">
        <f>IF(OR($E14=0,I$78=0),0,IF(AND(I14="N/A",$G14&lt;&gt;""),0,$F14+SUMPRODUCT(($G$14:$G$71=$A14)*($E$14:$E$71=1)*(I$14:I$71="N/A")*$F$14:$F$71)))</f>
        <v/>
      </c>
      <c r="K14" s="22">
        <f>IF(I14="SI",J14,0)</f>
        <v/>
      </c>
      <c r="L14" s="21" t="n"/>
      <c r="M14" s="22">
        <f>IF(OR($E14=0,L$78=0),0,IF(AND(L14="N/A",$G14&lt;&gt;""),0,$F14+SUMPRODUCT(($G$14:$G$71=$A14)*($E$14:$E$71=1)*(L$14:L$71="N/A")*$F$14:$F$71)))</f>
        <v/>
      </c>
      <c r="N14" s="22">
        <f>IF(L14="SI",M14,0)</f>
        <v/>
      </c>
      <c r="O14" s="21" t="n"/>
      <c r="P14" s="22">
        <f>IF(OR($E14=0,O$78=0),0,IF(AND(O14="N/A",$G14&lt;&gt;""),0,$F14+SUMPRODUCT(($G$14:$G$71=$A14)*($E$14:$E$71=1)*(O$14:O$71="N/A")*$F$14:$F$71)))</f>
        <v/>
      </c>
      <c r="Q14" s="22">
        <f>IF(O14="SI",P14,0)</f>
        <v/>
      </c>
      <c r="R14" s="21" t="n"/>
      <c r="S14" s="22">
        <f>IF(OR($E14=0,R$78=0),0,IF(AND(R14="N/A",$G14&lt;&gt;""),0,$F14+SUMPRODUCT(($G$14:$G$71=$A14)*($E$14:$E$71=1)*(R$14:R$71="N/A")*$F$14:$F$71)))</f>
        <v/>
      </c>
      <c r="T14" s="22">
        <f>IF(R14="SI",S14,0)</f>
        <v/>
      </c>
      <c r="U14" s="21" t="n"/>
      <c r="V14" s="22">
        <f>IF(OR($E14=0,U$78=0),0,IF(AND(U14="N/A",$G14&lt;&gt;""),0,$F14+SUMPRODUCT(($G$14:$G$71=$A14)*($E$14:$E$71=1)*(U$14:U$71="N/A")*$F$14:$F$71)))</f>
        <v/>
      </c>
      <c r="W14" s="22">
        <f>IF(U14="SI",V14,0)</f>
        <v/>
      </c>
      <c r="X14" s="21" t="n"/>
      <c r="Y14" s="22">
        <f>IF(OR($E14=0,X$78=0),0,IF(AND(X14="N/A",$G14&lt;&gt;""),0,$F14+SUMPRODUCT(($G$14:$G$71=$A14)*($E$14:$E$71=1)*(X$14:X$71="N/A")*$F$14:$F$71)))</f>
        <v/>
      </c>
      <c r="Z14" s="22">
        <f>IF(X14="SI",Y14,0)</f>
        <v/>
      </c>
      <c r="AA14" s="22">
        <f>SUM(J14,M14,P14,S14,V14,Y14)</f>
        <v/>
      </c>
      <c r="AB14" s="22">
        <f>SUM(K14,N14,Q14,T14,W14,Z14)</f>
        <v/>
      </c>
      <c r="AC14" s="23">
        <f>IF(AA14=0,"",AB14/AA14)</f>
        <v/>
      </c>
      <c r="AD14" s="22">
        <f>CRITERIOS!Q2</f>
        <v/>
      </c>
      <c r="AE14" s="22">
        <f>IF(AND(E14=1,H14&lt;&gt;"X",((I14="N/A")+(L14="N/A")+(O14="N/A")+(R14="N/A")+(U14="N/A")+(X14="N/A"))&gt;0),"REVISAR","")</f>
        <v/>
      </c>
    </row>
    <row r="15">
      <c r="A15" s="19">
        <f>CRITERIOS!B3</f>
        <v/>
      </c>
      <c r="B15" s="19">
        <f>CRITERIOS!C3</f>
        <v/>
      </c>
      <c r="C15" s="20">
        <f>CRITERIOS!D3</f>
        <v/>
      </c>
      <c r="D15" s="19">
        <f>CRITERIOS!E3</f>
        <v/>
      </c>
      <c r="E15" s="19">
        <f>IFERROR(IF(AND(OR(CRITERIOS!F3="Todos",CRITERIOS!F3=$B$4),INDEX(CRITERIOS!H3:J3,MATCH($B$5,VARIABLES!$E$2:$E$4,0))=1),1,0),0)</f>
        <v/>
      </c>
      <c r="F15" s="19">
        <f>IFERROR(IF(E15=1,INDEX(CRITERIOS!K3:M3,MATCH($B$5,VARIABLES!$E$2:$E$4,0)),0),0)</f>
        <v/>
      </c>
      <c r="G15" s="19">
        <f>IF(CRITERIOS!N3="","",CRITERIOS!N3)</f>
        <v/>
      </c>
      <c r="H15" s="19">
        <f>IF(CRITERIOS!O3="","",CRITERIOS!O3)</f>
        <v/>
      </c>
      <c r="I15" s="21" t="n"/>
      <c r="J15" s="22">
        <f>IF(OR($E15=0,I$78=0),0,IF(AND(I15="N/A",$G15&lt;&gt;""),0,$F15+SUMPRODUCT(($G$14:$G$71=$A15)*($E$14:$E$71=1)*(I$14:I$71="N/A")*$F$14:$F$71)))</f>
        <v/>
      </c>
      <c r="K15" s="22">
        <f>IF(I15="SI",J15,0)</f>
        <v/>
      </c>
      <c r="L15" s="21" t="n"/>
      <c r="M15" s="22">
        <f>IF(OR($E15=0,L$78=0),0,IF(AND(L15="N/A",$G15&lt;&gt;""),0,$F15+SUMPRODUCT(($G$14:$G$71=$A15)*($E$14:$E$71=1)*(L$14:L$71="N/A")*$F$14:$F$71)))</f>
        <v/>
      </c>
      <c r="N15" s="22">
        <f>IF(L15="SI",M15,0)</f>
        <v/>
      </c>
      <c r="O15" s="21" t="n"/>
      <c r="P15" s="22">
        <f>IF(OR($E15=0,O$78=0),0,IF(AND(O15="N/A",$G15&lt;&gt;""),0,$F15+SUMPRODUCT(($G$14:$G$71=$A15)*($E$14:$E$71=1)*(O$14:O$71="N/A")*$F$14:$F$71)))</f>
        <v/>
      </c>
      <c r="Q15" s="22">
        <f>IF(O15="SI",P15,0)</f>
        <v/>
      </c>
      <c r="R15" s="21" t="n"/>
      <c r="S15" s="22">
        <f>IF(OR($E15=0,R$78=0),0,IF(AND(R15="N/A",$G15&lt;&gt;""),0,$F15+SUMPRODUCT(($G$14:$G$71=$A15)*($E$14:$E$71=1)*(R$14:R$71="N/A")*$F$14:$F$71)))</f>
        <v/>
      </c>
      <c r="T15" s="22">
        <f>IF(R15="SI",S15,0)</f>
        <v/>
      </c>
      <c r="U15" s="21" t="n"/>
      <c r="V15" s="22">
        <f>IF(OR($E15=0,U$78=0),0,IF(AND(U15="N/A",$G15&lt;&gt;""),0,$F15+SUMPRODUCT(($G$14:$G$71=$A15)*($E$14:$E$71=1)*(U$14:U$71="N/A")*$F$14:$F$71)))</f>
        <v/>
      </c>
      <c r="W15" s="22">
        <f>IF(U15="SI",V15,0)</f>
        <v/>
      </c>
      <c r="X15" s="21" t="n"/>
      <c r="Y15" s="22">
        <f>IF(OR($E15=0,X$78=0),0,IF(AND(X15="N/A",$G15&lt;&gt;""),0,$F15+SUMPRODUCT(($G$14:$G$71=$A15)*($E$14:$E$71=1)*(X$14:X$71="N/A")*$F$14:$F$71)))</f>
        <v/>
      </c>
      <c r="Z15" s="22">
        <f>IF(X15="SI",Y15,0)</f>
        <v/>
      </c>
      <c r="AA15" s="22">
        <f>SUM(J15,M15,P15,S15,V15,Y15)</f>
        <v/>
      </c>
      <c r="AB15" s="22">
        <f>SUM(K15,N15,Q15,T15,W15,Z15)</f>
        <v/>
      </c>
      <c r="AC15" s="23">
        <f>IF(AA15=0,"",AB15/AA15)</f>
        <v/>
      </c>
      <c r="AD15" s="22">
        <f>CRITERIOS!Q3</f>
        <v/>
      </c>
      <c r="AE15" s="22">
        <f>IF(AND(E15=1,H15&lt;&gt;"X",((I15="N/A")+(L15="N/A")+(O15="N/A")+(R15="N/A")+(U15="N/A")+(X15="N/A"))&gt;0),"REVISAR","")</f>
        <v/>
      </c>
    </row>
    <row r="16">
      <c r="A16" s="19">
        <f>CRITERIOS!B4</f>
        <v/>
      </c>
      <c r="B16" s="19">
        <f>CRITERIOS!C4</f>
        <v/>
      </c>
      <c r="C16" s="20">
        <f>CRITERIOS!D4</f>
        <v/>
      </c>
      <c r="D16" s="19">
        <f>CRITERIOS!E4</f>
        <v/>
      </c>
      <c r="E16" s="19">
        <f>IFERROR(IF(AND(OR(CRITERIOS!F4="Todos",CRITERIOS!F4=$B$4),INDEX(CRITERIOS!H4:J4,MATCH($B$5,VARIABLES!$E$2:$E$4,0))=1),1,0),0)</f>
        <v/>
      </c>
      <c r="F16" s="19">
        <f>IFERROR(IF(E16=1,INDEX(CRITERIOS!K4:M4,MATCH($B$5,VARIABLES!$E$2:$E$4,0)),0),0)</f>
        <v/>
      </c>
      <c r="G16" s="19">
        <f>IF(CRITERIOS!N4="","",CRITERIOS!N4)</f>
        <v/>
      </c>
      <c r="H16" s="19">
        <f>IF(CRITERIOS!O4="","",CRITERIOS!O4)</f>
        <v/>
      </c>
      <c r="I16" s="21" t="n"/>
      <c r="J16" s="22">
        <f>IF(OR($E16=0,I$78=0),0,IF(AND(I16="N/A",$G16&lt;&gt;""),0,$F16+SUMPRODUCT(($G$14:$G$71=$A16)*($E$14:$E$71=1)*(I$14:I$71="N/A")*$F$14:$F$71)))</f>
        <v/>
      </c>
      <c r="K16" s="22">
        <f>IF(I16="SI",J16,0)</f>
        <v/>
      </c>
      <c r="L16" s="21" t="n"/>
      <c r="M16" s="22">
        <f>IF(OR($E16=0,L$78=0),0,IF(AND(L16="N/A",$G16&lt;&gt;""),0,$F16+SUMPRODUCT(($G$14:$G$71=$A16)*($E$14:$E$71=1)*(L$14:L$71="N/A")*$F$14:$F$71)))</f>
        <v/>
      </c>
      <c r="N16" s="22">
        <f>IF(L16="SI",M16,0)</f>
        <v/>
      </c>
      <c r="O16" s="21" t="n"/>
      <c r="P16" s="22">
        <f>IF(OR($E16=0,O$78=0),0,IF(AND(O16="N/A",$G16&lt;&gt;""),0,$F16+SUMPRODUCT(($G$14:$G$71=$A16)*($E$14:$E$71=1)*(O$14:O$71="N/A")*$F$14:$F$71)))</f>
        <v/>
      </c>
      <c r="Q16" s="22">
        <f>IF(O16="SI",P16,0)</f>
        <v/>
      </c>
      <c r="R16" s="21" t="n"/>
      <c r="S16" s="22">
        <f>IF(OR($E16=0,R$78=0),0,IF(AND(R16="N/A",$G16&lt;&gt;""),0,$F16+SUMPRODUCT(($G$14:$G$71=$A16)*($E$14:$E$71=1)*(R$14:R$71="N/A")*$F$14:$F$71)))</f>
        <v/>
      </c>
      <c r="T16" s="22">
        <f>IF(R16="SI",S16,0)</f>
        <v/>
      </c>
      <c r="U16" s="21" t="n"/>
      <c r="V16" s="22">
        <f>IF(OR($E16=0,U$78=0),0,IF(AND(U16="N/A",$G16&lt;&gt;""),0,$F16+SUMPRODUCT(($G$14:$G$71=$A16)*($E$14:$E$71=1)*(U$14:U$71="N/A")*$F$14:$F$71)))</f>
        <v/>
      </c>
      <c r="W16" s="22">
        <f>IF(U16="SI",V16,0)</f>
        <v/>
      </c>
      <c r="X16" s="21" t="n"/>
      <c r="Y16" s="22">
        <f>IF(OR($E16=0,X$78=0),0,IF(AND(X16="N/A",$G16&lt;&gt;""),0,$F16+SUMPRODUCT(($G$14:$G$71=$A16)*($E$14:$E$71=1)*(X$14:X$71="N/A")*$F$14:$F$71)))</f>
        <v/>
      </c>
      <c r="Z16" s="22">
        <f>IF(X16="SI",Y16,0)</f>
        <v/>
      </c>
      <c r="AA16" s="22">
        <f>SUM(J16,M16,P16,S16,V16,Y16)</f>
        <v/>
      </c>
      <c r="AB16" s="22">
        <f>SUM(K16,N16,Q16,T16,W16,Z16)</f>
        <v/>
      </c>
      <c r="AC16" s="23">
        <f>IF(AA16=0,"",AB16/AA16)</f>
        <v/>
      </c>
      <c r="AD16" s="22">
        <f>CRITERIOS!Q4</f>
        <v/>
      </c>
      <c r="AE16" s="22">
        <f>IF(AND(E16=1,H16&lt;&gt;"X",((I16="N/A")+(L16="N/A")+(O16="N/A")+(R16="N/A")+(U16="N/A")+(X16="N/A"))&gt;0),"REVISAR","")</f>
        <v/>
      </c>
    </row>
    <row r="17">
      <c r="A17" s="19">
        <f>CRITERIOS!B5</f>
        <v/>
      </c>
      <c r="B17" s="19">
        <f>CRITERIOS!C5</f>
        <v/>
      </c>
      <c r="C17" s="20">
        <f>CRITERIOS!D5</f>
        <v/>
      </c>
      <c r="D17" s="19">
        <f>CRITERIOS!E5</f>
        <v/>
      </c>
      <c r="E17" s="19">
        <f>IFERROR(IF(AND(OR(CRITERIOS!F5="Todos",CRITERIOS!F5=$B$4),INDEX(CRITERIOS!H5:J5,MATCH($B$5,VARIABLES!$E$2:$E$4,0))=1),1,0),0)</f>
        <v/>
      </c>
      <c r="F17" s="19">
        <f>IFERROR(IF(E17=1,INDEX(CRITERIOS!K5:M5,MATCH($B$5,VARIABLES!$E$2:$E$4,0)),0),0)</f>
        <v/>
      </c>
      <c r="G17" s="19">
        <f>IF(CRITERIOS!N5="","",CRITERIOS!N5)</f>
        <v/>
      </c>
      <c r="H17" s="19">
        <f>IF(CRITERIOS!O5="","",CRITERIOS!O5)</f>
        <v/>
      </c>
      <c r="I17" s="21" t="n"/>
      <c r="J17" s="22">
        <f>IF(OR($E17=0,I$78=0),0,IF(AND(I17="N/A",$G17&lt;&gt;""),0,$F17+SUMPRODUCT(($G$14:$G$71=$A17)*($E$14:$E$71=1)*(I$14:I$71="N/A")*$F$14:$F$71)))</f>
        <v/>
      </c>
      <c r="K17" s="22">
        <f>IF(I17="SI",J17,0)</f>
        <v/>
      </c>
      <c r="L17" s="21" t="n"/>
      <c r="M17" s="22">
        <f>IF(OR($E17=0,L$78=0),0,IF(AND(L17="N/A",$G17&lt;&gt;""),0,$F17+SUMPRODUCT(($G$14:$G$71=$A17)*($E$14:$E$71=1)*(L$14:L$71="N/A")*$F$14:$F$71)))</f>
        <v/>
      </c>
      <c r="N17" s="22">
        <f>IF(L17="SI",M17,0)</f>
        <v/>
      </c>
      <c r="O17" s="21" t="n"/>
      <c r="P17" s="22">
        <f>IF(OR($E17=0,O$78=0),0,IF(AND(O17="N/A",$G17&lt;&gt;""),0,$F17+SUMPRODUCT(($G$14:$G$71=$A17)*($E$14:$E$71=1)*(O$14:O$71="N/A")*$F$14:$F$71)))</f>
        <v/>
      </c>
      <c r="Q17" s="22">
        <f>IF(O17="SI",P17,0)</f>
        <v/>
      </c>
      <c r="R17" s="21" t="n"/>
      <c r="S17" s="22">
        <f>IF(OR($E17=0,R$78=0),0,IF(AND(R17="N/A",$G17&lt;&gt;""),0,$F17+SUMPRODUCT(($G$14:$G$71=$A17)*($E$14:$E$71=1)*(R$14:R$71="N/A")*$F$14:$F$71)))</f>
        <v/>
      </c>
      <c r="T17" s="22">
        <f>IF(R17="SI",S17,0)</f>
        <v/>
      </c>
      <c r="U17" s="21" t="n"/>
      <c r="V17" s="22">
        <f>IF(OR($E17=0,U$78=0),0,IF(AND(U17="N/A",$G17&lt;&gt;""),0,$F17+SUMPRODUCT(($G$14:$G$71=$A17)*($E$14:$E$71=1)*(U$14:U$71="N/A")*$F$14:$F$71)))</f>
        <v/>
      </c>
      <c r="W17" s="22">
        <f>IF(U17="SI",V17,0)</f>
        <v/>
      </c>
      <c r="X17" s="21" t="n"/>
      <c r="Y17" s="22">
        <f>IF(OR($E17=0,X$78=0),0,IF(AND(X17="N/A",$G17&lt;&gt;""),0,$F17+SUMPRODUCT(($G$14:$G$71=$A17)*($E$14:$E$71=1)*(X$14:X$71="N/A")*$F$14:$F$71)))</f>
        <v/>
      </c>
      <c r="Z17" s="22">
        <f>IF(X17="SI",Y17,0)</f>
        <v/>
      </c>
      <c r="AA17" s="22">
        <f>SUM(J17,M17,P17,S17,V17,Y17)</f>
        <v/>
      </c>
      <c r="AB17" s="22">
        <f>SUM(K17,N17,Q17,T17,W17,Z17)</f>
        <v/>
      </c>
      <c r="AC17" s="23">
        <f>IF(AA17=0,"",AB17/AA17)</f>
        <v/>
      </c>
      <c r="AD17" s="22">
        <f>CRITERIOS!Q5</f>
        <v/>
      </c>
      <c r="AE17" s="22">
        <f>IF(AND(E17=1,H17&lt;&gt;"X",((I17="N/A")+(L17="N/A")+(O17="N/A")+(R17="N/A")+(U17="N/A")+(X17="N/A"))&gt;0),"REVISAR","")</f>
        <v/>
      </c>
    </row>
    <row r="18">
      <c r="A18" s="19">
        <f>CRITERIOS!B6</f>
        <v/>
      </c>
      <c r="B18" s="19">
        <f>CRITERIOS!C6</f>
        <v/>
      </c>
      <c r="C18" s="20">
        <f>CRITERIOS!D6</f>
        <v/>
      </c>
      <c r="D18" s="19">
        <f>CRITERIOS!E6</f>
        <v/>
      </c>
      <c r="E18" s="19">
        <f>IFERROR(IF(AND(OR(CRITERIOS!F6="Todos",CRITERIOS!F6=$B$4),INDEX(CRITERIOS!H6:J6,MATCH($B$5,VARIABLES!$E$2:$E$4,0))=1),1,0),0)</f>
        <v/>
      </c>
      <c r="F18" s="19">
        <f>IFERROR(IF(E18=1,INDEX(CRITERIOS!K6:M6,MATCH($B$5,VARIABLES!$E$2:$E$4,0)),0),0)</f>
        <v/>
      </c>
      <c r="G18" s="19">
        <f>IF(CRITERIOS!N6="","",CRITERIOS!N6)</f>
        <v/>
      </c>
      <c r="H18" s="19">
        <f>IF(CRITERIOS!O6="","",CRITERIOS!O6)</f>
        <v/>
      </c>
      <c r="I18" s="21" t="n"/>
      <c r="J18" s="22">
        <f>IF(OR($E18=0,I$78=0),0,IF(AND(I18="N/A",$G18&lt;&gt;""),0,$F18+SUMPRODUCT(($G$14:$G$71=$A18)*($E$14:$E$71=1)*(I$14:I$71="N/A")*$F$14:$F$71)))</f>
        <v/>
      </c>
      <c r="K18" s="22">
        <f>IF(I18="SI",J18,0)</f>
        <v/>
      </c>
      <c r="L18" s="21" t="n"/>
      <c r="M18" s="22">
        <f>IF(OR($E18=0,L$78=0),0,IF(AND(L18="N/A",$G18&lt;&gt;""),0,$F18+SUMPRODUCT(($G$14:$G$71=$A18)*($E$14:$E$71=1)*(L$14:L$71="N/A")*$F$14:$F$71)))</f>
        <v/>
      </c>
      <c r="N18" s="22">
        <f>IF(L18="SI",M18,0)</f>
        <v/>
      </c>
      <c r="O18" s="21" t="n"/>
      <c r="P18" s="22">
        <f>IF(OR($E18=0,O$78=0),0,IF(AND(O18="N/A",$G18&lt;&gt;""),0,$F18+SUMPRODUCT(($G$14:$G$71=$A18)*($E$14:$E$71=1)*(O$14:O$71="N/A")*$F$14:$F$71)))</f>
        <v/>
      </c>
      <c r="Q18" s="22">
        <f>IF(O18="SI",P18,0)</f>
        <v/>
      </c>
      <c r="R18" s="21" t="n"/>
      <c r="S18" s="22">
        <f>IF(OR($E18=0,R$78=0),0,IF(AND(R18="N/A",$G18&lt;&gt;""),0,$F18+SUMPRODUCT(($G$14:$G$71=$A18)*($E$14:$E$71=1)*(R$14:R$71="N/A")*$F$14:$F$71)))</f>
        <v/>
      </c>
      <c r="T18" s="22">
        <f>IF(R18="SI",S18,0)</f>
        <v/>
      </c>
      <c r="U18" s="21" t="n"/>
      <c r="V18" s="22">
        <f>IF(OR($E18=0,U$78=0),0,IF(AND(U18="N/A",$G18&lt;&gt;""),0,$F18+SUMPRODUCT(($G$14:$G$71=$A18)*($E$14:$E$71=1)*(U$14:U$71="N/A")*$F$14:$F$71)))</f>
        <v/>
      </c>
      <c r="W18" s="22">
        <f>IF(U18="SI",V18,0)</f>
        <v/>
      </c>
      <c r="X18" s="21" t="n"/>
      <c r="Y18" s="22">
        <f>IF(OR($E18=0,X$78=0),0,IF(AND(X18="N/A",$G18&lt;&gt;""),0,$F18+SUMPRODUCT(($G$14:$G$71=$A18)*($E$14:$E$71=1)*(X$14:X$71="N/A")*$F$14:$F$71)))</f>
        <v/>
      </c>
      <c r="Z18" s="22">
        <f>IF(X18="SI",Y18,0)</f>
        <v/>
      </c>
      <c r="AA18" s="22">
        <f>SUM(J18,M18,P18,S18,V18,Y18)</f>
        <v/>
      </c>
      <c r="AB18" s="22">
        <f>SUM(K18,N18,Q18,T18,W18,Z18)</f>
        <v/>
      </c>
      <c r="AC18" s="23">
        <f>IF(AA18=0,"",AB18/AA18)</f>
        <v/>
      </c>
      <c r="AD18" s="22">
        <f>CRITERIOS!Q6</f>
        <v/>
      </c>
      <c r="AE18" s="22">
        <f>IF(AND(E18=1,H18&lt;&gt;"X",((I18="N/A")+(L18="N/A")+(O18="N/A")+(R18="N/A")+(U18="N/A")+(X18="N/A"))&gt;0),"REVISAR","")</f>
        <v/>
      </c>
    </row>
    <row r="19">
      <c r="A19" s="19">
        <f>CRITERIOS!B7</f>
        <v/>
      </c>
      <c r="B19" s="19">
        <f>CRITERIOS!C7</f>
        <v/>
      </c>
      <c r="C19" s="20">
        <f>CRITERIOS!D7</f>
        <v/>
      </c>
      <c r="D19" s="19">
        <f>CRITERIOS!E7</f>
        <v/>
      </c>
      <c r="E19" s="19">
        <f>IFERROR(IF(AND(OR(CRITERIOS!F7="Todos",CRITERIOS!F7=$B$4),INDEX(CRITERIOS!H7:J7,MATCH($B$5,VARIABLES!$E$2:$E$4,0))=1),1,0),0)</f>
        <v/>
      </c>
      <c r="F19" s="19">
        <f>IFERROR(IF(E19=1,INDEX(CRITERIOS!K7:M7,MATCH($B$5,VARIABLES!$E$2:$E$4,0)),0),0)</f>
        <v/>
      </c>
      <c r="G19" s="19">
        <f>IF(CRITERIOS!N7="","",CRITERIOS!N7)</f>
        <v/>
      </c>
      <c r="H19" s="19">
        <f>IF(CRITERIOS!O7="","",CRITERIOS!O7)</f>
        <v/>
      </c>
      <c r="I19" s="21" t="n"/>
      <c r="J19" s="22">
        <f>IF(OR($E19=0,I$78=0),0,IF(AND(I19="N/A",$G19&lt;&gt;""),0,$F19+SUMPRODUCT(($G$14:$G$71=$A19)*($E$14:$E$71=1)*(I$14:I$71="N/A")*$F$14:$F$71)))</f>
        <v/>
      </c>
      <c r="K19" s="22">
        <f>IF(I19="SI",J19,0)</f>
        <v/>
      </c>
      <c r="L19" s="21" t="n"/>
      <c r="M19" s="22">
        <f>IF(OR($E19=0,L$78=0),0,IF(AND(L19="N/A",$G19&lt;&gt;""),0,$F19+SUMPRODUCT(($G$14:$G$71=$A19)*($E$14:$E$71=1)*(L$14:L$71="N/A")*$F$14:$F$71)))</f>
        <v/>
      </c>
      <c r="N19" s="22">
        <f>IF(L19="SI",M19,0)</f>
        <v/>
      </c>
      <c r="O19" s="21" t="n"/>
      <c r="P19" s="22">
        <f>IF(OR($E19=0,O$78=0),0,IF(AND(O19="N/A",$G19&lt;&gt;""),0,$F19+SUMPRODUCT(($G$14:$G$71=$A19)*($E$14:$E$71=1)*(O$14:O$71="N/A")*$F$14:$F$71)))</f>
        <v/>
      </c>
      <c r="Q19" s="22">
        <f>IF(O19="SI",P19,0)</f>
        <v/>
      </c>
      <c r="R19" s="21" t="n"/>
      <c r="S19" s="22">
        <f>IF(OR($E19=0,R$78=0),0,IF(AND(R19="N/A",$G19&lt;&gt;""),0,$F19+SUMPRODUCT(($G$14:$G$71=$A19)*($E$14:$E$71=1)*(R$14:R$71="N/A")*$F$14:$F$71)))</f>
        <v/>
      </c>
      <c r="T19" s="22">
        <f>IF(R19="SI",S19,0)</f>
        <v/>
      </c>
      <c r="U19" s="21" t="n"/>
      <c r="V19" s="22">
        <f>IF(OR($E19=0,U$78=0),0,IF(AND(U19="N/A",$G19&lt;&gt;""),0,$F19+SUMPRODUCT(($G$14:$G$71=$A19)*($E$14:$E$71=1)*(U$14:U$71="N/A")*$F$14:$F$71)))</f>
        <v/>
      </c>
      <c r="W19" s="22">
        <f>IF(U19="SI",V19,0)</f>
        <v/>
      </c>
      <c r="X19" s="21" t="n"/>
      <c r="Y19" s="22">
        <f>IF(OR($E19=0,X$78=0),0,IF(AND(X19="N/A",$G19&lt;&gt;""),0,$F19+SUMPRODUCT(($G$14:$G$71=$A19)*($E$14:$E$71=1)*(X$14:X$71="N/A")*$F$14:$F$71)))</f>
        <v/>
      </c>
      <c r="Z19" s="22">
        <f>IF(X19="SI",Y19,0)</f>
        <v/>
      </c>
      <c r="AA19" s="22">
        <f>SUM(J19,M19,P19,S19,V19,Y19)</f>
        <v/>
      </c>
      <c r="AB19" s="22">
        <f>SUM(K19,N19,Q19,T19,W19,Z19)</f>
        <v/>
      </c>
      <c r="AC19" s="23">
        <f>IF(AA19=0,"",AB19/AA19)</f>
        <v/>
      </c>
      <c r="AD19" s="22">
        <f>CRITERIOS!Q7</f>
        <v/>
      </c>
      <c r="AE19" s="22">
        <f>IF(AND(E19=1,H19&lt;&gt;"X",((I19="N/A")+(L19="N/A")+(O19="N/A")+(R19="N/A")+(U19="N/A")+(X19="N/A"))&gt;0),"REVISAR","")</f>
        <v/>
      </c>
    </row>
    <row r="20">
      <c r="A20" s="19">
        <f>CRITERIOS!B8</f>
        <v/>
      </c>
      <c r="B20" s="19">
        <f>CRITERIOS!C8</f>
        <v/>
      </c>
      <c r="C20" s="20">
        <f>CRITERIOS!D8</f>
        <v/>
      </c>
      <c r="D20" s="19">
        <f>CRITERIOS!E8</f>
        <v/>
      </c>
      <c r="E20" s="19">
        <f>IFERROR(IF(AND(OR(CRITERIOS!F8="Todos",CRITERIOS!F8=$B$4),INDEX(CRITERIOS!H8:J8,MATCH($B$5,VARIABLES!$E$2:$E$4,0))=1),1,0),0)</f>
        <v/>
      </c>
      <c r="F20" s="19">
        <f>IFERROR(IF(E20=1,INDEX(CRITERIOS!K8:M8,MATCH($B$5,VARIABLES!$E$2:$E$4,0)),0),0)</f>
        <v/>
      </c>
      <c r="G20" s="19">
        <f>IF(CRITERIOS!N8="","",CRITERIOS!N8)</f>
        <v/>
      </c>
      <c r="H20" s="19">
        <f>IF(CRITERIOS!O8="","",CRITERIOS!O8)</f>
        <v/>
      </c>
      <c r="I20" s="21" t="n"/>
      <c r="J20" s="22">
        <f>IF(OR($E20=0,I$78=0),0,IF(AND(I20="N/A",$G20&lt;&gt;""),0,$F20+SUMPRODUCT(($G$14:$G$71=$A20)*($E$14:$E$71=1)*(I$14:I$71="N/A")*$F$14:$F$71)))</f>
        <v/>
      </c>
      <c r="K20" s="22">
        <f>IF(I20="SI",J20,0)</f>
        <v/>
      </c>
      <c r="L20" s="21" t="n"/>
      <c r="M20" s="22">
        <f>IF(OR($E20=0,L$78=0),0,IF(AND(L20="N/A",$G20&lt;&gt;""),0,$F20+SUMPRODUCT(($G$14:$G$71=$A20)*($E$14:$E$71=1)*(L$14:L$71="N/A")*$F$14:$F$71)))</f>
        <v/>
      </c>
      <c r="N20" s="22">
        <f>IF(L20="SI",M20,0)</f>
        <v/>
      </c>
      <c r="O20" s="21" t="n"/>
      <c r="P20" s="22">
        <f>IF(OR($E20=0,O$78=0),0,IF(AND(O20="N/A",$G20&lt;&gt;""),0,$F20+SUMPRODUCT(($G$14:$G$71=$A20)*($E$14:$E$71=1)*(O$14:O$71="N/A")*$F$14:$F$71)))</f>
        <v/>
      </c>
      <c r="Q20" s="22">
        <f>IF(O20="SI",P20,0)</f>
        <v/>
      </c>
      <c r="R20" s="21" t="n"/>
      <c r="S20" s="22">
        <f>IF(OR($E20=0,R$78=0),0,IF(AND(R20="N/A",$G20&lt;&gt;""),0,$F20+SUMPRODUCT(($G$14:$G$71=$A20)*($E$14:$E$71=1)*(R$14:R$71="N/A")*$F$14:$F$71)))</f>
        <v/>
      </c>
      <c r="T20" s="22">
        <f>IF(R20="SI",S20,0)</f>
        <v/>
      </c>
      <c r="U20" s="21" t="n"/>
      <c r="V20" s="22">
        <f>IF(OR($E20=0,U$78=0),0,IF(AND(U20="N/A",$G20&lt;&gt;""),0,$F20+SUMPRODUCT(($G$14:$G$71=$A20)*($E$14:$E$71=1)*(U$14:U$71="N/A")*$F$14:$F$71)))</f>
        <v/>
      </c>
      <c r="W20" s="22">
        <f>IF(U20="SI",V20,0)</f>
        <v/>
      </c>
      <c r="X20" s="21" t="n"/>
      <c r="Y20" s="22">
        <f>IF(OR($E20=0,X$78=0),0,IF(AND(X20="N/A",$G20&lt;&gt;""),0,$F20+SUMPRODUCT(($G$14:$G$71=$A20)*($E$14:$E$71=1)*(X$14:X$71="N/A")*$F$14:$F$71)))</f>
        <v/>
      </c>
      <c r="Z20" s="22">
        <f>IF(X20="SI",Y20,0)</f>
        <v/>
      </c>
      <c r="AA20" s="22">
        <f>SUM(J20,M20,P20,S20,V20,Y20)</f>
        <v/>
      </c>
      <c r="AB20" s="22">
        <f>SUM(K20,N20,Q20,T20,W20,Z20)</f>
        <v/>
      </c>
      <c r="AC20" s="23">
        <f>IF(AA20=0,"",AB20/AA20)</f>
        <v/>
      </c>
      <c r="AD20" s="22">
        <f>CRITERIOS!Q8</f>
        <v/>
      </c>
      <c r="AE20" s="22">
        <f>IF(AND(E20=1,H20&lt;&gt;"X",((I20="N/A")+(L20="N/A")+(O20="N/A")+(R20="N/A")+(U20="N/A")+(X20="N/A"))&gt;0),"REVISAR","")</f>
        <v/>
      </c>
    </row>
    <row r="21">
      <c r="A21" s="19">
        <f>CRITERIOS!B9</f>
        <v/>
      </c>
      <c r="B21" s="19">
        <f>CRITERIOS!C9</f>
        <v/>
      </c>
      <c r="C21" s="20">
        <f>CRITERIOS!D9</f>
        <v/>
      </c>
      <c r="D21" s="19">
        <f>CRITERIOS!E9</f>
        <v/>
      </c>
      <c r="E21" s="19">
        <f>IFERROR(IF(AND(OR(CRITERIOS!F9="Todos",CRITERIOS!F9=$B$4),INDEX(CRITERIOS!H9:J9,MATCH($B$5,VARIABLES!$E$2:$E$4,0))=1),1,0),0)</f>
        <v/>
      </c>
      <c r="F21" s="19">
        <f>IFERROR(IF(E21=1,INDEX(CRITERIOS!K9:M9,MATCH($B$5,VARIABLES!$E$2:$E$4,0)),0),0)</f>
        <v/>
      </c>
      <c r="G21" s="19">
        <f>IF(CRITERIOS!N9="","",CRITERIOS!N9)</f>
        <v/>
      </c>
      <c r="H21" s="19">
        <f>IF(CRITERIOS!O9="","",CRITERIOS!O9)</f>
        <v/>
      </c>
      <c r="I21" s="21" t="n"/>
      <c r="J21" s="22">
        <f>IF(OR($E21=0,I$78=0),0,IF(AND(I21="N/A",$G21&lt;&gt;""),0,$F21+SUMPRODUCT(($G$14:$G$71=$A21)*($E$14:$E$71=1)*(I$14:I$71="N/A")*$F$14:$F$71)))</f>
        <v/>
      </c>
      <c r="K21" s="22">
        <f>IF(I21="SI",J21,0)</f>
        <v/>
      </c>
      <c r="L21" s="21" t="n"/>
      <c r="M21" s="22">
        <f>IF(OR($E21=0,L$78=0),0,IF(AND(L21="N/A",$G21&lt;&gt;""),0,$F21+SUMPRODUCT(($G$14:$G$71=$A21)*($E$14:$E$71=1)*(L$14:L$71="N/A")*$F$14:$F$71)))</f>
        <v/>
      </c>
      <c r="N21" s="22">
        <f>IF(L21="SI",M21,0)</f>
        <v/>
      </c>
      <c r="O21" s="21" t="n"/>
      <c r="P21" s="22">
        <f>IF(OR($E21=0,O$78=0),0,IF(AND(O21="N/A",$G21&lt;&gt;""),0,$F21+SUMPRODUCT(($G$14:$G$71=$A21)*($E$14:$E$71=1)*(O$14:O$71="N/A")*$F$14:$F$71)))</f>
        <v/>
      </c>
      <c r="Q21" s="22">
        <f>IF(O21="SI",P21,0)</f>
        <v/>
      </c>
      <c r="R21" s="21" t="n"/>
      <c r="S21" s="22">
        <f>IF(OR($E21=0,R$78=0),0,IF(AND(R21="N/A",$G21&lt;&gt;""),0,$F21+SUMPRODUCT(($G$14:$G$71=$A21)*($E$14:$E$71=1)*(R$14:R$71="N/A")*$F$14:$F$71)))</f>
        <v/>
      </c>
      <c r="T21" s="22">
        <f>IF(R21="SI",S21,0)</f>
        <v/>
      </c>
      <c r="U21" s="21" t="n"/>
      <c r="V21" s="22">
        <f>IF(OR($E21=0,U$78=0),0,IF(AND(U21="N/A",$G21&lt;&gt;""),0,$F21+SUMPRODUCT(($G$14:$G$71=$A21)*($E$14:$E$71=1)*(U$14:U$71="N/A")*$F$14:$F$71)))</f>
        <v/>
      </c>
      <c r="W21" s="22">
        <f>IF(U21="SI",V21,0)</f>
        <v/>
      </c>
      <c r="X21" s="21" t="n"/>
      <c r="Y21" s="22">
        <f>IF(OR($E21=0,X$78=0),0,IF(AND(X21="N/A",$G21&lt;&gt;""),0,$F21+SUMPRODUCT(($G$14:$G$71=$A21)*($E$14:$E$71=1)*(X$14:X$71="N/A")*$F$14:$F$71)))</f>
        <v/>
      </c>
      <c r="Z21" s="22">
        <f>IF(X21="SI",Y21,0)</f>
        <v/>
      </c>
      <c r="AA21" s="22">
        <f>SUM(J21,M21,P21,S21,V21,Y21)</f>
        <v/>
      </c>
      <c r="AB21" s="22">
        <f>SUM(K21,N21,Q21,T21,W21,Z21)</f>
        <v/>
      </c>
      <c r="AC21" s="23">
        <f>IF(AA21=0,"",AB21/AA21)</f>
        <v/>
      </c>
      <c r="AD21" s="22">
        <f>CRITERIOS!Q9</f>
        <v/>
      </c>
      <c r="AE21" s="22">
        <f>IF(AND(E21=1,H21&lt;&gt;"X",((I21="N/A")+(L21="N/A")+(O21="N/A")+(R21="N/A")+(U21="N/A")+(X21="N/A"))&gt;0),"REVISAR","")</f>
        <v/>
      </c>
    </row>
    <row r="22">
      <c r="A22" s="19">
        <f>CRITERIOS!B10</f>
        <v/>
      </c>
      <c r="B22" s="19">
        <f>CRITERIOS!C10</f>
        <v/>
      </c>
      <c r="C22" s="20">
        <f>CRITERIOS!D10</f>
        <v/>
      </c>
      <c r="D22" s="19">
        <f>CRITERIOS!E10</f>
        <v/>
      </c>
      <c r="E22" s="19">
        <f>IFERROR(IF(AND(OR(CRITERIOS!F10="Todos",CRITERIOS!F10=$B$4),INDEX(CRITERIOS!H10:J10,MATCH($B$5,VARIABLES!$E$2:$E$4,0))=1),1,0),0)</f>
        <v/>
      </c>
      <c r="F22" s="19">
        <f>IFERROR(IF(E22=1,INDEX(CRITERIOS!K10:M10,MATCH($B$5,VARIABLES!$E$2:$E$4,0)),0),0)</f>
        <v/>
      </c>
      <c r="G22" s="19">
        <f>IF(CRITERIOS!N10="","",CRITERIOS!N10)</f>
        <v/>
      </c>
      <c r="H22" s="19">
        <f>IF(CRITERIOS!O10="","",CRITERIOS!O10)</f>
        <v/>
      </c>
      <c r="I22" s="21" t="n"/>
      <c r="J22" s="22">
        <f>IF(OR($E22=0,I$78=0),0,IF(AND(I22="N/A",$G22&lt;&gt;""),0,$F22+SUMPRODUCT(($G$14:$G$71=$A22)*($E$14:$E$71=1)*(I$14:I$71="N/A")*$F$14:$F$71)))</f>
        <v/>
      </c>
      <c r="K22" s="22">
        <f>IF(I22="SI",J22,0)</f>
        <v/>
      </c>
      <c r="L22" s="21" t="n"/>
      <c r="M22" s="22">
        <f>IF(OR($E22=0,L$78=0),0,IF(AND(L22="N/A",$G22&lt;&gt;""),0,$F22+SUMPRODUCT(($G$14:$G$71=$A22)*($E$14:$E$71=1)*(L$14:L$71="N/A")*$F$14:$F$71)))</f>
        <v/>
      </c>
      <c r="N22" s="22">
        <f>IF(L22="SI",M22,0)</f>
        <v/>
      </c>
      <c r="O22" s="21" t="n"/>
      <c r="P22" s="22">
        <f>IF(OR($E22=0,O$78=0),0,IF(AND(O22="N/A",$G22&lt;&gt;""),0,$F22+SUMPRODUCT(($G$14:$G$71=$A22)*($E$14:$E$71=1)*(O$14:O$71="N/A")*$F$14:$F$71)))</f>
        <v/>
      </c>
      <c r="Q22" s="22">
        <f>IF(O22="SI",P22,0)</f>
        <v/>
      </c>
      <c r="R22" s="21" t="n"/>
      <c r="S22" s="22">
        <f>IF(OR($E22=0,R$78=0),0,IF(AND(R22="N/A",$G22&lt;&gt;""),0,$F22+SUMPRODUCT(($G$14:$G$71=$A22)*($E$14:$E$71=1)*(R$14:R$71="N/A")*$F$14:$F$71)))</f>
        <v/>
      </c>
      <c r="T22" s="22">
        <f>IF(R22="SI",S22,0)</f>
        <v/>
      </c>
      <c r="U22" s="21" t="n"/>
      <c r="V22" s="22">
        <f>IF(OR($E22=0,U$78=0),0,IF(AND(U22="N/A",$G22&lt;&gt;""),0,$F22+SUMPRODUCT(($G$14:$G$71=$A22)*($E$14:$E$71=1)*(U$14:U$71="N/A")*$F$14:$F$71)))</f>
        <v/>
      </c>
      <c r="W22" s="22">
        <f>IF(U22="SI",V22,0)</f>
        <v/>
      </c>
      <c r="X22" s="21" t="n"/>
      <c r="Y22" s="22">
        <f>IF(OR($E22=0,X$78=0),0,IF(AND(X22="N/A",$G22&lt;&gt;""),0,$F22+SUMPRODUCT(($G$14:$G$71=$A22)*($E$14:$E$71=1)*(X$14:X$71="N/A")*$F$14:$F$71)))</f>
        <v/>
      </c>
      <c r="Z22" s="22">
        <f>IF(X22="SI",Y22,0)</f>
        <v/>
      </c>
      <c r="AA22" s="22">
        <f>SUM(J22,M22,P22,S22,V22,Y22)</f>
        <v/>
      </c>
      <c r="AB22" s="22">
        <f>SUM(K22,N22,Q22,T22,W22,Z22)</f>
        <v/>
      </c>
      <c r="AC22" s="23">
        <f>IF(AA22=0,"",AB22/AA22)</f>
        <v/>
      </c>
      <c r="AD22" s="22">
        <f>CRITERIOS!Q10</f>
        <v/>
      </c>
      <c r="AE22" s="22">
        <f>IF(AND(E22=1,H22&lt;&gt;"X",((I22="N/A")+(L22="N/A")+(O22="N/A")+(R22="N/A")+(U22="N/A")+(X22="N/A"))&gt;0),"REVISAR","")</f>
        <v/>
      </c>
    </row>
    <row r="23">
      <c r="A23" s="19">
        <f>CRITERIOS!B11</f>
        <v/>
      </c>
      <c r="B23" s="19">
        <f>CRITERIOS!C11</f>
        <v/>
      </c>
      <c r="C23" s="20">
        <f>CRITERIOS!D11</f>
        <v/>
      </c>
      <c r="D23" s="19">
        <f>CRITERIOS!E11</f>
        <v/>
      </c>
      <c r="E23" s="19">
        <f>IFERROR(IF(AND(OR(CRITERIOS!F11="Todos",CRITERIOS!F11=$B$4),INDEX(CRITERIOS!H11:J11,MATCH($B$5,VARIABLES!$E$2:$E$4,0))=1),1,0),0)</f>
        <v/>
      </c>
      <c r="F23" s="19">
        <f>IFERROR(IF(E23=1,INDEX(CRITERIOS!K11:M11,MATCH($B$5,VARIABLES!$E$2:$E$4,0)),0),0)</f>
        <v/>
      </c>
      <c r="G23" s="19">
        <f>IF(CRITERIOS!N11="","",CRITERIOS!N11)</f>
        <v/>
      </c>
      <c r="H23" s="19">
        <f>IF(CRITERIOS!O11="","",CRITERIOS!O11)</f>
        <v/>
      </c>
      <c r="I23" s="21" t="n"/>
      <c r="J23" s="22">
        <f>IF(OR($E23=0,I$78=0),0,IF(AND(I23="N/A",$G23&lt;&gt;""),0,$F23+SUMPRODUCT(($G$14:$G$71=$A23)*($E$14:$E$71=1)*(I$14:I$71="N/A")*$F$14:$F$71)))</f>
        <v/>
      </c>
      <c r="K23" s="22">
        <f>IF(I23="SI",J23,0)</f>
        <v/>
      </c>
      <c r="L23" s="21" t="n"/>
      <c r="M23" s="22">
        <f>IF(OR($E23=0,L$78=0),0,IF(AND(L23="N/A",$G23&lt;&gt;""),0,$F23+SUMPRODUCT(($G$14:$G$71=$A23)*($E$14:$E$71=1)*(L$14:L$71="N/A")*$F$14:$F$71)))</f>
        <v/>
      </c>
      <c r="N23" s="22">
        <f>IF(L23="SI",M23,0)</f>
        <v/>
      </c>
      <c r="O23" s="21" t="n"/>
      <c r="P23" s="22">
        <f>IF(OR($E23=0,O$78=0),0,IF(AND(O23="N/A",$G23&lt;&gt;""),0,$F23+SUMPRODUCT(($G$14:$G$71=$A23)*($E$14:$E$71=1)*(O$14:O$71="N/A")*$F$14:$F$71)))</f>
        <v/>
      </c>
      <c r="Q23" s="22">
        <f>IF(O23="SI",P23,0)</f>
        <v/>
      </c>
      <c r="R23" s="21" t="n"/>
      <c r="S23" s="22">
        <f>IF(OR($E23=0,R$78=0),0,IF(AND(R23="N/A",$G23&lt;&gt;""),0,$F23+SUMPRODUCT(($G$14:$G$71=$A23)*($E$14:$E$71=1)*(R$14:R$71="N/A")*$F$14:$F$71)))</f>
        <v/>
      </c>
      <c r="T23" s="22">
        <f>IF(R23="SI",S23,0)</f>
        <v/>
      </c>
      <c r="U23" s="21" t="n"/>
      <c r="V23" s="22">
        <f>IF(OR($E23=0,U$78=0),0,IF(AND(U23="N/A",$G23&lt;&gt;""),0,$F23+SUMPRODUCT(($G$14:$G$71=$A23)*($E$14:$E$71=1)*(U$14:U$71="N/A")*$F$14:$F$71)))</f>
        <v/>
      </c>
      <c r="W23" s="22">
        <f>IF(U23="SI",V23,0)</f>
        <v/>
      </c>
      <c r="X23" s="21" t="n"/>
      <c r="Y23" s="22">
        <f>IF(OR($E23=0,X$78=0),0,IF(AND(X23="N/A",$G23&lt;&gt;""),0,$F23+SUMPRODUCT(($G$14:$G$71=$A23)*($E$14:$E$71=1)*(X$14:X$71="N/A")*$F$14:$F$71)))</f>
        <v/>
      </c>
      <c r="Z23" s="22">
        <f>IF(X23="SI",Y23,0)</f>
        <v/>
      </c>
      <c r="AA23" s="22">
        <f>SUM(J23,M23,P23,S23,V23,Y23)</f>
        <v/>
      </c>
      <c r="AB23" s="22">
        <f>SUM(K23,N23,Q23,T23,W23,Z23)</f>
        <v/>
      </c>
      <c r="AC23" s="23">
        <f>IF(AA23=0,"",AB23/AA23)</f>
        <v/>
      </c>
      <c r="AD23" s="22">
        <f>CRITERIOS!Q11</f>
        <v/>
      </c>
      <c r="AE23" s="22">
        <f>IF(AND(E23=1,H23&lt;&gt;"X",((I23="N/A")+(L23="N/A")+(O23="N/A")+(R23="N/A")+(U23="N/A")+(X23="N/A"))&gt;0),"REVISAR","")</f>
        <v/>
      </c>
    </row>
    <row r="24">
      <c r="A24" s="19">
        <f>CRITERIOS!B12</f>
        <v/>
      </c>
      <c r="B24" s="19">
        <f>CRITERIOS!C12</f>
        <v/>
      </c>
      <c r="C24" s="20">
        <f>CRITERIOS!D12</f>
        <v/>
      </c>
      <c r="D24" s="19">
        <f>CRITERIOS!E12</f>
        <v/>
      </c>
      <c r="E24" s="19">
        <f>IFERROR(IF(AND(OR(CRITERIOS!F12="Todos",CRITERIOS!F12=$B$4),INDEX(CRITERIOS!H12:J12,MATCH($B$5,VARIABLES!$E$2:$E$4,0))=1),1,0),0)</f>
        <v/>
      </c>
      <c r="F24" s="19">
        <f>IFERROR(IF(E24=1,INDEX(CRITERIOS!K12:M12,MATCH($B$5,VARIABLES!$E$2:$E$4,0)),0),0)</f>
        <v/>
      </c>
      <c r="G24" s="19">
        <f>IF(CRITERIOS!N12="","",CRITERIOS!N12)</f>
        <v/>
      </c>
      <c r="H24" s="19">
        <f>IF(CRITERIOS!O12="","",CRITERIOS!O12)</f>
        <v/>
      </c>
      <c r="I24" s="21" t="n"/>
      <c r="J24" s="22">
        <f>IF(OR($E24=0,I$78=0),0,IF(AND(I24="N/A",$G24&lt;&gt;""),0,$F24+SUMPRODUCT(($G$14:$G$71=$A24)*($E$14:$E$71=1)*(I$14:I$71="N/A")*$F$14:$F$71)))</f>
        <v/>
      </c>
      <c r="K24" s="22">
        <f>IF(I24="SI",J24,0)</f>
        <v/>
      </c>
      <c r="L24" s="21" t="n"/>
      <c r="M24" s="22">
        <f>IF(OR($E24=0,L$78=0),0,IF(AND(L24="N/A",$G24&lt;&gt;""),0,$F24+SUMPRODUCT(($G$14:$G$71=$A24)*($E$14:$E$71=1)*(L$14:L$71="N/A")*$F$14:$F$71)))</f>
        <v/>
      </c>
      <c r="N24" s="22">
        <f>IF(L24="SI",M24,0)</f>
        <v/>
      </c>
      <c r="O24" s="21" t="n"/>
      <c r="P24" s="22">
        <f>IF(OR($E24=0,O$78=0),0,IF(AND(O24="N/A",$G24&lt;&gt;""),0,$F24+SUMPRODUCT(($G$14:$G$71=$A24)*($E$14:$E$71=1)*(O$14:O$71="N/A")*$F$14:$F$71)))</f>
        <v/>
      </c>
      <c r="Q24" s="22">
        <f>IF(O24="SI",P24,0)</f>
        <v/>
      </c>
      <c r="R24" s="21" t="n"/>
      <c r="S24" s="22">
        <f>IF(OR($E24=0,R$78=0),0,IF(AND(R24="N/A",$G24&lt;&gt;""),0,$F24+SUMPRODUCT(($G$14:$G$71=$A24)*($E$14:$E$71=1)*(R$14:R$71="N/A")*$F$14:$F$71)))</f>
        <v/>
      </c>
      <c r="T24" s="22">
        <f>IF(R24="SI",S24,0)</f>
        <v/>
      </c>
      <c r="U24" s="21" t="n"/>
      <c r="V24" s="22">
        <f>IF(OR($E24=0,U$78=0),0,IF(AND(U24="N/A",$G24&lt;&gt;""),0,$F24+SUMPRODUCT(($G$14:$G$71=$A24)*($E$14:$E$71=1)*(U$14:U$71="N/A")*$F$14:$F$71)))</f>
        <v/>
      </c>
      <c r="W24" s="22">
        <f>IF(U24="SI",V24,0)</f>
        <v/>
      </c>
      <c r="X24" s="21" t="n"/>
      <c r="Y24" s="22">
        <f>IF(OR($E24=0,X$78=0),0,IF(AND(X24="N/A",$G24&lt;&gt;""),0,$F24+SUMPRODUCT(($G$14:$G$71=$A24)*($E$14:$E$71=1)*(X$14:X$71="N/A")*$F$14:$F$71)))</f>
        <v/>
      </c>
      <c r="Z24" s="22">
        <f>IF(X24="SI",Y24,0)</f>
        <v/>
      </c>
      <c r="AA24" s="22">
        <f>SUM(J24,M24,P24,S24,V24,Y24)</f>
        <v/>
      </c>
      <c r="AB24" s="22">
        <f>SUM(K24,N24,Q24,T24,W24,Z24)</f>
        <v/>
      </c>
      <c r="AC24" s="23">
        <f>IF(AA24=0,"",AB24/AA24)</f>
        <v/>
      </c>
      <c r="AD24" s="22">
        <f>CRITERIOS!Q12</f>
        <v/>
      </c>
      <c r="AE24" s="22">
        <f>IF(AND(E24=1,H24&lt;&gt;"X",((I24="N/A")+(L24="N/A")+(O24="N/A")+(R24="N/A")+(U24="N/A")+(X24="N/A"))&gt;0),"REVISAR","")</f>
        <v/>
      </c>
    </row>
    <row r="25">
      <c r="A25" s="19">
        <f>CRITERIOS!B13</f>
        <v/>
      </c>
      <c r="B25" s="19">
        <f>CRITERIOS!C13</f>
        <v/>
      </c>
      <c r="C25" s="20">
        <f>CRITERIOS!D13</f>
        <v/>
      </c>
      <c r="D25" s="19">
        <f>CRITERIOS!E13</f>
        <v/>
      </c>
      <c r="E25" s="19">
        <f>IFERROR(IF(AND(OR(CRITERIOS!F13="Todos",CRITERIOS!F13=$B$4),INDEX(CRITERIOS!H13:J13,MATCH($B$5,VARIABLES!$E$2:$E$4,0))=1),1,0),0)</f>
        <v/>
      </c>
      <c r="F25" s="19">
        <f>IFERROR(IF(E25=1,INDEX(CRITERIOS!K13:M13,MATCH($B$5,VARIABLES!$E$2:$E$4,0)),0),0)</f>
        <v/>
      </c>
      <c r="G25" s="19">
        <f>IF(CRITERIOS!N13="","",CRITERIOS!N13)</f>
        <v/>
      </c>
      <c r="H25" s="19">
        <f>IF(CRITERIOS!O13="","",CRITERIOS!O13)</f>
        <v/>
      </c>
      <c r="I25" s="21" t="n"/>
      <c r="J25" s="22">
        <f>IF(OR($E25=0,I$78=0),0,IF(AND(I25="N/A",$G25&lt;&gt;""),0,$F25+SUMPRODUCT(($G$14:$G$71=$A25)*($E$14:$E$71=1)*(I$14:I$71="N/A")*$F$14:$F$71)))</f>
        <v/>
      </c>
      <c r="K25" s="22">
        <f>IF(I25="SI",J25,0)</f>
        <v/>
      </c>
      <c r="L25" s="21" t="n"/>
      <c r="M25" s="22">
        <f>IF(OR($E25=0,L$78=0),0,IF(AND(L25="N/A",$G25&lt;&gt;""),0,$F25+SUMPRODUCT(($G$14:$G$71=$A25)*($E$14:$E$71=1)*(L$14:L$71="N/A")*$F$14:$F$71)))</f>
        <v/>
      </c>
      <c r="N25" s="22">
        <f>IF(L25="SI",M25,0)</f>
        <v/>
      </c>
      <c r="O25" s="21" t="n"/>
      <c r="P25" s="22">
        <f>IF(OR($E25=0,O$78=0),0,IF(AND(O25="N/A",$G25&lt;&gt;""),0,$F25+SUMPRODUCT(($G$14:$G$71=$A25)*($E$14:$E$71=1)*(O$14:O$71="N/A")*$F$14:$F$71)))</f>
        <v/>
      </c>
      <c r="Q25" s="22">
        <f>IF(O25="SI",P25,0)</f>
        <v/>
      </c>
      <c r="R25" s="21" t="n"/>
      <c r="S25" s="22">
        <f>IF(OR($E25=0,R$78=0),0,IF(AND(R25="N/A",$G25&lt;&gt;""),0,$F25+SUMPRODUCT(($G$14:$G$71=$A25)*($E$14:$E$71=1)*(R$14:R$71="N/A")*$F$14:$F$71)))</f>
        <v/>
      </c>
      <c r="T25" s="22">
        <f>IF(R25="SI",S25,0)</f>
        <v/>
      </c>
      <c r="U25" s="21" t="n"/>
      <c r="V25" s="22">
        <f>IF(OR($E25=0,U$78=0),0,IF(AND(U25="N/A",$G25&lt;&gt;""),0,$F25+SUMPRODUCT(($G$14:$G$71=$A25)*($E$14:$E$71=1)*(U$14:U$71="N/A")*$F$14:$F$71)))</f>
        <v/>
      </c>
      <c r="W25" s="22">
        <f>IF(U25="SI",V25,0)</f>
        <v/>
      </c>
      <c r="X25" s="21" t="n"/>
      <c r="Y25" s="22">
        <f>IF(OR($E25=0,X$78=0),0,IF(AND(X25="N/A",$G25&lt;&gt;""),0,$F25+SUMPRODUCT(($G$14:$G$71=$A25)*($E$14:$E$71=1)*(X$14:X$71="N/A")*$F$14:$F$71)))</f>
        <v/>
      </c>
      <c r="Z25" s="22">
        <f>IF(X25="SI",Y25,0)</f>
        <v/>
      </c>
      <c r="AA25" s="22">
        <f>SUM(J25,M25,P25,S25,V25,Y25)</f>
        <v/>
      </c>
      <c r="AB25" s="22">
        <f>SUM(K25,N25,Q25,T25,W25,Z25)</f>
        <v/>
      </c>
      <c r="AC25" s="23">
        <f>IF(AA25=0,"",AB25/AA25)</f>
        <v/>
      </c>
      <c r="AD25" s="22">
        <f>CRITERIOS!Q13</f>
        <v/>
      </c>
      <c r="AE25" s="22">
        <f>IF(AND(E25=1,H25&lt;&gt;"X",((I25="N/A")+(L25="N/A")+(O25="N/A")+(R25="N/A")+(U25="N/A")+(X25="N/A"))&gt;0),"REVISAR","")</f>
        <v/>
      </c>
    </row>
    <row r="26">
      <c r="A26" s="19">
        <f>CRITERIOS!B14</f>
        <v/>
      </c>
      <c r="B26" s="19">
        <f>CRITERIOS!C14</f>
        <v/>
      </c>
      <c r="C26" s="20">
        <f>CRITERIOS!D14</f>
        <v/>
      </c>
      <c r="D26" s="19">
        <f>CRITERIOS!E14</f>
        <v/>
      </c>
      <c r="E26" s="19">
        <f>IFERROR(IF(AND(OR(CRITERIOS!F14="Todos",CRITERIOS!F14=$B$4),INDEX(CRITERIOS!H14:J14,MATCH($B$5,VARIABLES!$E$2:$E$4,0))=1),1,0),0)</f>
        <v/>
      </c>
      <c r="F26" s="19">
        <f>IFERROR(IF(E26=1,INDEX(CRITERIOS!K14:M14,MATCH($B$5,VARIABLES!$E$2:$E$4,0)),0),0)</f>
        <v/>
      </c>
      <c r="G26" s="19">
        <f>IF(CRITERIOS!N14="","",CRITERIOS!N14)</f>
        <v/>
      </c>
      <c r="H26" s="19">
        <f>IF(CRITERIOS!O14="","",CRITERIOS!O14)</f>
        <v/>
      </c>
      <c r="I26" s="21" t="n"/>
      <c r="J26" s="22">
        <f>IF(OR($E26=0,I$78=0),0,IF(AND(I26="N/A",$G26&lt;&gt;""),0,$F26+SUMPRODUCT(($G$14:$G$71=$A26)*($E$14:$E$71=1)*(I$14:I$71="N/A")*$F$14:$F$71)))</f>
        <v/>
      </c>
      <c r="K26" s="22">
        <f>IF(I26="SI",J26,0)</f>
        <v/>
      </c>
      <c r="L26" s="21" t="n"/>
      <c r="M26" s="22">
        <f>IF(OR($E26=0,L$78=0),0,IF(AND(L26="N/A",$G26&lt;&gt;""),0,$F26+SUMPRODUCT(($G$14:$G$71=$A26)*($E$14:$E$71=1)*(L$14:L$71="N/A")*$F$14:$F$71)))</f>
        <v/>
      </c>
      <c r="N26" s="22">
        <f>IF(L26="SI",M26,0)</f>
        <v/>
      </c>
      <c r="O26" s="21" t="n"/>
      <c r="P26" s="22">
        <f>IF(OR($E26=0,O$78=0),0,IF(AND(O26="N/A",$G26&lt;&gt;""),0,$F26+SUMPRODUCT(($G$14:$G$71=$A26)*($E$14:$E$71=1)*(O$14:O$71="N/A")*$F$14:$F$71)))</f>
        <v/>
      </c>
      <c r="Q26" s="22">
        <f>IF(O26="SI",P26,0)</f>
        <v/>
      </c>
      <c r="R26" s="21" t="n"/>
      <c r="S26" s="22">
        <f>IF(OR($E26=0,R$78=0),0,IF(AND(R26="N/A",$G26&lt;&gt;""),0,$F26+SUMPRODUCT(($G$14:$G$71=$A26)*($E$14:$E$71=1)*(R$14:R$71="N/A")*$F$14:$F$71)))</f>
        <v/>
      </c>
      <c r="T26" s="22">
        <f>IF(R26="SI",S26,0)</f>
        <v/>
      </c>
      <c r="U26" s="21" t="n"/>
      <c r="V26" s="22">
        <f>IF(OR($E26=0,U$78=0),0,IF(AND(U26="N/A",$G26&lt;&gt;""),0,$F26+SUMPRODUCT(($G$14:$G$71=$A26)*($E$14:$E$71=1)*(U$14:U$71="N/A")*$F$14:$F$71)))</f>
        <v/>
      </c>
      <c r="W26" s="22">
        <f>IF(U26="SI",V26,0)</f>
        <v/>
      </c>
      <c r="X26" s="21" t="n"/>
      <c r="Y26" s="22">
        <f>IF(OR($E26=0,X$78=0),0,IF(AND(X26="N/A",$G26&lt;&gt;""),0,$F26+SUMPRODUCT(($G$14:$G$71=$A26)*($E$14:$E$71=1)*(X$14:X$71="N/A")*$F$14:$F$71)))</f>
        <v/>
      </c>
      <c r="Z26" s="22">
        <f>IF(X26="SI",Y26,0)</f>
        <v/>
      </c>
      <c r="AA26" s="22">
        <f>SUM(J26,M26,P26,S26,V26,Y26)</f>
        <v/>
      </c>
      <c r="AB26" s="22">
        <f>SUM(K26,N26,Q26,T26,W26,Z26)</f>
        <v/>
      </c>
      <c r="AC26" s="23">
        <f>IF(AA26=0,"",AB26/AA26)</f>
        <v/>
      </c>
      <c r="AD26" s="22">
        <f>CRITERIOS!Q14</f>
        <v/>
      </c>
      <c r="AE26" s="22">
        <f>IF(AND(E26=1,H26&lt;&gt;"X",((I26="N/A")+(L26="N/A")+(O26="N/A")+(R26="N/A")+(U26="N/A")+(X26="N/A"))&gt;0),"REVISAR","")</f>
        <v/>
      </c>
    </row>
    <row r="27">
      <c r="A27" s="19">
        <f>CRITERIOS!B15</f>
        <v/>
      </c>
      <c r="B27" s="19">
        <f>CRITERIOS!C15</f>
        <v/>
      </c>
      <c r="C27" s="20">
        <f>CRITERIOS!D15</f>
        <v/>
      </c>
      <c r="D27" s="19">
        <f>CRITERIOS!E15</f>
        <v/>
      </c>
      <c r="E27" s="19">
        <f>IFERROR(IF(AND(OR(CRITERIOS!F15="Todos",CRITERIOS!F15=$B$4),INDEX(CRITERIOS!H15:J15,MATCH($B$5,VARIABLES!$E$2:$E$4,0))=1),1,0),0)</f>
        <v/>
      </c>
      <c r="F27" s="19">
        <f>IFERROR(IF(E27=1,INDEX(CRITERIOS!K15:M15,MATCH($B$5,VARIABLES!$E$2:$E$4,0)),0),0)</f>
        <v/>
      </c>
      <c r="G27" s="19">
        <f>IF(CRITERIOS!N15="","",CRITERIOS!N15)</f>
        <v/>
      </c>
      <c r="H27" s="19">
        <f>IF(CRITERIOS!O15="","",CRITERIOS!O15)</f>
        <v/>
      </c>
      <c r="I27" s="21" t="n"/>
      <c r="J27" s="22">
        <f>IF(OR($E27=0,I$78=0),0,IF(AND(I27="N/A",$G27&lt;&gt;""),0,$F27+SUMPRODUCT(($G$14:$G$71=$A27)*($E$14:$E$71=1)*(I$14:I$71="N/A")*$F$14:$F$71)))</f>
        <v/>
      </c>
      <c r="K27" s="22">
        <f>IF(I27="SI",J27,0)</f>
        <v/>
      </c>
      <c r="L27" s="21" t="n"/>
      <c r="M27" s="22">
        <f>IF(OR($E27=0,L$78=0),0,IF(AND(L27="N/A",$G27&lt;&gt;""),0,$F27+SUMPRODUCT(($G$14:$G$71=$A27)*($E$14:$E$71=1)*(L$14:L$71="N/A")*$F$14:$F$71)))</f>
        <v/>
      </c>
      <c r="N27" s="22">
        <f>IF(L27="SI",M27,0)</f>
        <v/>
      </c>
      <c r="O27" s="21" t="n"/>
      <c r="P27" s="22">
        <f>IF(OR($E27=0,O$78=0),0,IF(AND(O27="N/A",$G27&lt;&gt;""),0,$F27+SUMPRODUCT(($G$14:$G$71=$A27)*($E$14:$E$71=1)*(O$14:O$71="N/A")*$F$14:$F$71)))</f>
        <v/>
      </c>
      <c r="Q27" s="22">
        <f>IF(O27="SI",P27,0)</f>
        <v/>
      </c>
      <c r="R27" s="21" t="n"/>
      <c r="S27" s="22">
        <f>IF(OR($E27=0,R$78=0),0,IF(AND(R27="N/A",$G27&lt;&gt;""),0,$F27+SUMPRODUCT(($G$14:$G$71=$A27)*($E$14:$E$71=1)*(R$14:R$71="N/A")*$F$14:$F$71)))</f>
        <v/>
      </c>
      <c r="T27" s="22">
        <f>IF(R27="SI",S27,0)</f>
        <v/>
      </c>
      <c r="U27" s="21" t="n"/>
      <c r="V27" s="22">
        <f>IF(OR($E27=0,U$78=0),0,IF(AND(U27="N/A",$G27&lt;&gt;""),0,$F27+SUMPRODUCT(($G$14:$G$71=$A27)*($E$14:$E$71=1)*(U$14:U$71="N/A")*$F$14:$F$71)))</f>
        <v/>
      </c>
      <c r="W27" s="22">
        <f>IF(U27="SI",V27,0)</f>
        <v/>
      </c>
      <c r="X27" s="21" t="n"/>
      <c r="Y27" s="22">
        <f>IF(OR($E27=0,X$78=0),0,IF(AND(X27="N/A",$G27&lt;&gt;""),0,$F27+SUMPRODUCT(($G$14:$G$71=$A27)*($E$14:$E$71=1)*(X$14:X$71="N/A")*$F$14:$F$71)))</f>
        <v/>
      </c>
      <c r="Z27" s="22">
        <f>IF(X27="SI",Y27,0)</f>
        <v/>
      </c>
      <c r="AA27" s="22">
        <f>SUM(J27,M27,P27,S27,V27,Y27)</f>
        <v/>
      </c>
      <c r="AB27" s="22">
        <f>SUM(K27,N27,Q27,T27,W27,Z27)</f>
        <v/>
      </c>
      <c r="AC27" s="23">
        <f>IF(AA27=0,"",AB27/AA27)</f>
        <v/>
      </c>
      <c r="AD27" s="22">
        <f>CRITERIOS!Q15</f>
        <v/>
      </c>
      <c r="AE27" s="22">
        <f>IF(AND(E27=1,H27&lt;&gt;"X",((I27="N/A")+(L27="N/A")+(O27="N/A")+(R27="N/A")+(U27="N/A")+(X27="N/A"))&gt;0),"REVISAR","")</f>
        <v/>
      </c>
    </row>
    <row r="28">
      <c r="A28" s="19">
        <f>CRITERIOS!B16</f>
        <v/>
      </c>
      <c r="B28" s="19">
        <f>CRITERIOS!C16</f>
        <v/>
      </c>
      <c r="C28" s="20">
        <f>CRITERIOS!D16</f>
        <v/>
      </c>
      <c r="D28" s="19">
        <f>CRITERIOS!E16</f>
        <v/>
      </c>
      <c r="E28" s="19">
        <f>IFERROR(IF(AND(OR(CRITERIOS!F16="Todos",CRITERIOS!F16=$B$4),INDEX(CRITERIOS!H16:J16,MATCH($B$5,VARIABLES!$E$2:$E$4,0))=1),1,0),0)</f>
        <v/>
      </c>
      <c r="F28" s="19">
        <f>IFERROR(IF(E28=1,INDEX(CRITERIOS!K16:M16,MATCH($B$5,VARIABLES!$E$2:$E$4,0)),0),0)</f>
        <v/>
      </c>
      <c r="G28" s="19">
        <f>IF(CRITERIOS!N16="","",CRITERIOS!N16)</f>
        <v/>
      </c>
      <c r="H28" s="19">
        <f>IF(CRITERIOS!O16="","",CRITERIOS!O16)</f>
        <v/>
      </c>
      <c r="I28" s="21" t="n"/>
      <c r="J28" s="22">
        <f>IF(OR($E28=0,I$78=0),0,IF(AND(I28="N/A",$G28&lt;&gt;""),0,$F28+SUMPRODUCT(($G$14:$G$71=$A28)*($E$14:$E$71=1)*(I$14:I$71="N/A")*$F$14:$F$71)))</f>
        <v/>
      </c>
      <c r="K28" s="22">
        <f>IF(I28="SI",J28,0)</f>
        <v/>
      </c>
      <c r="L28" s="21" t="n"/>
      <c r="M28" s="22">
        <f>IF(OR($E28=0,L$78=0),0,IF(AND(L28="N/A",$G28&lt;&gt;""),0,$F28+SUMPRODUCT(($G$14:$G$71=$A28)*($E$14:$E$71=1)*(L$14:L$71="N/A")*$F$14:$F$71)))</f>
        <v/>
      </c>
      <c r="N28" s="22">
        <f>IF(L28="SI",M28,0)</f>
        <v/>
      </c>
      <c r="O28" s="21" t="n"/>
      <c r="P28" s="22">
        <f>IF(OR($E28=0,O$78=0),0,IF(AND(O28="N/A",$G28&lt;&gt;""),0,$F28+SUMPRODUCT(($G$14:$G$71=$A28)*($E$14:$E$71=1)*(O$14:O$71="N/A")*$F$14:$F$71)))</f>
        <v/>
      </c>
      <c r="Q28" s="22">
        <f>IF(O28="SI",P28,0)</f>
        <v/>
      </c>
      <c r="R28" s="21" t="n"/>
      <c r="S28" s="22">
        <f>IF(OR($E28=0,R$78=0),0,IF(AND(R28="N/A",$G28&lt;&gt;""),0,$F28+SUMPRODUCT(($G$14:$G$71=$A28)*($E$14:$E$71=1)*(R$14:R$71="N/A")*$F$14:$F$71)))</f>
        <v/>
      </c>
      <c r="T28" s="22">
        <f>IF(R28="SI",S28,0)</f>
        <v/>
      </c>
      <c r="U28" s="21" t="n"/>
      <c r="V28" s="22">
        <f>IF(OR($E28=0,U$78=0),0,IF(AND(U28="N/A",$G28&lt;&gt;""),0,$F28+SUMPRODUCT(($G$14:$G$71=$A28)*($E$14:$E$71=1)*(U$14:U$71="N/A")*$F$14:$F$71)))</f>
        <v/>
      </c>
      <c r="W28" s="22">
        <f>IF(U28="SI",V28,0)</f>
        <v/>
      </c>
      <c r="X28" s="21" t="n"/>
      <c r="Y28" s="22">
        <f>IF(OR($E28=0,X$78=0),0,IF(AND(X28="N/A",$G28&lt;&gt;""),0,$F28+SUMPRODUCT(($G$14:$G$71=$A28)*($E$14:$E$71=1)*(X$14:X$71="N/A")*$F$14:$F$71)))</f>
        <v/>
      </c>
      <c r="Z28" s="22">
        <f>IF(X28="SI",Y28,0)</f>
        <v/>
      </c>
      <c r="AA28" s="22">
        <f>SUM(J28,M28,P28,S28,V28,Y28)</f>
        <v/>
      </c>
      <c r="AB28" s="22">
        <f>SUM(K28,N28,Q28,T28,W28,Z28)</f>
        <v/>
      </c>
      <c r="AC28" s="23">
        <f>IF(AA28=0,"",AB28/AA28)</f>
        <v/>
      </c>
      <c r="AD28" s="22">
        <f>CRITERIOS!Q16</f>
        <v/>
      </c>
      <c r="AE28" s="22">
        <f>IF(AND(E28=1,H28&lt;&gt;"X",((I28="N/A")+(L28="N/A")+(O28="N/A")+(R28="N/A")+(U28="N/A")+(X28="N/A"))&gt;0),"REVISAR","")</f>
        <v/>
      </c>
    </row>
    <row r="29">
      <c r="A29" s="19">
        <f>CRITERIOS!B17</f>
        <v/>
      </c>
      <c r="B29" s="19">
        <f>CRITERIOS!C17</f>
        <v/>
      </c>
      <c r="C29" s="20">
        <f>CRITERIOS!D17</f>
        <v/>
      </c>
      <c r="D29" s="19">
        <f>CRITERIOS!E17</f>
        <v/>
      </c>
      <c r="E29" s="19">
        <f>IFERROR(IF(AND(OR(CRITERIOS!F17="Todos",CRITERIOS!F17=$B$4),INDEX(CRITERIOS!H17:J17,MATCH($B$5,VARIABLES!$E$2:$E$4,0))=1),1,0),0)</f>
        <v/>
      </c>
      <c r="F29" s="19">
        <f>IFERROR(IF(E29=1,INDEX(CRITERIOS!K17:M17,MATCH($B$5,VARIABLES!$E$2:$E$4,0)),0),0)</f>
        <v/>
      </c>
      <c r="G29" s="19">
        <f>IF(CRITERIOS!N17="","",CRITERIOS!N17)</f>
        <v/>
      </c>
      <c r="H29" s="19">
        <f>IF(CRITERIOS!O17="","",CRITERIOS!O17)</f>
        <v/>
      </c>
      <c r="I29" s="21" t="n"/>
      <c r="J29" s="22">
        <f>IF(OR($E29=0,I$78=0),0,IF(AND(I29="N/A",$G29&lt;&gt;""),0,$F29+SUMPRODUCT(($G$14:$G$71=$A29)*($E$14:$E$71=1)*(I$14:I$71="N/A")*$F$14:$F$71)))</f>
        <v/>
      </c>
      <c r="K29" s="22">
        <f>IF(I29="SI",J29,0)</f>
        <v/>
      </c>
      <c r="L29" s="21" t="n"/>
      <c r="M29" s="22">
        <f>IF(OR($E29=0,L$78=0),0,IF(AND(L29="N/A",$G29&lt;&gt;""),0,$F29+SUMPRODUCT(($G$14:$G$71=$A29)*($E$14:$E$71=1)*(L$14:L$71="N/A")*$F$14:$F$71)))</f>
        <v/>
      </c>
      <c r="N29" s="22">
        <f>IF(L29="SI",M29,0)</f>
        <v/>
      </c>
      <c r="O29" s="21" t="n"/>
      <c r="P29" s="22">
        <f>IF(OR($E29=0,O$78=0),0,IF(AND(O29="N/A",$G29&lt;&gt;""),0,$F29+SUMPRODUCT(($G$14:$G$71=$A29)*($E$14:$E$71=1)*(O$14:O$71="N/A")*$F$14:$F$71)))</f>
        <v/>
      </c>
      <c r="Q29" s="22">
        <f>IF(O29="SI",P29,0)</f>
        <v/>
      </c>
      <c r="R29" s="21" t="n"/>
      <c r="S29" s="22">
        <f>IF(OR($E29=0,R$78=0),0,IF(AND(R29="N/A",$G29&lt;&gt;""),0,$F29+SUMPRODUCT(($G$14:$G$71=$A29)*($E$14:$E$71=1)*(R$14:R$71="N/A")*$F$14:$F$71)))</f>
        <v/>
      </c>
      <c r="T29" s="22">
        <f>IF(R29="SI",S29,0)</f>
        <v/>
      </c>
      <c r="U29" s="21" t="n"/>
      <c r="V29" s="22">
        <f>IF(OR($E29=0,U$78=0),0,IF(AND(U29="N/A",$G29&lt;&gt;""),0,$F29+SUMPRODUCT(($G$14:$G$71=$A29)*($E$14:$E$71=1)*(U$14:U$71="N/A")*$F$14:$F$71)))</f>
        <v/>
      </c>
      <c r="W29" s="22">
        <f>IF(U29="SI",V29,0)</f>
        <v/>
      </c>
      <c r="X29" s="21" t="n"/>
      <c r="Y29" s="22">
        <f>IF(OR($E29=0,X$78=0),0,IF(AND(X29="N/A",$G29&lt;&gt;""),0,$F29+SUMPRODUCT(($G$14:$G$71=$A29)*($E$14:$E$71=1)*(X$14:X$71="N/A")*$F$14:$F$71)))</f>
        <v/>
      </c>
      <c r="Z29" s="22">
        <f>IF(X29="SI",Y29,0)</f>
        <v/>
      </c>
      <c r="AA29" s="22">
        <f>SUM(J29,M29,P29,S29,V29,Y29)</f>
        <v/>
      </c>
      <c r="AB29" s="22">
        <f>SUM(K29,N29,Q29,T29,W29,Z29)</f>
        <v/>
      </c>
      <c r="AC29" s="23">
        <f>IF(AA29=0,"",AB29/AA29)</f>
        <v/>
      </c>
      <c r="AD29" s="22">
        <f>CRITERIOS!Q17</f>
        <v/>
      </c>
      <c r="AE29" s="22">
        <f>IF(AND(E29=1,H29&lt;&gt;"X",((I29="N/A")+(L29="N/A")+(O29="N/A")+(R29="N/A")+(U29="N/A")+(X29="N/A"))&gt;0),"REVISAR","")</f>
        <v/>
      </c>
    </row>
    <row r="30">
      <c r="A30" s="22">
        <f>CRITERIOS!B18</f>
        <v/>
      </c>
      <c r="B30" s="22">
        <f>CRITERIOS!C18</f>
        <v/>
      </c>
      <c r="C30" s="8">
        <f>CRITERIOS!D18</f>
        <v/>
      </c>
      <c r="D30" s="22">
        <f>CRITERIOS!E18</f>
        <v/>
      </c>
      <c r="E30" s="22">
        <f>IFERROR(IF(AND(OR(CRITERIOS!F18="Todos",CRITERIOS!F18=$B$4),INDEX(CRITERIOS!H18:J18,MATCH($B$5,VARIABLES!$E$2:$E$4,0))=1),1,0),0)</f>
        <v/>
      </c>
      <c r="F30" s="22">
        <f>IFERROR(IF(E30=1,INDEX(CRITERIOS!K18:M18,MATCH($B$5,VARIABLES!$E$2:$E$4,0)),0),0)</f>
        <v/>
      </c>
      <c r="G30" s="22">
        <f>IF(CRITERIOS!N18="","",CRITERIOS!N18)</f>
        <v/>
      </c>
      <c r="H30" s="22">
        <f>IF(CRITERIOS!O18="","",CRITERIOS!O18)</f>
        <v/>
      </c>
      <c r="I30" s="21" t="n"/>
      <c r="J30" s="22">
        <f>IF(OR($E30=0,I$78=0),0,IF(AND(I30="N/A",$G30&lt;&gt;""),0,$F30+SUMPRODUCT(($G$14:$G$71=$A30)*($E$14:$E$71=1)*(I$14:I$71="N/A")*$F$14:$F$71)))</f>
        <v/>
      </c>
      <c r="K30" s="22">
        <f>IF(I30="SI",J30,0)</f>
        <v/>
      </c>
      <c r="L30" s="21" t="n"/>
      <c r="M30" s="22">
        <f>IF(OR($E30=0,L$78=0),0,IF(AND(L30="N/A",$G30&lt;&gt;""),0,$F30+SUMPRODUCT(($G$14:$G$71=$A30)*($E$14:$E$71=1)*(L$14:L$71="N/A")*$F$14:$F$71)))</f>
        <v/>
      </c>
      <c r="N30" s="22">
        <f>IF(L30="SI",M30,0)</f>
        <v/>
      </c>
      <c r="O30" s="21" t="n"/>
      <c r="P30" s="22">
        <f>IF(OR($E30=0,O$78=0),0,IF(AND(O30="N/A",$G30&lt;&gt;""),0,$F30+SUMPRODUCT(($G$14:$G$71=$A30)*($E$14:$E$71=1)*(O$14:O$71="N/A")*$F$14:$F$71)))</f>
        <v/>
      </c>
      <c r="Q30" s="22">
        <f>IF(O30="SI",P30,0)</f>
        <v/>
      </c>
      <c r="R30" s="21" t="n"/>
      <c r="S30" s="22">
        <f>IF(OR($E30=0,R$78=0),0,IF(AND(R30="N/A",$G30&lt;&gt;""),0,$F30+SUMPRODUCT(($G$14:$G$71=$A30)*($E$14:$E$71=1)*(R$14:R$71="N/A")*$F$14:$F$71)))</f>
        <v/>
      </c>
      <c r="T30" s="22">
        <f>IF(R30="SI",S30,0)</f>
        <v/>
      </c>
      <c r="U30" s="21" t="n"/>
      <c r="V30" s="22">
        <f>IF(OR($E30=0,U$78=0),0,IF(AND(U30="N/A",$G30&lt;&gt;""),0,$F30+SUMPRODUCT(($G$14:$G$71=$A30)*($E$14:$E$71=1)*(U$14:U$71="N/A")*$F$14:$F$71)))</f>
        <v/>
      </c>
      <c r="W30" s="22">
        <f>IF(U30="SI",V30,0)</f>
        <v/>
      </c>
      <c r="X30" s="21" t="n"/>
      <c r="Y30" s="22">
        <f>IF(OR($E30=0,X$78=0),0,IF(AND(X30="N/A",$G30&lt;&gt;""),0,$F30+SUMPRODUCT(($G$14:$G$71=$A30)*($E$14:$E$71=1)*(X$14:X$71="N/A")*$F$14:$F$71)))</f>
        <v/>
      </c>
      <c r="Z30" s="22">
        <f>IF(X30="SI",Y30,0)</f>
        <v/>
      </c>
      <c r="AA30" s="22">
        <f>SUM(J30,M30,P30,S30,V30,Y30)</f>
        <v/>
      </c>
      <c r="AB30" s="22">
        <f>SUM(K30,N30,Q30,T30,W30,Z30)</f>
        <v/>
      </c>
      <c r="AC30" s="23">
        <f>IF(AA30=0,"",AB30/AA30)</f>
        <v/>
      </c>
      <c r="AD30" s="22">
        <f>CRITERIOS!Q18</f>
        <v/>
      </c>
      <c r="AE30" s="22">
        <f>IF(AND(E30=1,H30&lt;&gt;"X",((I30="N/A")+(L30="N/A")+(O30="N/A")+(R30="N/A")+(U30="N/A")+(X30="N/A"))&gt;0),"REVISAR","")</f>
        <v/>
      </c>
    </row>
    <row r="31">
      <c r="A31" s="24">
        <f>CRITERIOS!B19</f>
        <v/>
      </c>
      <c r="B31" s="24">
        <f>CRITERIOS!C19</f>
        <v/>
      </c>
      <c r="C31" s="25">
        <f>CRITERIOS!D19</f>
        <v/>
      </c>
      <c r="D31" s="24">
        <f>CRITERIOS!E19</f>
        <v/>
      </c>
      <c r="E31" s="24">
        <f>IFERROR(IF(AND(OR(CRITERIOS!F19="Todos",CRITERIOS!F19=$B$4),INDEX(CRITERIOS!H19:J19,MATCH($B$5,VARIABLES!$E$2:$E$4,0))=1),1,0),0)</f>
        <v/>
      </c>
      <c r="F31" s="24">
        <f>IFERROR(IF(E31=1,INDEX(CRITERIOS!K19:M19,MATCH($B$5,VARIABLES!$E$2:$E$4,0)),0),0)</f>
        <v/>
      </c>
      <c r="G31" s="24">
        <f>IF(CRITERIOS!N19="","",CRITERIOS!N19)</f>
        <v/>
      </c>
      <c r="H31" s="24">
        <f>IF(CRITERIOS!O19="","",CRITERIOS!O19)</f>
        <v/>
      </c>
      <c r="I31" s="21" t="n"/>
      <c r="J31" s="22">
        <f>IF(OR($E31=0,I$78=0),0,IF(AND(I31="N/A",$G31&lt;&gt;""),0,$F31+SUMPRODUCT(($G$14:$G$71=$A31)*($E$14:$E$71=1)*(I$14:I$71="N/A")*$F$14:$F$71)))</f>
        <v/>
      </c>
      <c r="K31" s="22">
        <f>IF(I31="SI",J31,0)</f>
        <v/>
      </c>
      <c r="L31" s="21" t="n"/>
      <c r="M31" s="22">
        <f>IF(OR($E31=0,L$78=0),0,IF(AND(L31="N/A",$G31&lt;&gt;""),0,$F31+SUMPRODUCT(($G$14:$G$71=$A31)*($E$14:$E$71=1)*(L$14:L$71="N/A")*$F$14:$F$71)))</f>
        <v/>
      </c>
      <c r="N31" s="22">
        <f>IF(L31="SI",M31,0)</f>
        <v/>
      </c>
      <c r="O31" s="21" t="n"/>
      <c r="P31" s="22">
        <f>IF(OR($E31=0,O$78=0),0,IF(AND(O31="N/A",$G31&lt;&gt;""),0,$F31+SUMPRODUCT(($G$14:$G$71=$A31)*($E$14:$E$71=1)*(O$14:O$71="N/A")*$F$14:$F$71)))</f>
        <v/>
      </c>
      <c r="Q31" s="22">
        <f>IF(O31="SI",P31,0)</f>
        <v/>
      </c>
      <c r="R31" s="21" t="n"/>
      <c r="S31" s="22">
        <f>IF(OR($E31=0,R$78=0),0,IF(AND(R31="N/A",$G31&lt;&gt;""),0,$F31+SUMPRODUCT(($G$14:$G$71=$A31)*($E$14:$E$71=1)*(R$14:R$71="N/A")*$F$14:$F$71)))</f>
        <v/>
      </c>
      <c r="T31" s="22">
        <f>IF(R31="SI",S31,0)</f>
        <v/>
      </c>
      <c r="U31" s="21" t="n"/>
      <c r="V31" s="22">
        <f>IF(OR($E31=0,U$78=0),0,IF(AND(U31="N/A",$G31&lt;&gt;""),0,$F31+SUMPRODUCT(($G$14:$G$71=$A31)*($E$14:$E$71=1)*(U$14:U$71="N/A")*$F$14:$F$71)))</f>
        <v/>
      </c>
      <c r="W31" s="22">
        <f>IF(U31="SI",V31,0)</f>
        <v/>
      </c>
      <c r="X31" s="21" t="n"/>
      <c r="Y31" s="22">
        <f>IF(OR($E31=0,X$78=0),0,IF(AND(X31="N/A",$G31&lt;&gt;""),0,$F31+SUMPRODUCT(($G$14:$G$71=$A31)*($E$14:$E$71=1)*(X$14:X$71="N/A")*$F$14:$F$71)))</f>
        <v/>
      </c>
      <c r="Z31" s="22">
        <f>IF(X31="SI",Y31,0)</f>
        <v/>
      </c>
      <c r="AA31" s="22">
        <f>SUM(J31,M31,P31,S31,V31,Y31)</f>
        <v/>
      </c>
      <c r="AB31" s="22">
        <f>SUM(K31,N31,Q31,T31,W31,Z31)</f>
        <v/>
      </c>
      <c r="AC31" s="23">
        <f>IF(AA31=0,"",AB31/AA31)</f>
        <v/>
      </c>
      <c r="AD31" s="22">
        <f>CRITERIOS!Q19</f>
        <v/>
      </c>
      <c r="AE31" s="22">
        <f>IF(AND(E31=1,H31&lt;&gt;"X",((I31="N/A")+(L31="N/A")+(O31="N/A")+(R31="N/A")+(U31="N/A")+(X31="N/A"))&gt;0),"REVISAR","")</f>
        <v/>
      </c>
    </row>
    <row r="32">
      <c r="A32" s="24">
        <f>CRITERIOS!B20</f>
        <v/>
      </c>
      <c r="B32" s="24">
        <f>CRITERIOS!C20</f>
        <v/>
      </c>
      <c r="C32" s="25">
        <f>CRITERIOS!D20</f>
        <v/>
      </c>
      <c r="D32" s="24">
        <f>CRITERIOS!E20</f>
        <v/>
      </c>
      <c r="E32" s="24">
        <f>IFERROR(IF(AND(OR(CRITERIOS!F20="Todos",CRITERIOS!F20=$B$4),INDEX(CRITERIOS!H20:J20,MATCH($B$5,VARIABLES!$E$2:$E$4,0))=1),1,0),0)</f>
        <v/>
      </c>
      <c r="F32" s="24">
        <f>IFERROR(IF(E32=1,INDEX(CRITERIOS!K20:M20,MATCH($B$5,VARIABLES!$E$2:$E$4,0)),0),0)</f>
        <v/>
      </c>
      <c r="G32" s="24">
        <f>IF(CRITERIOS!N20="","",CRITERIOS!N20)</f>
        <v/>
      </c>
      <c r="H32" s="24">
        <f>IF(CRITERIOS!O20="","",CRITERIOS!O20)</f>
        <v/>
      </c>
      <c r="I32" s="21" t="n"/>
      <c r="J32" s="22">
        <f>IF(OR($E32=0,I$78=0),0,IF(AND(I32="N/A",$G32&lt;&gt;""),0,$F32+SUMPRODUCT(($G$14:$G$71=$A32)*($E$14:$E$71=1)*(I$14:I$71="N/A")*$F$14:$F$71)))</f>
        <v/>
      </c>
      <c r="K32" s="22">
        <f>IF(I32="SI",J32,0)</f>
        <v/>
      </c>
      <c r="L32" s="21" t="n"/>
      <c r="M32" s="22">
        <f>IF(OR($E32=0,L$78=0),0,IF(AND(L32="N/A",$G32&lt;&gt;""),0,$F32+SUMPRODUCT(($G$14:$G$71=$A32)*($E$14:$E$71=1)*(L$14:L$71="N/A")*$F$14:$F$71)))</f>
        <v/>
      </c>
      <c r="N32" s="22">
        <f>IF(L32="SI",M32,0)</f>
        <v/>
      </c>
      <c r="O32" s="21" t="n"/>
      <c r="P32" s="22">
        <f>IF(OR($E32=0,O$78=0),0,IF(AND(O32="N/A",$G32&lt;&gt;""),0,$F32+SUMPRODUCT(($G$14:$G$71=$A32)*($E$14:$E$71=1)*(O$14:O$71="N/A")*$F$14:$F$71)))</f>
        <v/>
      </c>
      <c r="Q32" s="22">
        <f>IF(O32="SI",P32,0)</f>
        <v/>
      </c>
      <c r="R32" s="21" t="n"/>
      <c r="S32" s="22">
        <f>IF(OR($E32=0,R$78=0),0,IF(AND(R32="N/A",$G32&lt;&gt;""),0,$F32+SUMPRODUCT(($G$14:$G$71=$A32)*($E$14:$E$71=1)*(R$14:R$71="N/A")*$F$14:$F$71)))</f>
        <v/>
      </c>
      <c r="T32" s="22">
        <f>IF(R32="SI",S32,0)</f>
        <v/>
      </c>
      <c r="U32" s="21" t="n"/>
      <c r="V32" s="22">
        <f>IF(OR($E32=0,U$78=0),0,IF(AND(U32="N/A",$G32&lt;&gt;""),0,$F32+SUMPRODUCT(($G$14:$G$71=$A32)*($E$14:$E$71=1)*(U$14:U$71="N/A")*$F$14:$F$71)))</f>
        <v/>
      </c>
      <c r="W32" s="22">
        <f>IF(U32="SI",V32,0)</f>
        <v/>
      </c>
      <c r="X32" s="21" t="n"/>
      <c r="Y32" s="22">
        <f>IF(OR($E32=0,X$78=0),0,IF(AND(X32="N/A",$G32&lt;&gt;""),0,$F32+SUMPRODUCT(($G$14:$G$71=$A32)*($E$14:$E$71=1)*(X$14:X$71="N/A")*$F$14:$F$71)))</f>
        <v/>
      </c>
      <c r="Z32" s="22">
        <f>IF(X32="SI",Y32,0)</f>
        <v/>
      </c>
      <c r="AA32" s="22">
        <f>SUM(J32,M32,P32,S32,V32,Y32)</f>
        <v/>
      </c>
      <c r="AB32" s="22">
        <f>SUM(K32,N32,Q32,T32,W32,Z32)</f>
        <v/>
      </c>
      <c r="AC32" s="23">
        <f>IF(AA32=0,"",AB32/AA32)</f>
        <v/>
      </c>
      <c r="AD32" s="22">
        <f>CRITERIOS!Q20</f>
        <v/>
      </c>
      <c r="AE32" s="22">
        <f>IF(AND(E32=1,H32&lt;&gt;"X",((I32="N/A")+(L32="N/A")+(O32="N/A")+(R32="N/A")+(U32="N/A")+(X32="N/A"))&gt;0),"REVISAR","")</f>
        <v/>
      </c>
    </row>
    <row r="33">
      <c r="A33" s="24">
        <f>CRITERIOS!B21</f>
        <v/>
      </c>
      <c r="B33" s="24">
        <f>CRITERIOS!C21</f>
        <v/>
      </c>
      <c r="C33" s="25">
        <f>CRITERIOS!D21</f>
        <v/>
      </c>
      <c r="D33" s="24">
        <f>CRITERIOS!E21</f>
        <v/>
      </c>
      <c r="E33" s="24">
        <f>IFERROR(IF(AND(OR(CRITERIOS!F21="Todos",CRITERIOS!F21=$B$4),INDEX(CRITERIOS!H21:J21,MATCH($B$5,VARIABLES!$E$2:$E$4,0))=1),1,0),0)</f>
        <v/>
      </c>
      <c r="F33" s="24">
        <f>IFERROR(IF(E33=1,INDEX(CRITERIOS!K21:M21,MATCH($B$5,VARIABLES!$E$2:$E$4,0)),0),0)</f>
        <v/>
      </c>
      <c r="G33" s="24">
        <f>IF(CRITERIOS!N21="","",CRITERIOS!N21)</f>
        <v/>
      </c>
      <c r="H33" s="24">
        <f>IF(CRITERIOS!O21="","",CRITERIOS!O21)</f>
        <v/>
      </c>
      <c r="I33" s="21" t="n"/>
      <c r="J33" s="22">
        <f>IF(OR($E33=0,I$78=0),0,IF(AND(I33="N/A",$G33&lt;&gt;""),0,$F33+SUMPRODUCT(($G$14:$G$71=$A33)*($E$14:$E$71=1)*(I$14:I$71="N/A")*$F$14:$F$71)))</f>
        <v/>
      </c>
      <c r="K33" s="22">
        <f>IF(I33="SI",J33,0)</f>
        <v/>
      </c>
      <c r="L33" s="21" t="n"/>
      <c r="M33" s="22">
        <f>IF(OR($E33=0,L$78=0),0,IF(AND(L33="N/A",$G33&lt;&gt;""),0,$F33+SUMPRODUCT(($G$14:$G$71=$A33)*($E$14:$E$71=1)*(L$14:L$71="N/A")*$F$14:$F$71)))</f>
        <v/>
      </c>
      <c r="N33" s="22">
        <f>IF(L33="SI",M33,0)</f>
        <v/>
      </c>
      <c r="O33" s="21" t="n"/>
      <c r="P33" s="22">
        <f>IF(OR($E33=0,O$78=0),0,IF(AND(O33="N/A",$G33&lt;&gt;""),0,$F33+SUMPRODUCT(($G$14:$G$71=$A33)*($E$14:$E$71=1)*(O$14:O$71="N/A")*$F$14:$F$71)))</f>
        <v/>
      </c>
      <c r="Q33" s="22">
        <f>IF(O33="SI",P33,0)</f>
        <v/>
      </c>
      <c r="R33" s="21" t="n"/>
      <c r="S33" s="22">
        <f>IF(OR($E33=0,R$78=0),0,IF(AND(R33="N/A",$G33&lt;&gt;""),0,$F33+SUMPRODUCT(($G$14:$G$71=$A33)*($E$14:$E$71=1)*(R$14:R$71="N/A")*$F$14:$F$71)))</f>
        <v/>
      </c>
      <c r="T33" s="22">
        <f>IF(R33="SI",S33,0)</f>
        <v/>
      </c>
      <c r="U33" s="21" t="n"/>
      <c r="V33" s="22">
        <f>IF(OR($E33=0,U$78=0),0,IF(AND(U33="N/A",$G33&lt;&gt;""),0,$F33+SUMPRODUCT(($G$14:$G$71=$A33)*($E$14:$E$71=1)*(U$14:U$71="N/A")*$F$14:$F$71)))</f>
        <v/>
      </c>
      <c r="W33" s="22">
        <f>IF(U33="SI",V33,0)</f>
        <v/>
      </c>
      <c r="X33" s="21" t="n"/>
      <c r="Y33" s="22">
        <f>IF(OR($E33=0,X$78=0),0,IF(AND(X33="N/A",$G33&lt;&gt;""),0,$F33+SUMPRODUCT(($G$14:$G$71=$A33)*($E$14:$E$71=1)*(X$14:X$71="N/A")*$F$14:$F$71)))</f>
        <v/>
      </c>
      <c r="Z33" s="22">
        <f>IF(X33="SI",Y33,0)</f>
        <v/>
      </c>
      <c r="AA33" s="22">
        <f>SUM(J33,M33,P33,S33,V33,Y33)</f>
        <v/>
      </c>
      <c r="AB33" s="22">
        <f>SUM(K33,N33,Q33,T33,W33,Z33)</f>
        <v/>
      </c>
      <c r="AC33" s="23">
        <f>IF(AA33=0,"",AB33/AA33)</f>
        <v/>
      </c>
      <c r="AD33" s="22">
        <f>CRITERIOS!Q21</f>
        <v/>
      </c>
      <c r="AE33" s="22">
        <f>IF(AND(E33=1,H33&lt;&gt;"X",((I33="N/A")+(L33="N/A")+(O33="N/A")+(R33="N/A")+(U33="N/A")+(X33="N/A"))&gt;0),"REVISAR","")</f>
        <v/>
      </c>
    </row>
    <row r="34">
      <c r="A34" s="22">
        <f>CRITERIOS!B22</f>
        <v/>
      </c>
      <c r="B34" s="22">
        <f>CRITERIOS!C22</f>
        <v/>
      </c>
      <c r="C34" s="8">
        <f>CRITERIOS!D22</f>
        <v/>
      </c>
      <c r="D34" s="22">
        <f>CRITERIOS!E22</f>
        <v/>
      </c>
      <c r="E34" s="22">
        <f>IFERROR(IF(AND(OR(CRITERIOS!F22="Todos",CRITERIOS!F22=$B$4),INDEX(CRITERIOS!H22:J22,MATCH($B$5,VARIABLES!$E$2:$E$4,0))=1),1,0),0)</f>
        <v/>
      </c>
      <c r="F34" s="22">
        <f>IFERROR(IF(E34=1,INDEX(CRITERIOS!K22:M22,MATCH($B$5,VARIABLES!$E$2:$E$4,0)),0),0)</f>
        <v/>
      </c>
      <c r="G34" s="22">
        <f>IF(CRITERIOS!N22="","",CRITERIOS!N22)</f>
        <v/>
      </c>
      <c r="H34" s="22">
        <f>IF(CRITERIOS!O22="","",CRITERIOS!O22)</f>
        <v/>
      </c>
      <c r="I34" s="21" t="n"/>
      <c r="J34" s="22">
        <f>IF(OR($E34=0,I$78=0),0,IF(AND(I34="N/A",$G34&lt;&gt;""),0,$F34+SUMPRODUCT(($G$14:$G$71=$A34)*($E$14:$E$71=1)*(I$14:I$71="N/A")*$F$14:$F$71)))</f>
        <v/>
      </c>
      <c r="K34" s="22">
        <f>IF(I34="SI",J34,0)</f>
        <v/>
      </c>
      <c r="L34" s="21" t="n"/>
      <c r="M34" s="22">
        <f>IF(OR($E34=0,L$78=0),0,IF(AND(L34="N/A",$G34&lt;&gt;""),0,$F34+SUMPRODUCT(($G$14:$G$71=$A34)*($E$14:$E$71=1)*(L$14:L$71="N/A")*$F$14:$F$71)))</f>
        <v/>
      </c>
      <c r="N34" s="22">
        <f>IF(L34="SI",M34,0)</f>
        <v/>
      </c>
      <c r="O34" s="21" t="n"/>
      <c r="P34" s="22">
        <f>IF(OR($E34=0,O$78=0),0,IF(AND(O34="N/A",$G34&lt;&gt;""),0,$F34+SUMPRODUCT(($G$14:$G$71=$A34)*($E$14:$E$71=1)*(O$14:O$71="N/A")*$F$14:$F$71)))</f>
        <v/>
      </c>
      <c r="Q34" s="22">
        <f>IF(O34="SI",P34,0)</f>
        <v/>
      </c>
      <c r="R34" s="21" t="n"/>
      <c r="S34" s="22">
        <f>IF(OR($E34=0,R$78=0),0,IF(AND(R34="N/A",$G34&lt;&gt;""),0,$F34+SUMPRODUCT(($G$14:$G$71=$A34)*($E$14:$E$71=1)*(R$14:R$71="N/A")*$F$14:$F$71)))</f>
        <v/>
      </c>
      <c r="T34" s="22">
        <f>IF(R34="SI",S34,0)</f>
        <v/>
      </c>
      <c r="U34" s="21" t="n"/>
      <c r="V34" s="22">
        <f>IF(OR($E34=0,U$78=0),0,IF(AND(U34="N/A",$G34&lt;&gt;""),0,$F34+SUMPRODUCT(($G$14:$G$71=$A34)*($E$14:$E$71=1)*(U$14:U$71="N/A")*$F$14:$F$71)))</f>
        <v/>
      </c>
      <c r="W34" s="22">
        <f>IF(U34="SI",V34,0)</f>
        <v/>
      </c>
      <c r="X34" s="21" t="n"/>
      <c r="Y34" s="22">
        <f>IF(OR($E34=0,X$78=0),0,IF(AND(X34="N/A",$G34&lt;&gt;""),0,$F34+SUMPRODUCT(($G$14:$G$71=$A34)*($E$14:$E$71=1)*(X$14:X$71="N/A")*$F$14:$F$71)))</f>
        <v/>
      </c>
      <c r="Z34" s="22">
        <f>IF(X34="SI",Y34,0)</f>
        <v/>
      </c>
      <c r="AA34" s="22">
        <f>SUM(J34,M34,P34,S34,V34,Y34)</f>
        <v/>
      </c>
      <c r="AB34" s="22">
        <f>SUM(K34,N34,Q34,T34,W34,Z34)</f>
        <v/>
      </c>
      <c r="AC34" s="23">
        <f>IF(AA34=0,"",AB34/AA34)</f>
        <v/>
      </c>
      <c r="AD34" s="22">
        <f>CRITERIOS!Q22</f>
        <v/>
      </c>
      <c r="AE34" s="22">
        <f>IF(AND(E34=1,H34&lt;&gt;"X",((I34="N/A")+(L34="N/A")+(O34="N/A")+(R34="N/A")+(U34="N/A")+(X34="N/A"))&gt;0),"REVISAR","")</f>
        <v/>
      </c>
    </row>
    <row r="35">
      <c r="A35" s="22">
        <f>CRITERIOS!B23</f>
        <v/>
      </c>
      <c r="B35" s="22">
        <f>CRITERIOS!C23</f>
        <v/>
      </c>
      <c r="C35" s="8">
        <f>CRITERIOS!D23</f>
        <v/>
      </c>
      <c r="D35" s="22">
        <f>CRITERIOS!E23</f>
        <v/>
      </c>
      <c r="E35" s="22">
        <f>IFERROR(IF(AND(OR(CRITERIOS!F23="Todos",CRITERIOS!F23=$B$4),INDEX(CRITERIOS!H23:J23,MATCH($B$5,VARIABLES!$E$2:$E$4,0))=1),1,0),0)</f>
        <v/>
      </c>
      <c r="F35" s="22">
        <f>IFERROR(IF(E35=1,INDEX(CRITERIOS!K23:M23,MATCH($B$5,VARIABLES!$E$2:$E$4,0)),0),0)</f>
        <v/>
      </c>
      <c r="G35" s="22">
        <f>IF(CRITERIOS!N23="","",CRITERIOS!N23)</f>
        <v/>
      </c>
      <c r="H35" s="22">
        <f>IF(CRITERIOS!O23="","",CRITERIOS!O23)</f>
        <v/>
      </c>
      <c r="I35" s="21" t="n"/>
      <c r="J35" s="22">
        <f>IF(OR($E35=0,I$78=0),0,IF(AND(I35="N/A",$G35&lt;&gt;""),0,$F35+SUMPRODUCT(($G$14:$G$71=$A35)*($E$14:$E$71=1)*(I$14:I$71="N/A")*$F$14:$F$71)))</f>
        <v/>
      </c>
      <c r="K35" s="22">
        <f>IF(I35="SI",J35,0)</f>
        <v/>
      </c>
      <c r="L35" s="21" t="n"/>
      <c r="M35" s="22">
        <f>IF(OR($E35=0,L$78=0),0,IF(AND(L35="N/A",$G35&lt;&gt;""),0,$F35+SUMPRODUCT(($G$14:$G$71=$A35)*($E$14:$E$71=1)*(L$14:L$71="N/A")*$F$14:$F$71)))</f>
        <v/>
      </c>
      <c r="N35" s="22">
        <f>IF(L35="SI",M35,0)</f>
        <v/>
      </c>
      <c r="O35" s="21" t="n"/>
      <c r="P35" s="22">
        <f>IF(OR($E35=0,O$78=0),0,IF(AND(O35="N/A",$G35&lt;&gt;""),0,$F35+SUMPRODUCT(($G$14:$G$71=$A35)*($E$14:$E$71=1)*(O$14:O$71="N/A")*$F$14:$F$71)))</f>
        <v/>
      </c>
      <c r="Q35" s="22">
        <f>IF(O35="SI",P35,0)</f>
        <v/>
      </c>
      <c r="R35" s="21" t="n"/>
      <c r="S35" s="22">
        <f>IF(OR($E35=0,R$78=0),0,IF(AND(R35="N/A",$G35&lt;&gt;""),0,$F35+SUMPRODUCT(($G$14:$G$71=$A35)*($E$14:$E$71=1)*(R$14:R$71="N/A")*$F$14:$F$71)))</f>
        <v/>
      </c>
      <c r="T35" s="22">
        <f>IF(R35="SI",S35,0)</f>
        <v/>
      </c>
      <c r="U35" s="21" t="n"/>
      <c r="V35" s="22">
        <f>IF(OR($E35=0,U$78=0),0,IF(AND(U35="N/A",$G35&lt;&gt;""),0,$F35+SUMPRODUCT(($G$14:$G$71=$A35)*($E$14:$E$71=1)*(U$14:U$71="N/A")*$F$14:$F$71)))</f>
        <v/>
      </c>
      <c r="W35" s="22">
        <f>IF(U35="SI",V35,0)</f>
        <v/>
      </c>
      <c r="X35" s="21" t="n"/>
      <c r="Y35" s="22">
        <f>IF(OR($E35=0,X$78=0),0,IF(AND(X35="N/A",$G35&lt;&gt;""),0,$F35+SUMPRODUCT(($G$14:$G$71=$A35)*($E$14:$E$71=1)*(X$14:X$71="N/A")*$F$14:$F$71)))</f>
        <v/>
      </c>
      <c r="Z35" s="22">
        <f>IF(X35="SI",Y35,0)</f>
        <v/>
      </c>
      <c r="AA35" s="22">
        <f>SUM(J35,M35,P35,S35,V35,Y35)</f>
        <v/>
      </c>
      <c r="AB35" s="22">
        <f>SUM(K35,N35,Q35,T35,W35,Z35)</f>
        <v/>
      </c>
      <c r="AC35" s="23">
        <f>IF(AA35=0,"",AB35/AA35)</f>
        <v/>
      </c>
      <c r="AD35" s="22">
        <f>CRITERIOS!Q23</f>
        <v/>
      </c>
      <c r="AE35" s="22">
        <f>IF(AND(E35=1,H35&lt;&gt;"X",((I35="N/A")+(L35="N/A")+(O35="N/A")+(R35="N/A")+(U35="N/A")+(X35="N/A"))&gt;0),"REVISAR","")</f>
        <v/>
      </c>
    </row>
    <row r="36">
      <c r="A36" s="22">
        <f>CRITERIOS!B24</f>
        <v/>
      </c>
      <c r="B36" s="22">
        <f>CRITERIOS!C24</f>
        <v/>
      </c>
      <c r="C36" s="8">
        <f>CRITERIOS!D24</f>
        <v/>
      </c>
      <c r="D36" s="22">
        <f>CRITERIOS!E24</f>
        <v/>
      </c>
      <c r="E36" s="22">
        <f>IFERROR(IF(AND(OR(CRITERIOS!F24="Todos",CRITERIOS!F24=$B$4),INDEX(CRITERIOS!H24:J24,MATCH($B$5,VARIABLES!$E$2:$E$4,0))=1),1,0),0)</f>
        <v/>
      </c>
      <c r="F36" s="22">
        <f>IFERROR(IF(E36=1,INDEX(CRITERIOS!K24:M24,MATCH($B$5,VARIABLES!$E$2:$E$4,0)),0),0)</f>
        <v/>
      </c>
      <c r="G36" s="22">
        <f>IF(CRITERIOS!N24="","",CRITERIOS!N24)</f>
        <v/>
      </c>
      <c r="H36" s="22">
        <f>IF(CRITERIOS!O24="","",CRITERIOS!O24)</f>
        <v/>
      </c>
      <c r="I36" s="21" t="n"/>
      <c r="J36" s="22">
        <f>IF(OR($E36=0,I$78=0),0,IF(AND(I36="N/A",$G36&lt;&gt;""),0,$F36+SUMPRODUCT(($G$14:$G$71=$A36)*($E$14:$E$71=1)*(I$14:I$71="N/A")*$F$14:$F$71)))</f>
        <v/>
      </c>
      <c r="K36" s="22">
        <f>IF(I36="SI",J36,0)</f>
        <v/>
      </c>
      <c r="L36" s="21" t="n"/>
      <c r="M36" s="22">
        <f>IF(OR($E36=0,L$78=0),0,IF(AND(L36="N/A",$G36&lt;&gt;""),0,$F36+SUMPRODUCT(($G$14:$G$71=$A36)*($E$14:$E$71=1)*(L$14:L$71="N/A")*$F$14:$F$71)))</f>
        <v/>
      </c>
      <c r="N36" s="22">
        <f>IF(L36="SI",M36,0)</f>
        <v/>
      </c>
      <c r="O36" s="21" t="n"/>
      <c r="P36" s="22">
        <f>IF(OR($E36=0,O$78=0),0,IF(AND(O36="N/A",$G36&lt;&gt;""),0,$F36+SUMPRODUCT(($G$14:$G$71=$A36)*($E$14:$E$71=1)*(O$14:O$71="N/A")*$F$14:$F$71)))</f>
        <v/>
      </c>
      <c r="Q36" s="22">
        <f>IF(O36="SI",P36,0)</f>
        <v/>
      </c>
      <c r="R36" s="21" t="n"/>
      <c r="S36" s="22">
        <f>IF(OR($E36=0,R$78=0),0,IF(AND(R36="N/A",$G36&lt;&gt;""),0,$F36+SUMPRODUCT(($G$14:$G$71=$A36)*($E$14:$E$71=1)*(R$14:R$71="N/A")*$F$14:$F$71)))</f>
        <v/>
      </c>
      <c r="T36" s="22">
        <f>IF(R36="SI",S36,0)</f>
        <v/>
      </c>
      <c r="U36" s="21" t="n"/>
      <c r="V36" s="22">
        <f>IF(OR($E36=0,U$78=0),0,IF(AND(U36="N/A",$G36&lt;&gt;""),0,$F36+SUMPRODUCT(($G$14:$G$71=$A36)*($E$14:$E$71=1)*(U$14:U$71="N/A")*$F$14:$F$71)))</f>
        <v/>
      </c>
      <c r="W36" s="22">
        <f>IF(U36="SI",V36,0)</f>
        <v/>
      </c>
      <c r="X36" s="21" t="n"/>
      <c r="Y36" s="22">
        <f>IF(OR($E36=0,X$78=0),0,IF(AND(X36="N/A",$G36&lt;&gt;""),0,$F36+SUMPRODUCT(($G$14:$G$71=$A36)*($E$14:$E$71=1)*(X$14:X$71="N/A")*$F$14:$F$71)))</f>
        <v/>
      </c>
      <c r="Z36" s="22">
        <f>IF(X36="SI",Y36,0)</f>
        <v/>
      </c>
      <c r="AA36" s="22">
        <f>SUM(J36,M36,P36,S36,V36,Y36)</f>
        <v/>
      </c>
      <c r="AB36" s="22">
        <f>SUM(K36,N36,Q36,T36,W36,Z36)</f>
        <v/>
      </c>
      <c r="AC36" s="23">
        <f>IF(AA36=0,"",AB36/AA36)</f>
        <v/>
      </c>
      <c r="AD36" s="22">
        <f>CRITERIOS!Q24</f>
        <v/>
      </c>
      <c r="AE36" s="22">
        <f>IF(AND(E36=1,H36&lt;&gt;"X",((I36="N/A")+(L36="N/A")+(O36="N/A")+(R36="N/A")+(U36="N/A")+(X36="N/A"))&gt;0),"REVISAR","")</f>
        <v/>
      </c>
    </row>
    <row r="37">
      <c r="A37" s="22">
        <f>CRITERIOS!B25</f>
        <v/>
      </c>
      <c r="B37" s="22">
        <f>CRITERIOS!C25</f>
        <v/>
      </c>
      <c r="C37" s="8">
        <f>CRITERIOS!D25</f>
        <v/>
      </c>
      <c r="D37" s="22">
        <f>CRITERIOS!E25</f>
        <v/>
      </c>
      <c r="E37" s="22">
        <f>IFERROR(IF(AND(OR(CRITERIOS!F25="Todos",CRITERIOS!F25=$B$4),INDEX(CRITERIOS!H25:J25,MATCH($B$5,VARIABLES!$E$2:$E$4,0))=1),1,0),0)</f>
        <v/>
      </c>
      <c r="F37" s="22">
        <f>IFERROR(IF(E37=1,INDEX(CRITERIOS!K25:M25,MATCH($B$5,VARIABLES!$E$2:$E$4,0)),0),0)</f>
        <v/>
      </c>
      <c r="G37" s="22">
        <f>IF(CRITERIOS!N25="","",CRITERIOS!N25)</f>
        <v/>
      </c>
      <c r="H37" s="22">
        <f>IF(CRITERIOS!O25="","",CRITERIOS!O25)</f>
        <v/>
      </c>
      <c r="I37" s="21" t="n"/>
      <c r="J37" s="22">
        <f>IF(OR($E37=0,I$78=0),0,IF(AND(I37="N/A",$G37&lt;&gt;""),0,$F37+SUMPRODUCT(($G$14:$G$71=$A37)*($E$14:$E$71=1)*(I$14:I$71="N/A")*$F$14:$F$71)))</f>
        <v/>
      </c>
      <c r="K37" s="22">
        <f>IF(I37="SI",J37,0)</f>
        <v/>
      </c>
      <c r="L37" s="21" t="n"/>
      <c r="M37" s="22">
        <f>IF(OR($E37=0,L$78=0),0,IF(AND(L37="N/A",$G37&lt;&gt;""),0,$F37+SUMPRODUCT(($G$14:$G$71=$A37)*($E$14:$E$71=1)*(L$14:L$71="N/A")*$F$14:$F$71)))</f>
        <v/>
      </c>
      <c r="N37" s="22">
        <f>IF(L37="SI",M37,0)</f>
        <v/>
      </c>
      <c r="O37" s="21" t="n"/>
      <c r="P37" s="22">
        <f>IF(OR($E37=0,O$78=0),0,IF(AND(O37="N/A",$G37&lt;&gt;""),0,$F37+SUMPRODUCT(($G$14:$G$71=$A37)*($E$14:$E$71=1)*(O$14:O$71="N/A")*$F$14:$F$71)))</f>
        <v/>
      </c>
      <c r="Q37" s="22">
        <f>IF(O37="SI",P37,0)</f>
        <v/>
      </c>
      <c r="R37" s="21" t="n"/>
      <c r="S37" s="22">
        <f>IF(OR($E37=0,R$78=0),0,IF(AND(R37="N/A",$G37&lt;&gt;""),0,$F37+SUMPRODUCT(($G$14:$G$71=$A37)*($E$14:$E$71=1)*(R$14:R$71="N/A")*$F$14:$F$71)))</f>
        <v/>
      </c>
      <c r="T37" s="22">
        <f>IF(R37="SI",S37,0)</f>
        <v/>
      </c>
      <c r="U37" s="21" t="n"/>
      <c r="V37" s="22">
        <f>IF(OR($E37=0,U$78=0),0,IF(AND(U37="N/A",$G37&lt;&gt;""),0,$F37+SUMPRODUCT(($G$14:$G$71=$A37)*($E$14:$E$71=1)*(U$14:U$71="N/A")*$F$14:$F$71)))</f>
        <v/>
      </c>
      <c r="W37" s="22">
        <f>IF(U37="SI",V37,0)</f>
        <v/>
      </c>
      <c r="X37" s="21" t="n"/>
      <c r="Y37" s="22">
        <f>IF(OR($E37=0,X$78=0),0,IF(AND(X37="N/A",$G37&lt;&gt;""),0,$F37+SUMPRODUCT(($G$14:$G$71=$A37)*($E$14:$E$71=1)*(X$14:X$71="N/A")*$F$14:$F$71)))</f>
        <v/>
      </c>
      <c r="Z37" s="22">
        <f>IF(X37="SI",Y37,0)</f>
        <v/>
      </c>
      <c r="AA37" s="22">
        <f>SUM(J37,M37,P37,S37,V37,Y37)</f>
        <v/>
      </c>
      <c r="AB37" s="22">
        <f>SUM(K37,N37,Q37,T37,W37,Z37)</f>
        <v/>
      </c>
      <c r="AC37" s="23">
        <f>IF(AA37=0,"",AB37/AA37)</f>
        <v/>
      </c>
      <c r="AD37" s="22">
        <f>CRITERIOS!Q25</f>
        <v/>
      </c>
      <c r="AE37" s="22">
        <f>IF(AND(E37=1,H37&lt;&gt;"X",((I37="N/A")+(L37="N/A")+(O37="N/A")+(R37="N/A")+(U37="N/A")+(X37="N/A"))&gt;0),"REVISAR","")</f>
        <v/>
      </c>
    </row>
    <row r="38">
      <c r="A38" s="22">
        <f>CRITERIOS!B26</f>
        <v/>
      </c>
      <c r="B38" s="22">
        <f>CRITERIOS!C26</f>
        <v/>
      </c>
      <c r="C38" s="8">
        <f>CRITERIOS!D26</f>
        <v/>
      </c>
      <c r="D38" s="22">
        <f>CRITERIOS!E26</f>
        <v/>
      </c>
      <c r="E38" s="22">
        <f>IFERROR(IF(AND(OR(CRITERIOS!F26="Todos",CRITERIOS!F26=$B$4),INDEX(CRITERIOS!H26:J26,MATCH($B$5,VARIABLES!$E$2:$E$4,0))=1),1,0),0)</f>
        <v/>
      </c>
      <c r="F38" s="22">
        <f>IFERROR(IF(E38=1,INDEX(CRITERIOS!K26:M26,MATCH($B$5,VARIABLES!$E$2:$E$4,0)),0),0)</f>
        <v/>
      </c>
      <c r="G38" s="22">
        <f>IF(CRITERIOS!N26="","",CRITERIOS!N26)</f>
        <v/>
      </c>
      <c r="H38" s="22">
        <f>IF(CRITERIOS!O26="","",CRITERIOS!O26)</f>
        <v/>
      </c>
      <c r="I38" s="21" t="n"/>
      <c r="J38" s="22">
        <f>IF(OR($E38=0,I$78=0),0,IF(AND(I38="N/A",$G38&lt;&gt;""),0,$F38+SUMPRODUCT(($G$14:$G$71=$A38)*($E$14:$E$71=1)*(I$14:I$71="N/A")*$F$14:$F$71)))</f>
        <v/>
      </c>
      <c r="K38" s="22">
        <f>IF(I38="SI",J38,0)</f>
        <v/>
      </c>
      <c r="L38" s="21" t="n"/>
      <c r="M38" s="22">
        <f>IF(OR($E38=0,L$78=0),0,IF(AND(L38="N/A",$G38&lt;&gt;""),0,$F38+SUMPRODUCT(($G$14:$G$71=$A38)*($E$14:$E$71=1)*(L$14:L$71="N/A")*$F$14:$F$71)))</f>
        <v/>
      </c>
      <c r="N38" s="22">
        <f>IF(L38="SI",M38,0)</f>
        <v/>
      </c>
      <c r="O38" s="21" t="n"/>
      <c r="P38" s="22">
        <f>IF(OR($E38=0,O$78=0),0,IF(AND(O38="N/A",$G38&lt;&gt;""),0,$F38+SUMPRODUCT(($G$14:$G$71=$A38)*($E$14:$E$71=1)*(O$14:O$71="N/A")*$F$14:$F$71)))</f>
        <v/>
      </c>
      <c r="Q38" s="22">
        <f>IF(O38="SI",P38,0)</f>
        <v/>
      </c>
      <c r="R38" s="21" t="n"/>
      <c r="S38" s="22">
        <f>IF(OR($E38=0,R$78=0),0,IF(AND(R38="N/A",$G38&lt;&gt;""),0,$F38+SUMPRODUCT(($G$14:$G$71=$A38)*($E$14:$E$71=1)*(R$14:R$71="N/A")*$F$14:$F$71)))</f>
        <v/>
      </c>
      <c r="T38" s="22">
        <f>IF(R38="SI",S38,0)</f>
        <v/>
      </c>
      <c r="U38" s="21" t="n"/>
      <c r="V38" s="22">
        <f>IF(OR($E38=0,U$78=0),0,IF(AND(U38="N/A",$G38&lt;&gt;""),0,$F38+SUMPRODUCT(($G$14:$G$71=$A38)*($E$14:$E$71=1)*(U$14:U$71="N/A")*$F$14:$F$71)))</f>
        <v/>
      </c>
      <c r="W38" s="22">
        <f>IF(U38="SI",V38,0)</f>
        <v/>
      </c>
      <c r="X38" s="21" t="n"/>
      <c r="Y38" s="22">
        <f>IF(OR($E38=0,X$78=0),0,IF(AND(X38="N/A",$G38&lt;&gt;""),0,$F38+SUMPRODUCT(($G$14:$G$71=$A38)*($E$14:$E$71=1)*(X$14:X$71="N/A")*$F$14:$F$71)))</f>
        <v/>
      </c>
      <c r="Z38" s="22">
        <f>IF(X38="SI",Y38,0)</f>
        <v/>
      </c>
      <c r="AA38" s="22">
        <f>SUM(J38,M38,P38,S38,V38,Y38)</f>
        <v/>
      </c>
      <c r="AB38" s="22">
        <f>SUM(K38,N38,Q38,T38,W38,Z38)</f>
        <v/>
      </c>
      <c r="AC38" s="23">
        <f>IF(AA38=0,"",AB38/AA38)</f>
        <v/>
      </c>
      <c r="AD38" s="22">
        <f>CRITERIOS!Q26</f>
        <v/>
      </c>
      <c r="AE38" s="22">
        <f>IF(AND(E38=1,H38&lt;&gt;"X",((I38="N/A")+(L38="N/A")+(O38="N/A")+(R38="N/A")+(U38="N/A")+(X38="N/A"))&gt;0),"REVISAR","")</f>
        <v/>
      </c>
    </row>
    <row r="39">
      <c r="A39" s="22">
        <f>CRITERIOS!B27</f>
        <v/>
      </c>
      <c r="B39" s="22">
        <f>CRITERIOS!C27</f>
        <v/>
      </c>
      <c r="C39" s="8">
        <f>CRITERIOS!D27</f>
        <v/>
      </c>
      <c r="D39" s="22">
        <f>CRITERIOS!E27</f>
        <v/>
      </c>
      <c r="E39" s="22">
        <f>IFERROR(IF(AND(OR(CRITERIOS!F27="Todos",CRITERIOS!F27=$B$4),INDEX(CRITERIOS!H27:J27,MATCH($B$5,VARIABLES!$E$2:$E$4,0))=1),1,0),0)</f>
        <v/>
      </c>
      <c r="F39" s="22">
        <f>IFERROR(IF(E39=1,INDEX(CRITERIOS!K27:M27,MATCH($B$5,VARIABLES!$E$2:$E$4,0)),0),0)</f>
        <v/>
      </c>
      <c r="G39" s="22">
        <f>IF(CRITERIOS!N27="","",CRITERIOS!N27)</f>
        <v/>
      </c>
      <c r="H39" s="22">
        <f>IF(CRITERIOS!O27="","",CRITERIOS!O27)</f>
        <v/>
      </c>
      <c r="I39" s="21" t="n"/>
      <c r="J39" s="22">
        <f>IF(OR($E39=0,I$78=0),0,IF(AND(I39="N/A",$G39&lt;&gt;""),0,$F39+SUMPRODUCT(($G$14:$G$71=$A39)*($E$14:$E$71=1)*(I$14:I$71="N/A")*$F$14:$F$71)))</f>
        <v/>
      </c>
      <c r="K39" s="22">
        <f>IF(I39="SI",J39,0)</f>
        <v/>
      </c>
      <c r="L39" s="21" t="n"/>
      <c r="M39" s="22">
        <f>IF(OR($E39=0,L$78=0),0,IF(AND(L39="N/A",$G39&lt;&gt;""),0,$F39+SUMPRODUCT(($G$14:$G$71=$A39)*($E$14:$E$71=1)*(L$14:L$71="N/A")*$F$14:$F$71)))</f>
        <v/>
      </c>
      <c r="N39" s="22">
        <f>IF(L39="SI",M39,0)</f>
        <v/>
      </c>
      <c r="O39" s="21" t="n"/>
      <c r="P39" s="22">
        <f>IF(OR($E39=0,O$78=0),0,IF(AND(O39="N/A",$G39&lt;&gt;""),0,$F39+SUMPRODUCT(($G$14:$G$71=$A39)*($E$14:$E$71=1)*(O$14:O$71="N/A")*$F$14:$F$71)))</f>
        <v/>
      </c>
      <c r="Q39" s="22">
        <f>IF(O39="SI",P39,0)</f>
        <v/>
      </c>
      <c r="R39" s="21" t="n"/>
      <c r="S39" s="22">
        <f>IF(OR($E39=0,R$78=0),0,IF(AND(R39="N/A",$G39&lt;&gt;""),0,$F39+SUMPRODUCT(($G$14:$G$71=$A39)*($E$14:$E$71=1)*(R$14:R$71="N/A")*$F$14:$F$71)))</f>
        <v/>
      </c>
      <c r="T39" s="22">
        <f>IF(R39="SI",S39,0)</f>
        <v/>
      </c>
      <c r="U39" s="21" t="n"/>
      <c r="V39" s="22">
        <f>IF(OR($E39=0,U$78=0),0,IF(AND(U39="N/A",$G39&lt;&gt;""),0,$F39+SUMPRODUCT(($G$14:$G$71=$A39)*($E$14:$E$71=1)*(U$14:U$71="N/A")*$F$14:$F$71)))</f>
        <v/>
      </c>
      <c r="W39" s="22">
        <f>IF(U39="SI",V39,0)</f>
        <v/>
      </c>
      <c r="X39" s="21" t="n"/>
      <c r="Y39" s="22">
        <f>IF(OR($E39=0,X$78=0),0,IF(AND(X39="N/A",$G39&lt;&gt;""),0,$F39+SUMPRODUCT(($G$14:$G$71=$A39)*($E$14:$E$71=1)*(X$14:X$71="N/A")*$F$14:$F$71)))</f>
        <v/>
      </c>
      <c r="Z39" s="22">
        <f>IF(X39="SI",Y39,0)</f>
        <v/>
      </c>
      <c r="AA39" s="22">
        <f>SUM(J39,M39,P39,S39,V39,Y39)</f>
        <v/>
      </c>
      <c r="AB39" s="22">
        <f>SUM(K39,N39,Q39,T39,W39,Z39)</f>
        <v/>
      </c>
      <c r="AC39" s="23">
        <f>IF(AA39=0,"",AB39/AA39)</f>
        <v/>
      </c>
      <c r="AD39" s="22">
        <f>CRITERIOS!Q27</f>
        <v/>
      </c>
      <c r="AE39" s="22">
        <f>IF(AND(E39=1,H39&lt;&gt;"X",((I39="N/A")+(L39="N/A")+(O39="N/A")+(R39="N/A")+(U39="N/A")+(X39="N/A"))&gt;0),"REVISAR","")</f>
        <v/>
      </c>
    </row>
    <row r="40">
      <c r="A40" s="22">
        <f>CRITERIOS!B28</f>
        <v/>
      </c>
      <c r="B40" s="22">
        <f>CRITERIOS!C28</f>
        <v/>
      </c>
      <c r="C40" s="8">
        <f>CRITERIOS!D28</f>
        <v/>
      </c>
      <c r="D40" s="22">
        <f>CRITERIOS!E28</f>
        <v/>
      </c>
      <c r="E40" s="22">
        <f>IFERROR(IF(AND(OR(CRITERIOS!F28="Todos",CRITERIOS!F28=$B$4),INDEX(CRITERIOS!H28:J28,MATCH($B$5,VARIABLES!$E$2:$E$4,0))=1),1,0),0)</f>
        <v/>
      </c>
      <c r="F40" s="22">
        <f>IFERROR(IF(E40=1,INDEX(CRITERIOS!K28:M28,MATCH($B$5,VARIABLES!$E$2:$E$4,0)),0),0)</f>
        <v/>
      </c>
      <c r="G40" s="22">
        <f>IF(CRITERIOS!N28="","",CRITERIOS!N28)</f>
        <v/>
      </c>
      <c r="H40" s="22">
        <f>IF(CRITERIOS!O28="","",CRITERIOS!O28)</f>
        <v/>
      </c>
      <c r="I40" s="21" t="n"/>
      <c r="J40" s="22">
        <f>IF(OR($E40=0,I$78=0),0,IF(AND(I40="N/A",$G40&lt;&gt;""),0,$F40+SUMPRODUCT(($G$14:$G$71=$A40)*($E$14:$E$71=1)*(I$14:I$71="N/A")*$F$14:$F$71)))</f>
        <v/>
      </c>
      <c r="K40" s="22">
        <f>IF(I40="SI",J40,0)</f>
        <v/>
      </c>
      <c r="L40" s="21" t="n"/>
      <c r="M40" s="22">
        <f>IF(OR($E40=0,L$78=0),0,IF(AND(L40="N/A",$G40&lt;&gt;""),0,$F40+SUMPRODUCT(($G$14:$G$71=$A40)*($E$14:$E$71=1)*(L$14:L$71="N/A")*$F$14:$F$71)))</f>
        <v/>
      </c>
      <c r="N40" s="22">
        <f>IF(L40="SI",M40,0)</f>
        <v/>
      </c>
      <c r="O40" s="21" t="n"/>
      <c r="P40" s="22">
        <f>IF(OR($E40=0,O$78=0),0,IF(AND(O40="N/A",$G40&lt;&gt;""),0,$F40+SUMPRODUCT(($G$14:$G$71=$A40)*($E$14:$E$71=1)*(O$14:O$71="N/A")*$F$14:$F$71)))</f>
        <v/>
      </c>
      <c r="Q40" s="22">
        <f>IF(O40="SI",P40,0)</f>
        <v/>
      </c>
      <c r="R40" s="21" t="n"/>
      <c r="S40" s="22">
        <f>IF(OR($E40=0,R$78=0),0,IF(AND(R40="N/A",$G40&lt;&gt;""),0,$F40+SUMPRODUCT(($G$14:$G$71=$A40)*($E$14:$E$71=1)*(R$14:R$71="N/A")*$F$14:$F$71)))</f>
        <v/>
      </c>
      <c r="T40" s="22">
        <f>IF(R40="SI",S40,0)</f>
        <v/>
      </c>
      <c r="U40" s="21" t="n"/>
      <c r="V40" s="22">
        <f>IF(OR($E40=0,U$78=0),0,IF(AND(U40="N/A",$G40&lt;&gt;""),0,$F40+SUMPRODUCT(($G$14:$G$71=$A40)*($E$14:$E$71=1)*(U$14:U$71="N/A")*$F$14:$F$71)))</f>
        <v/>
      </c>
      <c r="W40" s="22">
        <f>IF(U40="SI",V40,0)</f>
        <v/>
      </c>
      <c r="X40" s="21" t="n"/>
      <c r="Y40" s="22">
        <f>IF(OR($E40=0,X$78=0),0,IF(AND(X40="N/A",$G40&lt;&gt;""),0,$F40+SUMPRODUCT(($G$14:$G$71=$A40)*($E$14:$E$71=1)*(X$14:X$71="N/A")*$F$14:$F$71)))</f>
        <v/>
      </c>
      <c r="Z40" s="22">
        <f>IF(X40="SI",Y40,0)</f>
        <v/>
      </c>
      <c r="AA40" s="22">
        <f>SUM(J40,M40,P40,S40,V40,Y40)</f>
        <v/>
      </c>
      <c r="AB40" s="22">
        <f>SUM(K40,N40,Q40,T40,W40,Z40)</f>
        <v/>
      </c>
      <c r="AC40" s="23">
        <f>IF(AA40=0,"",AB40/AA40)</f>
        <v/>
      </c>
      <c r="AD40" s="22">
        <f>CRITERIOS!Q28</f>
        <v/>
      </c>
      <c r="AE40" s="22">
        <f>IF(AND(E40=1,H40&lt;&gt;"X",((I40="N/A")+(L40="N/A")+(O40="N/A")+(R40="N/A")+(U40="N/A")+(X40="N/A"))&gt;0),"REVISAR","")</f>
        <v/>
      </c>
    </row>
    <row r="41">
      <c r="A41" s="22">
        <f>CRITERIOS!B29</f>
        <v/>
      </c>
      <c r="B41" s="22">
        <f>CRITERIOS!C29</f>
        <v/>
      </c>
      <c r="C41" s="8">
        <f>CRITERIOS!D29</f>
        <v/>
      </c>
      <c r="D41" s="22">
        <f>CRITERIOS!E29</f>
        <v/>
      </c>
      <c r="E41" s="22">
        <f>IFERROR(IF(AND(OR(CRITERIOS!F29="Todos",CRITERIOS!F29=$B$4),INDEX(CRITERIOS!H29:J29,MATCH($B$5,VARIABLES!$E$2:$E$4,0))=1),1,0),0)</f>
        <v/>
      </c>
      <c r="F41" s="22">
        <f>IFERROR(IF(E41=1,INDEX(CRITERIOS!K29:M29,MATCH($B$5,VARIABLES!$E$2:$E$4,0)),0),0)</f>
        <v/>
      </c>
      <c r="G41" s="22">
        <f>IF(CRITERIOS!N29="","",CRITERIOS!N29)</f>
        <v/>
      </c>
      <c r="H41" s="22">
        <f>IF(CRITERIOS!O29="","",CRITERIOS!O29)</f>
        <v/>
      </c>
      <c r="I41" s="21" t="n"/>
      <c r="J41" s="22">
        <f>IF(OR($E41=0,I$78=0),0,IF(AND(I41="N/A",$G41&lt;&gt;""),0,$F41+SUMPRODUCT(($G$14:$G$71=$A41)*($E$14:$E$71=1)*(I$14:I$71="N/A")*$F$14:$F$71)))</f>
        <v/>
      </c>
      <c r="K41" s="22">
        <f>IF(I41="SI",J41,0)</f>
        <v/>
      </c>
      <c r="L41" s="21" t="n"/>
      <c r="M41" s="22">
        <f>IF(OR($E41=0,L$78=0),0,IF(AND(L41="N/A",$G41&lt;&gt;""),0,$F41+SUMPRODUCT(($G$14:$G$71=$A41)*($E$14:$E$71=1)*(L$14:L$71="N/A")*$F$14:$F$71)))</f>
        <v/>
      </c>
      <c r="N41" s="22">
        <f>IF(L41="SI",M41,0)</f>
        <v/>
      </c>
      <c r="O41" s="21" t="n"/>
      <c r="P41" s="22">
        <f>IF(OR($E41=0,O$78=0),0,IF(AND(O41="N/A",$G41&lt;&gt;""),0,$F41+SUMPRODUCT(($G$14:$G$71=$A41)*($E$14:$E$71=1)*(O$14:O$71="N/A")*$F$14:$F$71)))</f>
        <v/>
      </c>
      <c r="Q41" s="22">
        <f>IF(O41="SI",P41,0)</f>
        <v/>
      </c>
      <c r="R41" s="21" t="n"/>
      <c r="S41" s="22">
        <f>IF(OR($E41=0,R$78=0),0,IF(AND(R41="N/A",$G41&lt;&gt;""),0,$F41+SUMPRODUCT(($G$14:$G$71=$A41)*($E$14:$E$71=1)*(R$14:R$71="N/A")*$F$14:$F$71)))</f>
        <v/>
      </c>
      <c r="T41" s="22">
        <f>IF(R41="SI",S41,0)</f>
        <v/>
      </c>
      <c r="U41" s="21" t="n"/>
      <c r="V41" s="22">
        <f>IF(OR($E41=0,U$78=0),0,IF(AND(U41="N/A",$G41&lt;&gt;""),0,$F41+SUMPRODUCT(($G$14:$G$71=$A41)*($E$14:$E$71=1)*(U$14:U$71="N/A")*$F$14:$F$71)))</f>
        <v/>
      </c>
      <c r="W41" s="22">
        <f>IF(U41="SI",V41,0)</f>
        <v/>
      </c>
      <c r="X41" s="21" t="n"/>
      <c r="Y41" s="22">
        <f>IF(OR($E41=0,X$78=0),0,IF(AND(X41="N/A",$G41&lt;&gt;""),0,$F41+SUMPRODUCT(($G$14:$G$71=$A41)*($E$14:$E$71=1)*(X$14:X$71="N/A")*$F$14:$F$71)))</f>
        <v/>
      </c>
      <c r="Z41" s="22">
        <f>IF(X41="SI",Y41,0)</f>
        <v/>
      </c>
      <c r="AA41" s="22">
        <f>SUM(J41,M41,P41,S41,V41,Y41)</f>
        <v/>
      </c>
      <c r="AB41" s="22">
        <f>SUM(K41,N41,Q41,T41,W41,Z41)</f>
        <v/>
      </c>
      <c r="AC41" s="23">
        <f>IF(AA41=0,"",AB41/AA41)</f>
        <v/>
      </c>
      <c r="AD41" s="22">
        <f>CRITERIOS!Q29</f>
        <v/>
      </c>
      <c r="AE41" s="22">
        <f>IF(AND(E41=1,H41&lt;&gt;"X",((I41="N/A")+(L41="N/A")+(O41="N/A")+(R41="N/A")+(U41="N/A")+(X41="N/A"))&gt;0),"REVISAR","")</f>
        <v/>
      </c>
    </row>
    <row r="42">
      <c r="A42" s="24">
        <f>CRITERIOS!B30</f>
        <v/>
      </c>
      <c r="B42" s="24">
        <f>CRITERIOS!C30</f>
        <v/>
      </c>
      <c r="C42" s="25">
        <f>CRITERIOS!D30</f>
        <v/>
      </c>
      <c r="D42" s="24">
        <f>CRITERIOS!E30</f>
        <v/>
      </c>
      <c r="E42" s="24">
        <f>IFERROR(IF(AND(OR(CRITERIOS!F30="Todos",CRITERIOS!F30=$B$4),INDEX(CRITERIOS!H30:J30,MATCH($B$5,VARIABLES!$E$2:$E$4,0))=1),1,0),0)</f>
        <v/>
      </c>
      <c r="F42" s="24">
        <f>IFERROR(IF(E42=1,INDEX(CRITERIOS!K30:M30,MATCH($B$5,VARIABLES!$E$2:$E$4,0)),0),0)</f>
        <v/>
      </c>
      <c r="G42" s="24">
        <f>IF(CRITERIOS!N30="","",CRITERIOS!N30)</f>
        <v/>
      </c>
      <c r="H42" s="24">
        <f>IF(CRITERIOS!O30="","",CRITERIOS!O30)</f>
        <v/>
      </c>
      <c r="I42" s="21" t="n"/>
      <c r="J42" s="22">
        <f>IF(OR($E42=0,I$78=0),0,IF(AND(I42="N/A",$G42&lt;&gt;""),0,$F42+SUMPRODUCT(($G$14:$G$71=$A42)*($E$14:$E$71=1)*(I$14:I$71="N/A")*$F$14:$F$71)))</f>
        <v/>
      </c>
      <c r="K42" s="22">
        <f>IF(I42="SI",J42,0)</f>
        <v/>
      </c>
      <c r="L42" s="21" t="n"/>
      <c r="M42" s="22">
        <f>IF(OR($E42=0,L$78=0),0,IF(AND(L42="N/A",$G42&lt;&gt;""),0,$F42+SUMPRODUCT(($G$14:$G$71=$A42)*($E$14:$E$71=1)*(L$14:L$71="N/A")*$F$14:$F$71)))</f>
        <v/>
      </c>
      <c r="N42" s="22">
        <f>IF(L42="SI",M42,0)</f>
        <v/>
      </c>
      <c r="O42" s="21" t="n"/>
      <c r="P42" s="22">
        <f>IF(OR($E42=0,O$78=0),0,IF(AND(O42="N/A",$G42&lt;&gt;""),0,$F42+SUMPRODUCT(($G$14:$G$71=$A42)*($E$14:$E$71=1)*(O$14:O$71="N/A")*$F$14:$F$71)))</f>
        <v/>
      </c>
      <c r="Q42" s="22">
        <f>IF(O42="SI",P42,0)</f>
        <v/>
      </c>
      <c r="R42" s="21" t="n"/>
      <c r="S42" s="22">
        <f>IF(OR($E42=0,R$78=0),0,IF(AND(R42="N/A",$G42&lt;&gt;""),0,$F42+SUMPRODUCT(($G$14:$G$71=$A42)*($E$14:$E$71=1)*(R$14:R$71="N/A")*$F$14:$F$71)))</f>
        <v/>
      </c>
      <c r="T42" s="22">
        <f>IF(R42="SI",S42,0)</f>
        <v/>
      </c>
      <c r="U42" s="21" t="n"/>
      <c r="V42" s="22">
        <f>IF(OR($E42=0,U$78=0),0,IF(AND(U42="N/A",$G42&lt;&gt;""),0,$F42+SUMPRODUCT(($G$14:$G$71=$A42)*($E$14:$E$71=1)*(U$14:U$71="N/A")*$F$14:$F$71)))</f>
        <v/>
      </c>
      <c r="W42" s="22">
        <f>IF(U42="SI",V42,0)</f>
        <v/>
      </c>
      <c r="X42" s="21" t="n"/>
      <c r="Y42" s="22">
        <f>IF(OR($E42=0,X$78=0),0,IF(AND(X42="N/A",$G42&lt;&gt;""),0,$F42+SUMPRODUCT(($G$14:$G$71=$A42)*($E$14:$E$71=1)*(X$14:X$71="N/A")*$F$14:$F$71)))</f>
        <v/>
      </c>
      <c r="Z42" s="22">
        <f>IF(X42="SI",Y42,0)</f>
        <v/>
      </c>
      <c r="AA42" s="22">
        <f>SUM(J42,M42,P42,S42,V42,Y42)</f>
        <v/>
      </c>
      <c r="AB42" s="22">
        <f>SUM(K42,N42,Q42,T42,W42,Z42)</f>
        <v/>
      </c>
      <c r="AC42" s="23">
        <f>IF(AA42=0,"",AB42/AA42)</f>
        <v/>
      </c>
      <c r="AD42" s="22">
        <f>CRITERIOS!Q30</f>
        <v/>
      </c>
      <c r="AE42" s="22">
        <f>IF(AND(E42=1,H42&lt;&gt;"X",((I42="N/A")+(L42="N/A")+(O42="N/A")+(R42="N/A")+(U42="N/A")+(X42="N/A"))&gt;0),"REVISAR","")</f>
        <v/>
      </c>
    </row>
    <row r="43">
      <c r="A43" s="22">
        <f>CRITERIOS!B31</f>
        <v/>
      </c>
      <c r="B43" s="22">
        <f>CRITERIOS!C31</f>
        <v/>
      </c>
      <c r="C43" s="8">
        <f>CRITERIOS!D31</f>
        <v/>
      </c>
      <c r="D43" s="22">
        <f>CRITERIOS!E31</f>
        <v/>
      </c>
      <c r="E43" s="22">
        <f>IFERROR(IF(AND(OR(CRITERIOS!F31="Todos",CRITERIOS!F31=$B$4),INDEX(CRITERIOS!H31:J31,MATCH($B$5,VARIABLES!$E$2:$E$4,0))=1),1,0),0)</f>
        <v/>
      </c>
      <c r="F43" s="22">
        <f>IFERROR(IF(E43=1,INDEX(CRITERIOS!K31:M31,MATCH($B$5,VARIABLES!$E$2:$E$4,0)),0),0)</f>
        <v/>
      </c>
      <c r="G43" s="22">
        <f>IF(CRITERIOS!N31="","",CRITERIOS!N31)</f>
        <v/>
      </c>
      <c r="H43" s="22">
        <f>IF(CRITERIOS!O31="","",CRITERIOS!O31)</f>
        <v/>
      </c>
      <c r="I43" s="21" t="n"/>
      <c r="J43" s="22">
        <f>IF(OR($E43=0,I$78=0),0,IF(AND(I43="N/A",$G43&lt;&gt;""),0,$F43+SUMPRODUCT(($G$14:$G$71=$A43)*($E$14:$E$71=1)*(I$14:I$71="N/A")*$F$14:$F$71)))</f>
        <v/>
      </c>
      <c r="K43" s="22">
        <f>IF(I43="SI",J43,0)</f>
        <v/>
      </c>
      <c r="L43" s="21" t="n"/>
      <c r="M43" s="22">
        <f>IF(OR($E43=0,L$78=0),0,IF(AND(L43="N/A",$G43&lt;&gt;""),0,$F43+SUMPRODUCT(($G$14:$G$71=$A43)*($E$14:$E$71=1)*(L$14:L$71="N/A")*$F$14:$F$71)))</f>
        <v/>
      </c>
      <c r="N43" s="22">
        <f>IF(L43="SI",M43,0)</f>
        <v/>
      </c>
      <c r="O43" s="21" t="n"/>
      <c r="P43" s="22">
        <f>IF(OR($E43=0,O$78=0),0,IF(AND(O43="N/A",$G43&lt;&gt;""),0,$F43+SUMPRODUCT(($G$14:$G$71=$A43)*($E$14:$E$71=1)*(O$14:O$71="N/A")*$F$14:$F$71)))</f>
        <v/>
      </c>
      <c r="Q43" s="22">
        <f>IF(O43="SI",P43,0)</f>
        <v/>
      </c>
      <c r="R43" s="21" t="n"/>
      <c r="S43" s="22">
        <f>IF(OR($E43=0,R$78=0),0,IF(AND(R43="N/A",$G43&lt;&gt;""),0,$F43+SUMPRODUCT(($G$14:$G$71=$A43)*($E$14:$E$71=1)*(R$14:R$71="N/A")*$F$14:$F$71)))</f>
        <v/>
      </c>
      <c r="T43" s="22">
        <f>IF(R43="SI",S43,0)</f>
        <v/>
      </c>
      <c r="U43" s="21" t="n"/>
      <c r="V43" s="22">
        <f>IF(OR($E43=0,U$78=0),0,IF(AND(U43="N/A",$G43&lt;&gt;""),0,$F43+SUMPRODUCT(($G$14:$G$71=$A43)*($E$14:$E$71=1)*(U$14:U$71="N/A")*$F$14:$F$71)))</f>
        <v/>
      </c>
      <c r="W43" s="22">
        <f>IF(U43="SI",V43,0)</f>
        <v/>
      </c>
      <c r="X43" s="21" t="n"/>
      <c r="Y43" s="22">
        <f>IF(OR($E43=0,X$78=0),0,IF(AND(X43="N/A",$G43&lt;&gt;""),0,$F43+SUMPRODUCT(($G$14:$G$71=$A43)*($E$14:$E$71=1)*(X$14:X$71="N/A")*$F$14:$F$71)))</f>
        <v/>
      </c>
      <c r="Z43" s="22">
        <f>IF(X43="SI",Y43,0)</f>
        <v/>
      </c>
      <c r="AA43" s="22">
        <f>SUM(J43,M43,P43,S43,V43,Y43)</f>
        <v/>
      </c>
      <c r="AB43" s="22">
        <f>SUM(K43,N43,Q43,T43,W43,Z43)</f>
        <v/>
      </c>
      <c r="AC43" s="23">
        <f>IF(AA43=0,"",AB43/AA43)</f>
        <v/>
      </c>
      <c r="AD43" s="22">
        <f>CRITERIOS!Q31</f>
        <v/>
      </c>
      <c r="AE43" s="22">
        <f>IF(AND(E43=1,H43&lt;&gt;"X",((I43="N/A")+(L43="N/A")+(O43="N/A")+(R43="N/A")+(U43="N/A")+(X43="N/A"))&gt;0),"REVISAR","")</f>
        <v/>
      </c>
    </row>
    <row r="44">
      <c r="A44" s="24">
        <f>CRITERIOS!B32</f>
        <v/>
      </c>
      <c r="B44" s="24">
        <f>CRITERIOS!C32</f>
        <v/>
      </c>
      <c r="C44" s="25">
        <f>CRITERIOS!D32</f>
        <v/>
      </c>
      <c r="D44" s="24">
        <f>CRITERIOS!E32</f>
        <v/>
      </c>
      <c r="E44" s="24">
        <f>IFERROR(IF(AND(OR(CRITERIOS!F32="Todos",CRITERIOS!F32=$B$4),INDEX(CRITERIOS!H32:J32,MATCH($B$5,VARIABLES!$E$2:$E$4,0))=1),1,0),0)</f>
        <v/>
      </c>
      <c r="F44" s="24">
        <f>IFERROR(IF(E44=1,INDEX(CRITERIOS!K32:M32,MATCH($B$5,VARIABLES!$E$2:$E$4,0)),0),0)</f>
        <v/>
      </c>
      <c r="G44" s="24">
        <f>IF(CRITERIOS!N32="","",CRITERIOS!N32)</f>
        <v/>
      </c>
      <c r="H44" s="24">
        <f>IF(CRITERIOS!O32="","",CRITERIOS!O32)</f>
        <v/>
      </c>
      <c r="I44" s="21" t="n"/>
      <c r="J44" s="22">
        <f>IF(OR($E44=0,I$78=0),0,IF(AND(I44="N/A",$G44&lt;&gt;""),0,$F44+SUMPRODUCT(($G$14:$G$71=$A44)*($E$14:$E$71=1)*(I$14:I$71="N/A")*$F$14:$F$71)))</f>
        <v/>
      </c>
      <c r="K44" s="22">
        <f>IF(I44="SI",J44,0)</f>
        <v/>
      </c>
      <c r="L44" s="21" t="n"/>
      <c r="M44" s="22">
        <f>IF(OR($E44=0,L$78=0),0,IF(AND(L44="N/A",$G44&lt;&gt;""),0,$F44+SUMPRODUCT(($G$14:$G$71=$A44)*($E$14:$E$71=1)*(L$14:L$71="N/A")*$F$14:$F$71)))</f>
        <v/>
      </c>
      <c r="N44" s="22">
        <f>IF(L44="SI",M44,0)</f>
        <v/>
      </c>
      <c r="O44" s="21" t="n"/>
      <c r="P44" s="22">
        <f>IF(OR($E44=0,O$78=0),0,IF(AND(O44="N/A",$G44&lt;&gt;""),0,$F44+SUMPRODUCT(($G$14:$G$71=$A44)*($E$14:$E$71=1)*(O$14:O$71="N/A")*$F$14:$F$71)))</f>
        <v/>
      </c>
      <c r="Q44" s="22">
        <f>IF(O44="SI",P44,0)</f>
        <v/>
      </c>
      <c r="R44" s="21" t="n"/>
      <c r="S44" s="22">
        <f>IF(OR($E44=0,R$78=0),0,IF(AND(R44="N/A",$G44&lt;&gt;""),0,$F44+SUMPRODUCT(($G$14:$G$71=$A44)*($E$14:$E$71=1)*(R$14:R$71="N/A")*$F$14:$F$71)))</f>
        <v/>
      </c>
      <c r="T44" s="22">
        <f>IF(R44="SI",S44,0)</f>
        <v/>
      </c>
      <c r="U44" s="21" t="n"/>
      <c r="V44" s="22">
        <f>IF(OR($E44=0,U$78=0),0,IF(AND(U44="N/A",$G44&lt;&gt;""),0,$F44+SUMPRODUCT(($G$14:$G$71=$A44)*($E$14:$E$71=1)*(U$14:U$71="N/A")*$F$14:$F$71)))</f>
        <v/>
      </c>
      <c r="W44" s="22">
        <f>IF(U44="SI",V44,0)</f>
        <v/>
      </c>
      <c r="X44" s="21" t="n"/>
      <c r="Y44" s="22">
        <f>IF(OR($E44=0,X$78=0),0,IF(AND(X44="N/A",$G44&lt;&gt;""),0,$F44+SUMPRODUCT(($G$14:$G$71=$A44)*($E$14:$E$71=1)*(X$14:X$71="N/A")*$F$14:$F$71)))</f>
        <v/>
      </c>
      <c r="Z44" s="22">
        <f>IF(X44="SI",Y44,0)</f>
        <v/>
      </c>
      <c r="AA44" s="22">
        <f>SUM(J44,M44,P44,S44,V44,Y44)</f>
        <v/>
      </c>
      <c r="AB44" s="22">
        <f>SUM(K44,N44,Q44,T44,W44,Z44)</f>
        <v/>
      </c>
      <c r="AC44" s="23">
        <f>IF(AA44=0,"",AB44/AA44)</f>
        <v/>
      </c>
      <c r="AD44" s="22">
        <f>CRITERIOS!Q32</f>
        <v/>
      </c>
      <c r="AE44" s="22">
        <f>IF(AND(E44=1,H44&lt;&gt;"X",((I44="N/A")+(L44="N/A")+(O44="N/A")+(R44="N/A")+(U44="N/A")+(X44="N/A"))&gt;0),"REVISAR","")</f>
        <v/>
      </c>
    </row>
    <row r="45">
      <c r="A45" s="22">
        <f>CRITERIOS!B33</f>
        <v/>
      </c>
      <c r="B45" s="22">
        <f>CRITERIOS!C33</f>
        <v/>
      </c>
      <c r="C45" s="8">
        <f>CRITERIOS!D33</f>
        <v/>
      </c>
      <c r="D45" s="22">
        <f>CRITERIOS!E33</f>
        <v/>
      </c>
      <c r="E45" s="22">
        <f>IFERROR(IF(AND(OR(CRITERIOS!F33="Todos",CRITERIOS!F33=$B$4),INDEX(CRITERIOS!H33:J33,MATCH($B$5,VARIABLES!$E$2:$E$4,0))=1),1,0),0)</f>
        <v/>
      </c>
      <c r="F45" s="22">
        <f>IFERROR(IF(E45=1,INDEX(CRITERIOS!K33:M33,MATCH($B$5,VARIABLES!$E$2:$E$4,0)),0),0)</f>
        <v/>
      </c>
      <c r="G45" s="22">
        <f>IF(CRITERIOS!N33="","",CRITERIOS!N33)</f>
        <v/>
      </c>
      <c r="H45" s="22">
        <f>IF(CRITERIOS!O33="","",CRITERIOS!O33)</f>
        <v/>
      </c>
      <c r="I45" s="21" t="n"/>
      <c r="J45" s="22">
        <f>IF(OR($E45=0,I$78=0),0,IF(AND(I45="N/A",$G45&lt;&gt;""),0,$F45+SUMPRODUCT(($G$14:$G$71=$A45)*($E$14:$E$71=1)*(I$14:I$71="N/A")*$F$14:$F$71)))</f>
        <v/>
      </c>
      <c r="K45" s="22">
        <f>IF(I45="SI",J45,0)</f>
        <v/>
      </c>
      <c r="L45" s="21" t="n"/>
      <c r="M45" s="22">
        <f>IF(OR($E45=0,L$78=0),0,IF(AND(L45="N/A",$G45&lt;&gt;""),0,$F45+SUMPRODUCT(($G$14:$G$71=$A45)*($E$14:$E$71=1)*(L$14:L$71="N/A")*$F$14:$F$71)))</f>
        <v/>
      </c>
      <c r="N45" s="22">
        <f>IF(L45="SI",M45,0)</f>
        <v/>
      </c>
      <c r="O45" s="21" t="n"/>
      <c r="P45" s="22">
        <f>IF(OR($E45=0,O$78=0),0,IF(AND(O45="N/A",$G45&lt;&gt;""),0,$F45+SUMPRODUCT(($G$14:$G$71=$A45)*($E$14:$E$71=1)*(O$14:O$71="N/A")*$F$14:$F$71)))</f>
        <v/>
      </c>
      <c r="Q45" s="22">
        <f>IF(O45="SI",P45,0)</f>
        <v/>
      </c>
      <c r="R45" s="21" t="n"/>
      <c r="S45" s="22">
        <f>IF(OR($E45=0,R$78=0),0,IF(AND(R45="N/A",$G45&lt;&gt;""),0,$F45+SUMPRODUCT(($G$14:$G$71=$A45)*($E$14:$E$71=1)*(R$14:R$71="N/A")*$F$14:$F$71)))</f>
        <v/>
      </c>
      <c r="T45" s="22">
        <f>IF(R45="SI",S45,0)</f>
        <v/>
      </c>
      <c r="U45" s="21" t="n"/>
      <c r="V45" s="22">
        <f>IF(OR($E45=0,U$78=0),0,IF(AND(U45="N/A",$G45&lt;&gt;""),0,$F45+SUMPRODUCT(($G$14:$G$71=$A45)*($E$14:$E$71=1)*(U$14:U$71="N/A")*$F$14:$F$71)))</f>
        <v/>
      </c>
      <c r="W45" s="22">
        <f>IF(U45="SI",V45,0)</f>
        <v/>
      </c>
      <c r="X45" s="21" t="n"/>
      <c r="Y45" s="22">
        <f>IF(OR($E45=0,X$78=0),0,IF(AND(X45="N/A",$G45&lt;&gt;""),0,$F45+SUMPRODUCT(($G$14:$G$71=$A45)*($E$14:$E$71=1)*(X$14:X$71="N/A")*$F$14:$F$71)))</f>
        <v/>
      </c>
      <c r="Z45" s="22">
        <f>IF(X45="SI",Y45,0)</f>
        <v/>
      </c>
      <c r="AA45" s="22">
        <f>SUM(J45,M45,P45,S45,V45,Y45)</f>
        <v/>
      </c>
      <c r="AB45" s="22">
        <f>SUM(K45,N45,Q45,T45,W45,Z45)</f>
        <v/>
      </c>
      <c r="AC45" s="23">
        <f>IF(AA45=0,"",AB45/AA45)</f>
        <v/>
      </c>
      <c r="AD45" s="22">
        <f>CRITERIOS!Q33</f>
        <v/>
      </c>
      <c r="AE45" s="22">
        <f>IF(AND(E45=1,H45&lt;&gt;"X",((I45="N/A")+(L45="N/A")+(O45="N/A")+(R45="N/A")+(U45="N/A")+(X45="N/A"))&gt;0),"REVISAR","")</f>
        <v/>
      </c>
    </row>
    <row r="46">
      <c r="A46" s="24">
        <f>CRITERIOS!B34</f>
        <v/>
      </c>
      <c r="B46" s="24">
        <f>CRITERIOS!C34</f>
        <v/>
      </c>
      <c r="C46" s="25">
        <f>CRITERIOS!D34</f>
        <v/>
      </c>
      <c r="D46" s="24">
        <f>CRITERIOS!E34</f>
        <v/>
      </c>
      <c r="E46" s="24">
        <f>IFERROR(IF(AND(OR(CRITERIOS!F34="Todos",CRITERIOS!F34=$B$4),INDEX(CRITERIOS!H34:J34,MATCH($B$5,VARIABLES!$E$2:$E$4,0))=1),1,0),0)</f>
        <v/>
      </c>
      <c r="F46" s="24">
        <f>IFERROR(IF(E46=1,INDEX(CRITERIOS!K34:M34,MATCH($B$5,VARIABLES!$E$2:$E$4,0)),0),0)</f>
        <v/>
      </c>
      <c r="G46" s="24">
        <f>IF(CRITERIOS!N34="","",CRITERIOS!N34)</f>
        <v/>
      </c>
      <c r="H46" s="24">
        <f>IF(CRITERIOS!O34="","",CRITERIOS!O34)</f>
        <v/>
      </c>
      <c r="I46" s="21" t="n"/>
      <c r="J46" s="22">
        <f>IF(OR($E46=0,I$78=0),0,IF(AND(I46="N/A",$G46&lt;&gt;""),0,$F46+SUMPRODUCT(($G$14:$G$71=$A46)*($E$14:$E$71=1)*(I$14:I$71="N/A")*$F$14:$F$71)))</f>
        <v/>
      </c>
      <c r="K46" s="22">
        <f>IF(I46="SI",J46,0)</f>
        <v/>
      </c>
      <c r="L46" s="21" t="n"/>
      <c r="M46" s="22">
        <f>IF(OR($E46=0,L$78=0),0,IF(AND(L46="N/A",$G46&lt;&gt;""),0,$F46+SUMPRODUCT(($G$14:$G$71=$A46)*($E$14:$E$71=1)*(L$14:L$71="N/A")*$F$14:$F$71)))</f>
        <v/>
      </c>
      <c r="N46" s="22">
        <f>IF(L46="SI",M46,0)</f>
        <v/>
      </c>
      <c r="O46" s="21" t="n"/>
      <c r="P46" s="22">
        <f>IF(OR($E46=0,O$78=0),0,IF(AND(O46="N/A",$G46&lt;&gt;""),0,$F46+SUMPRODUCT(($G$14:$G$71=$A46)*($E$14:$E$71=1)*(O$14:O$71="N/A")*$F$14:$F$71)))</f>
        <v/>
      </c>
      <c r="Q46" s="22">
        <f>IF(O46="SI",P46,0)</f>
        <v/>
      </c>
      <c r="R46" s="21" t="n"/>
      <c r="S46" s="22">
        <f>IF(OR($E46=0,R$78=0),0,IF(AND(R46="N/A",$G46&lt;&gt;""),0,$F46+SUMPRODUCT(($G$14:$G$71=$A46)*($E$14:$E$71=1)*(R$14:R$71="N/A")*$F$14:$F$71)))</f>
        <v/>
      </c>
      <c r="T46" s="22">
        <f>IF(R46="SI",S46,0)</f>
        <v/>
      </c>
      <c r="U46" s="21" t="n"/>
      <c r="V46" s="22">
        <f>IF(OR($E46=0,U$78=0),0,IF(AND(U46="N/A",$G46&lt;&gt;""),0,$F46+SUMPRODUCT(($G$14:$G$71=$A46)*($E$14:$E$71=1)*(U$14:U$71="N/A")*$F$14:$F$71)))</f>
        <v/>
      </c>
      <c r="W46" s="22">
        <f>IF(U46="SI",V46,0)</f>
        <v/>
      </c>
      <c r="X46" s="21" t="n"/>
      <c r="Y46" s="22">
        <f>IF(OR($E46=0,X$78=0),0,IF(AND(X46="N/A",$G46&lt;&gt;""),0,$F46+SUMPRODUCT(($G$14:$G$71=$A46)*($E$14:$E$71=1)*(X$14:X$71="N/A")*$F$14:$F$71)))</f>
        <v/>
      </c>
      <c r="Z46" s="22">
        <f>IF(X46="SI",Y46,0)</f>
        <v/>
      </c>
      <c r="AA46" s="22">
        <f>SUM(J46,M46,P46,S46,V46,Y46)</f>
        <v/>
      </c>
      <c r="AB46" s="22">
        <f>SUM(K46,N46,Q46,T46,W46,Z46)</f>
        <v/>
      </c>
      <c r="AC46" s="23">
        <f>IF(AA46=0,"",AB46/AA46)</f>
        <v/>
      </c>
      <c r="AD46" s="22">
        <f>CRITERIOS!Q34</f>
        <v/>
      </c>
      <c r="AE46" s="22">
        <f>IF(AND(E46=1,H46&lt;&gt;"X",((I46="N/A")+(L46="N/A")+(O46="N/A")+(R46="N/A")+(U46="N/A")+(X46="N/A"))&gt;0),"REVISAR","")</f>
        <v/>
      </c>
    </row>
    <row r="47">
      <c r="A47" s="22">
        <f>CRITERIOS!B35</f>
        <v/>
      </c>
      <c r="B47" s="22">
        <f>CRITERIOS!C35</f>
        <v/>
      </c>
      <c r="C47" s="8">
        <f>CRITERIOS!D35</f>
        <v/>
      </c>
      <c r="D47" s="22">
        <f>CRITERIOS!E35</f>
        <v/>
      </c>
      <c r="E47" s="22">
        <f>IFERROR(IF(AND(OR(CRITERIOS!F35="Todos",CRITERIOS!F35=$B$4),INDEX(CRITERIOS!H35:J35,MATCH($B$5,VARIABLES!$E$2:$E$4,0))=1),1,0),0)</f>
        <v/>
      </c>
      <c r="F47" s="22">
        <f>IFERROR(IF(E47=1,INDEX(CRITERIOS!K35:M35,MATCH($B$5,VARIABLES!$E$2:$E$4,0)),0),0)</f>
        <v/>
      </c>
      <c r="G47" s="22">
        <f>IF(CRITERIOS!N35="","",CRITERIOS!N35)</f>
        <v/>
      </c>
      <c r="H47" s="22">
        <f>IF(CRITERIOS!O35="","",CRITERIOS!O35)</f>
        <v/>
      </c>
      <c r="I47" s="21" t="n"/>
      <c r="J47" s="22">
        <f>IF(OR($E47=0,I$78=0),0,IF(AND(I47="N/A",$G47&lt;&gt;""),0,$F47+SUMPRODUCT(($G$14:$G$71=$A47)*($E$14:$E$71=1)*(I$14:I$71="N/A")*$F$14:$F$71)))</f>
        <v/>
      </c>
      <c r="K47" s="22">
        <f>IF(I47="SI",J47,0)</f>
        <v/>
      </c>
      <c r="L47" s="21" t="n"/>
      <c r="M47" s="22">
        <f>IF(OR($E47=0,L$78=0),0,IF(AND(L47="N/A",$G47&lt;&gt;""),0,$F47+SUMPRODUCT(($G$14:$G$71=$A47)*($E$14:$E$71=1)*(L$14:L$71="N/A")*$F$14:$F$71)))</f>
        <v/>
      </c>
      <c r="N47" s="22">
        <f>IF(L47="SI",M47,0)</f>
        <v/>
      </c>
      <c r="O47" s="21" t="n"/>
      <c r="P47" s="22">
        <f>IF(OR($E47=0,O$78=0),0,IF(AND(O47="N/A",$G47&lt;&gt;""),0,$F47+SUMPRODUCT(($G$14:$G$71=$A47)*($E$14:$E$71=1)*(O$14:O$71="N/A")*$F$14:$F$71)))</f>
        <v/>
      </c>
      <c r="Q47" s="22">
        <f>IF(O47="SI",P47,0)</f>
        <v/>
      </c>
      <c r="R47" s="21" t="n"/>
      <c r="S47" s="22">
        <f>IF(OR($E47=0,R$78=0),0,IF(AND(R47="N/A",$G47&lt;&gt;""),0,$F47+SUMPRODUCT(($G$14:$G$71=$A47)*($E$14:$E$71=1)*(R$14:R$71="N/A")*$F$14:$F$71)))</f>
        <v/>
      </c>
      <c r="T47" s="22">
        <f>IF(R47="SI",S47,0)</f>
        <v/>
      </c>
      <c r="U47" s="21" t="n"/>
      <c r="V47" s="22">
        <f>IF(OR($E47=0,U$78=0),0,IF(AND(U47="N/A",$G47&lt;&gt;""),0,$F47+SUMPRODUCT(($G$14:$G$71=$A47)*($E$14:$E$71=1)*(U$14:U$71="N/A")*$F$14:$F$71)))</f>
        <v/>
      </c>
      <c r="W47" s="22">
        <f>IF(U47="SI",V47,0)</f>
        <v/>
      </c>
      <c r="X47" s="21" t="n"/>
      <c r="Y47" s="22">
        <f>IF(OR($E47=0,X$78=0),0,IF(AND(X47="N/A",$G47&lt;&gt;""),0,$F47+SUMPRODUCT(($G$14:$G$71=$A47)*($E$14:$E$71=1)*(X$14:X$71="N/A")*$F$14:$F$71)))</f>
        <v/>
      </c>
      <c r="Z47" s="22">
        <f>IF(X47="SI",Y47,0)</f>
        <v/>
      </c>
      <c r="AA47" s="22">
        <f>SUM(J47,M47,P47,S47,V47,Y47)</f>
        <v/>
      </c>
      <c r="AB47" s="22">
        <f>SUM(K47,N47,Q47,T47,W47,Z47)</f>
        <v/>
      </c>
      <c r="AC47" s="23">
        <f>IF(AA47=0,"",AB47/AA47)</f>
        <v/>
      </c>
      <c r="AD47" s="22">
        <f>CRITERIOS!Q35</f>
        <v/>
      </c>
      <c r="AE47" s="22">
        <f>IF(AND(E47=1,H47&lt;&gt;"X",((I47="N/A")+(L47="N/A")+(O47="N/A")+(R47="N/A")+(U47="N/A")+(X47="N/A"))&gt;0),"REVISAR","")</f>
        <v/>
      </c>
    </row>
    <row r="48">
      <c r="A48" s="24">
        <f>CRITERIOS!B36</f>
        <v/>
      </c>
      <c r="B48" s="24">
        <f>CRITERIOS!C36</f>
        <v/>
      </c>
      <c r="C48" s="25">
        <f>CRITERIOS!D36</f>
        <v/>
      </c>
      <c r="D48" s="24">
        <f>CRITERIOS!E36</f>
        <v/>
      </c>
      <c r="E48" s="24">
        <f>IFERROR(IF(AND(OR(CRITERIOS!F36="Todos",CRITERIOS!F36=$B$4),INDEX(CRITERIOS!H36:J36,MATCH($B$5,VARIABLES!$E$2:$E$4,0))=1),1,0),0)</f>
        <v/>
      </c>
      <c r="F48" s="24">
        <f>IFERROR(IF(E48=1,INDEX(CRITERIOS!K36:M36,MATCH($B$5,VARIABLES!$E$2:$E$4,0)),0),0)</f>
        <v/>
      </c>
      <c r="G48" s="24">
        <f>IF(CRITERIOS!N36="","",CRITERIOS!N36)</f>
        <v/>
      </c>
      <c r="H48" s="24">
        <f>IF(CRITERIOS!O36="","",CRITERIOS!O36)</f>
        <v/>
      </c>
      <c r="I48" s="21" t="n"/>
      <c r="J48" s="22">
        <f>IF(OR($E48=0,I$78=0),0,IF(AND(I48="N/A",$G48&lt;&gt;""),0,$F48+SUMPRODUCT(($G$14:$G$71=$A48)*($E$14:$E$71=1)*(I$14:I$71="N/A")*$F$14:$F$71)))</f>
        <v/>
      </c>
      <c r="K48" s="22">
        <f>IF(I48="SI",J48,0)</f>
        <v/>
      </c>
      <c r="L48" s="21" t="n"/>
      <c r="M48" s="22">
        <f>IF(OR($E48=0,L$78=0),0,IF(AND(L48="N/A",$G48&lt;&gt;""),0,$F48+SUMPRODUCT(($G$14:$G$71=$A48)*($E$14:$E$71=1)*(L$14:L$71="N/A")*$F$14:$F$71)))</f>
        <v/>
      </c>
      <c r="N48" s="22">
        <f>IF(L48="SI",M48,0)</f>
        <v/>
      </c>
      <c r="O48" s="21" t="n"/>
      <c r="P48" s="22">
        <f>IF(OR($E48=0,O$78=0),0,IF(AND(O48="N/A",$G48&lt;&gt;""),0,$F48+SUMPRODUCT(($G$14:$G$71=$A48)*($E$14:$E$71=1)*(O$14:O$71="N/A")*$F$14:$F$71)))</f>
        <v/>
      </c>
      <c r="Q48" s="22">
        <f>IF(O48="SI",P48,0)</f>
        <v/>
      </c>
      <c r="R48" s="21" t="n"/>
      <c r="S48" s="22">
        <f>IF(OR($E48=0,R$78=0),0,IF(AND(R48="N/A",$G48&lt;&gt;""),0,$F48+SUMPRODUCT(($G$14:$G$71=$A48)*($E$14:$E$71=1)*(R$14:R$71="N/A")*$F$14:$F$71)))</f>
        <v/>
      </c>
      <c r="T48" s="22">
        <f>IF(R48="SI",S48,0)</f>
        <v/>
      </c>
      <c r="U48" s="21" t="n"/>
      <c r="V48" s="22">
        <f>IF(OR($E48=0,U$78=0),0,IF(AND(U48="N/A",$G48&lt;&gt;""),0,$F48+SUMPRODUCT(($G$14:$G$71=$A48)*($E$14:$E$71=1)*(U$14:U$71="N/A")*$F$14:$F$71)))</f>
        <v/>
      </c>
      <c r="W48" s="22">
        <f>IF(U48="SI",V48,0)</f>
        <v/>
      </c>
      <c r="X48" s="21" t="n"/>
      <c r="Y48" s="22">
        <f>IF(OR($E48=0,X$78=0),0,IF(AND(X48="N/A",$G48&lt;&gt;""),0,$F48+SUMPRODUCT(($G$14:$G$71=$A48)*($E$14:$E$71=1)*(X$14:X$71="N/A")*$F$14:$F$71)))</f>
        <v/>
      </c>
      <c r="Z48" s="22">
        <f>IF(X48="SI",Y48,0)</f>
        <v/>
      </c>
      <c r="AA48" s="22">
        <f>SUM(J48,M48,P48,S48,V48,Y48)</f>
        <v/>
      </c>
      <c r="AB48" s="22">
        <f>SUM(K48,N48,Q48,T48,W48,Z48)</f>
        <v/>
      </c>
      <c r="AC48" s="23">
        <f>IF(AA48=0,"",AB48/AA48)</f>
        <v/>
      </c>
      <c r="AD48" s="22">
        <f>CRITERIOS!Q36</f>
        <v/>
      </c>
      <c r="AE48" s="22">
        <f>IF(AND(E48=1,H48&lt;&gt;"X",((I48="N/A")+(L48="N/A")+(O48="N/A")+(R48="N/A")+(U48="N/A")+(X48="N/A"))&gt;0),"REVISAR","")</f>
        <v/>
      </c>
    </row>
    <row r="49">
      <c r="A49" s="24">
        <f>CRITERIOS!B37</f>
        <v/>
      </c>
      <c r="B49" s="24">
        <f>CRITERIOS!C37</f>
        <v/>
      </c>
      <c r="C49" s="25">
        <f>CRITERIOS!D37</f>
        <v/>
      </c>
      <c r="D49" s="24">
        <f>CRITERIOS!E37</f>
        <v/>
      </c>
      <c r="E49" s="24">
        <f>IFERROR(IF(AND(OR(CRITERIOS!F37="Todos",CRITERIOS!F37=$B$4),INDEX(CRITERIOS!H37:J37,MATCH($B$5,VARIABLES!$E$2:$E$4,0))=1),1,0),0)</f>
        <v/>
      </c>
      <c r="F49" s="24">
        <f>IFERROR(IF(E49=1,INDEX(CRITERIOS!K37:M37,MATCH($B$5,VARIABLES!$E$2:$E$4,0)),0),0)</f>
        <v/>
      </c>
      <c r="G49" s="24">
        <f>IF(CRITERIOS!N37="","",CRITERIOS!N37)</f>
        <v/>
      </c>
      <c r="H49" s="24">
        <f>IF(CRITERIOS!O37="","",CRITERIOS!O37)</f>
        <v/>
      </c>
      <c r="I49" s="21" t="n"/>
      <c r="J49" s="22">
        <f>IF(OR($E49=0,I$78=0),0,IF(AND(I49="N/A",$G49&lt;&gt;""),0,$F49+SUMPRODUCT(($G$14:$G$71=$A49)*($E$14:$E$71=1)*(I$14:I$71="N/A")*$F$14:$F$71)))</f>
        <v/>
      </c>
      <c r="K49" s="22">
        <f>IF(I49="SI",J49,0)</f>
        <v/>
      </c>
      <c r="L49" s="21" t="n"/>
      <c r="M49" s="22">
        <f>IF(OR($E49=0,L$78=0),0,IF(AND(L49="N/A",$G49&lt;&gt;""),0,$F49+SUMPRODUCT(($G$14:$G$71=$A49)*($E$14:$E$71=1)*(L$14:L$71="N/A")*$F$14:$F$71)))</f>
        <v/>
      </c>
      <c r="N49" s="22">
        <f>IF(L49="SI",M49,0)</f>
        <v/>
      </c>
      <c r="O49" s="21" t="n"/>
      <c r="P49" s="22">
        <f>IF(OR($E49=0,O$78=0),0,IF(AND(O49="N/A",$G49&lt;&gt;""),0,$F49+SUMPRODUCT(($G$14:$G$71=$A49)*($E$14:$E$71=1)*(O$14:O$71="N/A")*$F$14:$F$71)))</f>
        <v/>
      </c>
      <c r="Q49" s="22">
        <f>IF(O49="SI",P49,0)</f>
        <v/>
      </c>
      <c r="R49" s="21" t="n"/>
      <c r="S49" s="22">
        <f>IF(OR($E49=0,R$78=0),0,IF(AND(R49="N/A",$G49&lt;&gt;""),0,$F49+SUMPRODUCT(($G$14:$G$71=$A49)*($E$14:$E$71=1)*(R$14:R$71="N/A")*$F$14:$F$71)))</f>
        <v/>
      </c>
      <c r="T49" s="22">
        <f>IF(R49="SI",S49,0)</f>
        <v/>
      </c>
      <c r="U49" s="21" t="n"/>
      <c r="V49" s="22">
        <f>IF(OR($E49=0,U$78=0),0,IF(AND(U49="N/A",$G49&lt;&gt;""),0,$F49+SUMPRODUCT(($G$14:$G$71=$A49)*($E$14:$E$71=1)*(U$14:U$71="N/A")*$F$14:$F$71)))</f>
        <v/>
      </c>
      <c r="W49" s="22">
        <f>IF(U49="SI",V49,0)</f>
        <v/>
      </c>
      <c r="X49" s="21" t="n"/>
      <c r="Y49" s="22">
        <f>IF(OR($E49=0,X$78=0),0,IF(AND(X49="N/A",$G49&lt;&gt;""),0,$F49+SUMPRODUCT(($G$14:$G$71=$A49)*($E$14:$E$71=1)*(X$14:X$71="N/A")*$F$14:$F$71)))</f>
        <v/>
      </c>
      <c r="Z49" s="22">
        <f>IF(X49="SI",Y49,0)</f>
        <v/>
      </c>
      <c r="AA49" s="22">
        <f>SUM(J49,M49,P49,S49,V49,Y49)</f>
        <v/>
      </c>
      <c r="AB49" s="22">
        <f>SUM(K49,N49,Q49,T49,W49,Z49)</f>
        <v/>
      </c>
      <c r="AC49" s="23">
        <f>IF(AA49=0,"",AB49/AA49)</f>
        <v/>
      </c>
      <c r="AD49" s="22">
        <f>CRITERIOS!Q37</f>
        <v/>
      </c>
      <c r="AE49" s="22">
        <f>IF(AND(E49=1,H49&lt;&gt;"X",((I49="N/A")+(L49="N/A")+(O49="N/A")+(R49="N/A")+(U49="N/A")+(X49="N/A"))&gt;0),"REVISAR","")</f>
        <v/>
      </c>
    </row>
    <row r="50">
      <c r="A50" s="24">
        <f>CRITERIOS!B38</f>
        <v/>
      </c>
      <c r="B50" s="24">
        <f>CRITERIOS!C38</f>
        <v/>
      </c>
      <c r="C50" s="25">
        <f>CRITERIOS!D38</f>
        <v/>
      </c>
      <c r="D50" s="24">
        <f>CRITERIOS!E38</f>
        <v/>
      </c>
      <c r="E50" s="24">
        <f>IFERROR(IF(AND(OR(CRITERIOS!F38="Todos",CRITERIOS!F38=$B$4),INDEX(CRITERIOS!H38:J38,MATCH($B$5,VARIABLES!$E$2:$E$4,0))=1),1,0),0)</f>
        <v/>
      </c>
      <c r="F50" s="24">
        <f>IFERROR(IF(E50=1,INDEX(CRITERIOS!K38:M38,MATCH($B$5,VARIABLES!$E$2:$E$4,0)),0),0)</f>
        <v/>
      </c>
      <c r="G50" s="24">
        <f>IF(CRITERIOS!N38="","",CRITERIOS!N38)</f>
        <v/>
      </c>
      <c r="H50" s="24">
        <f>IF(CRITERIOS!O38="","",CRITERIOS!O38)</f>
        <v/>
      </c>
      <c r="I50" s="21" t="n"/>
      <c r="J50" s="22">
        <f>IF(OR($E50=0,I$78=0),0,IF(AND(I50="N/A",$G50&lt;&gt;""),0,$F50+SUMPRODUCT(($G$14:$G$71=$A50)*($E$14:$E$71=1)*(I$14:I$71="N/A")*$F$14:$F$71)))</f>
        <v/>
      </c>
      <c r="K50" s="22">
        <f>IF(I50="SI",J50,0)</f>
        <v/>
      </c>
      <c r="L50" s="21" t="n"/>
      <c r="M50" s="22">
        <f>IF(OR($E50=0,L$78=0),0,IF(AND(L50="N/A",$G50&lt;&gt;""),0,$F50+SUMPRODUCT(($G$14:$G$71=$A50)*($E$14:$E$71=1)*(L$14:L$71="N/A")*$F$14:$F$71)))</f>
        <v/>
      </c>
      <c r="N50" s="22">
        <f>IF(L50="SI",M50,0)</f>
        <v/>
      </c>
      <c r="O50" s="21" t="n"/>
      <c r="P50" s="22">
        <f>IF(OR($E50=0,O$78=0),0,IF(AND(O50="N/A",$G50&lt;&gt;""),0,$F50+SUMPRODUCT(($G$14:$G$71=$A50)*($E$14:$E$71=1)*(O$14:O$71="N/A")*$F$14:$F$71)))</f>
        <v/>
      </c>
      <c r="Q50" s="22">
        <f>IF(O50="SI",P50,0)</f>
        <v/>
      </c>
      <c r="R50" s="21" t="n"/>
      <c r="S50" s="22">
        <f>IF(OR($E50=0,R$78=0),0,IF(AND(R50="N/A",$G50&lt;&gt;""),0,$F50+SUMPRODUCT(($G$14:$G$71=$A50)*($E$14:$E$71=1)*(R$14:R$71="N/A")*$F$14:$F$71)))</f>
        <v/>
      </c>
      <c r="T50" s="22">
        <f>IF(R50="SI",S50,0)</f>
        <v/>
      </c>
      <c r="U50" s="21" t="n"/>
      <c r="V50" s="22">
        <f>IF(OR($E50=0,U$78=0),0,IF(AND(U50="N/A",$G50&lt;&gt;""),0,$F50+SUMPRODUCT(($G$14:$G$71=$A50)*($E$14:$E$71=1)*(U$14:U$71="N/A")*$F$14:$F$71)))</f>
        <v/>
      </c>
      <c r="W50" s="22">
        <f>IF(U50="SI",V50,0)</f>
        <v/>
      </c>
      <c r="X50" s="21" t="n"/>
      <c r="Y50" s="22">
        <f>IF(OR($E50=0,X$78=0),0,IF(AND(X50="N/A",$G50&lt;&gt;""),0,$F50+SUMPRODUCT(($G$14:$G$71=$A50)*($E$14:$E$71=1)*(X$14:X$71="N/A")*$F$14:$F$71)))</f>
        <v/>
      </c>
      <c r="Z50" s="22">
        <f>IF(X50="SI",Y50,0)</f>
        <v/>
      </c>
      <c r="AA50" s="22">
        <f>SUM(J50,M50,P50,S50,V50,Y50)</f>
        <v/>
      </c>
      <c r="AB50" s="22">
        <f>SUM(K50,N50,Q50,T50,W50,Z50)</f>
        <v/>
      </c>
      <c r="AC50" s="23">
        <f>IF(AA50=0,"",AB50/AA50)</f>
        <v/>
      </c>
      <c r="AD50" s="22">
        <f>CRITERIOS!Q38</f>
        <v/>
      </c>
      <c r="AE50" s="22">
        <f>IF(AND(E50=1,H50&lt;&gt;"X",((I50="N/A")+(L50="N/A")+(O50="N/A")+(R50="N/A")+(U50="N/A")+(X50="N/A"))&gt;0),"REVISAR","")</f>
        <v/>
      </c>
    </row>
    <row r="51">
      <c r="A51" s="24">
        <f>CRITERIOS!B39</f>
        <v/>
      </c>
      <c r="B51" s="24">
        <f>CRITERIOS!C39</f>
        <v/>
      </c>
      <c r="C51" s="25">
        <f>CRITERIOS!D39</f>
        <v/>
      </c>
      <c r="D51" s="24">
        <f>CRITERIOS!E39</f>
        <v/>
      </c>
      <c r="E51" s="24">
        <f>IFERROR(IF(AND(OR(CRITERIOS!F39="Todos",CRITERIOS!F39=$B$4),INDEX(CRITERIOS!H39:J39,MATCH($B$5,VARIABLES!$E$2:$E$4,0))=1),1,0),0)</f>
        <v/>
      </c>
      <c r="F51" s="24">
        <f>IFERROR(IF(E51=1,INDEX(CRITERIOS!K39:M39,MATCH($B$5,VARIABLES!$E$2:$E$4,0)),0),0)</f>
        <v/>
      </c>
      <c r="G51" s="24">
        <f>IF(CRITERIOS!N39="","",CRITERIOS!N39)</f>
        <v/>
      </c>
      <c r="H51" s="24">
        <f>IF(CRITERIOS!O39="","",CRITERIOS!O39)</f>
        <v/>
      </c>
      <c r="I51" s="21" t="n"/>
      <c r="J51" s="22">
        <f>IF(OR($E51=0,I$78=0),0,IF(AND(I51="N/A",$G51&lt;&gt;""),0,$F51+SUMPRODUCT(($G$14:$G$71=$A51)*($E$14:$E$71=1)*(I$14:I$71="N/A")*$F$14:$F$71)))</f>
        <v/>
      </c>
      <c r="K51" s="22">
        <f>IF(I51="SI",J51,0)</f>
        <v/>
      </c>
      <c r="L51" s="21" t="n"/>
      <c r="M51" s="22">
        <f>IF(OR($E51=0,L$78=0),0,IF(AND(L51="N/A",$G51&lt;&gt;""),0,$F51+SUMPRODUCT(($G$14:$G$71=$A51)*($E$14:$E$71=1)*(L$14:L$71="N/A")*$F$14:$F$71)))</f>
        <v/>
      </c>
      <c r="N51" s="22">
        <f>IF(L51="SI",M51,0)</f>
        <v/>
      </c>
      <c r="O51" s="21" t="n"/>
      <c r="P51" s="22">
        <f>IF(OR($E51=0,O$78=0),0,IF(AND(O51="N/A",$G51&lt;&gt;""),0,$F51+SUMPRODUCT(($G$14:$G$71=$A51)*($E$14:$E$71=1)*(O$14:O$71="N/A")*$F$14:$F$71)))</f>
        <v/>
      </c>
      <c r="Q51" s="22">
        <f>IF(O51="SI",P51,0)</f>
        <v/>
      </c>
      <c r="R51" s="21" t="n"/>
      <c r="S51" s="22">
        <f>IF(OR($E51=0,R$78=0),0,IF(AND(R51="N/A",$G51&lt;&gt;""),0,$F51+SUMPRODUCT(($G$14:$G$71=$A51)*($E$14:$E$71=1)*(R$14:R$71="N/A")*$F$14:$F$71)))</f>
        <v/>
      </c>
      <c r="T51" s="22">
        <f>IF(R51="SI",S51,0)</f>
        <v/>
      </c>
      <c r="U51" s="21" t="n"/>
      <c r="V51" s="22">
        <f>IF(OR($E51=0,U$78=0),0,IF(AND(U51="N/A",$G51&lt;&gt;""),0,$F51+SUMPRODUCT(($G$14:$G$71=$A51)*($E$14:$E$71=1)*(U$14:U$71="N/A")*$F$14:$F$71)))</f>
        <v/>
      </c>
      <c r="W51" s="22">
        <f>IF(U51="SI",V51,0)</f>
        <v/>
      </c>
      <c r="X51" s="21" t="n"/>
      <c r="Y51" s="22">
        <f>IF(OR($E51=0,X$78=0),0,IF(AND(X51="N/A",$G51&lt;&gt;""),0,$F51+SUMPRODUCT(($G$14:$G$71=$A51)*($E$14:$E$71=1)*(X$14:X$71="N/A")*$F$14:$F$71)))</f>
        <v/>
      </c>
      <c r="Z51" s="22">
        <f>IF(X51="SI",Y51,0)</f>
        <v/>
      </c>
      <c r="AA51" s="22">
        <f>SUM(J51,M51,P51,S51,V51,Y51)</f>
        <v/>
      </c>
      <c r="AB51" s="22">
        <f>SUM(K51,N51,Q51,T51,W51,Z51)</f>
        <v/>
      </c>
      <c r="AC51" s="23">
        <f>IF(AA51=0,"",AB51/AA51)</f>
        <v/>
      </c>
      <c r="AD51" s="22">
        <f>CRITERIOS!Q39</f>
        <v/>
      </c>
      <c r="AE51" s="22">
        <f>IF(AND(E51=1,H51&lt;&gt;"X",((I51="N/A")+(L51="N/A")+(O51="N/A")+(R51="N/A")+(U51="N/A")+(X51="N/A"))&gt;0),"REVISAR","")</f>
        <v/>
      </c>
    </row>
    <row r="52">
      <c r="A52" s="24">
        <f>CRITERIOS!B40</f>
        <v/>
      </c>
      <c r="B52" s="24">
        <f>CRITERIOS!C40</f>
        <v/>
      </c>
      <c r="C52" s="25">
        <f>CRITERIOS!D40</f>
        <v/>
      </c>
      <c r="D52" s="24">
        <f>CRITERIOS!E40</f>
        <v/>
      </c>
      <c r="E52" s="24">
        <f>IFERROR(IF(AND(OR(CRITERIOS!F40="Todos",CRITERIOS!F40=$B$4),INDEX(CRITERIOS!H40:J40,MATCH($B$5,VARIABLES!$E$2:$E$4,0))=1),1,0),0)</f>
        <v/>
      </c>
      <c r="F52" s="24">
        <f>IFERROR(IF(E52=1,INDEX(CRITERIOS!K40:M40,MATCH($B$5,VARIABLES!$E$2:$E$4,0)),0),0)</f>
        <v/>
      </c>
      <c r="G52" s="24">
        <f>IF(CRITERIOS!N40="","",CRITERIOS!N40)</f>
        <v/>
      </c>
      <c r="H52" s="24">
        <f>IF(CRITERIOS!O40="","",CRITERIOS!O40)</f>
        <v/>
      </c>
      <c r="I52" s="21" t="n"/>
      <c r="J52" s="22">
        <f>IF(OR($E52=0,I$78=0),0,IF(AND(I52="N/A",$G52&lt;&gt;""),0,$F52+SUMPRODUCT(($G$14:$G$71=$A52)*($E$14:$E$71=1)*(I$14:I$71="N/A")*$F$14:$F$71)))</f>
        <v/>
      </c>
      <c r="K52" s="22">
        <f>IF(I52="SI",J52,0)</f>
        <v/>
      </c>
      <c r="L52" s="21" t="n"/>
      <c r="M52" s="22">
        <f>IF(OR($E52=0,L$78=0),0,IF(AND(L52="N/A",$G52&lt;&gt;""),0,$F52+SUMPRODUCT(($G$14:$G$71=$A52)*($E$14:$E$71=1)*(L$14:L$71="N/A")*$F$14:$F$71)))</f>
        <v/>
      </c>
      <c r="N52" s="22">
        <f>IF(L52="SI",M52,0)</f>
        <v/>
      </c>
      <c r="O52" s="21" t="n"/>
      <c r="P52" s="22">
        <f>IF(OR($E52=0,O$78=0),0,IF(AND(O52="N/A",$G52&lt;&gt;""),0,$F52+SUMPRODUCT(($G$14:$G$71=$A52)*($E$14:$E$71=1)*(O$14:O$71="N/A")*$F$14:$F$71)))</f>
        <v/>
      </c>
      <c r="Q52" s="22">
        <f>IF(O52="SI",P52,0)</f>
        <v/>
      </c>
      <c r="R52" s="21" t="n"/>
      <c r="S52" s="22">
        <f>IF(OR($E52=0,R$78=0),0,IF(AND(R52="N/A",$G52&lt;&gt;""),0,$F52+SUMPRODUCT(($G$14:$G$71=$A52)*($E$14:$E$71=1)*(R$14:R$71="N/A")*$F$14:$F$71)))</f>
        <v/>
      </c>
      <c r="T52" s="22">
        <f>IF(R52="SI",S52,0)</f>
        <v/>
      </c>
      <c r="U52" s="21" t="n"/>
      <c r="V52" s="22">
        <f>IF(OR($E52=0,U$78=0),0,IF(AND(U52="N/A",$G52&lt;&gt;""),0,$F52+SUMPRODUCT(($G$14:$G$71=$A52)*($E$14:$E$71=1)*(U$14:U$71="N/A")*$F$14:$F$71)))</f>
        <v/>
      </c>
      <c r="W52" s="22">
        <f>IF(U52="SI",V52,0)</f>
        <v/>
      </c>
      <c r="X52" s="21" t="n"/>
      <c r="Y52" s="22">
        <f>IF(OR($E52=0,X$78=0),0,IF(AND(X52="N/A",$G52&lt;&gt;""),0,$F52+SUMPRODUCT(($G$14:$G$71=$A52)*($E$14:$E$71=1)*(X$14:X$71="N/A")*$F$14:$F$71)))</f>
        <v/>
      </c>
      <c r="Z52" s="22">
        <f>IF(X52="SI",Y52,0)</f>
        <v/>
      </c>
      <c r="AA52" s="22">
        <f>SUM(J52,M52,P52,S52,V52,Y52)</f>
        <v/>
      </c>
      <c r="AB52" s="22">
        <f>SUM(K52,N52,Q52,T52,W52,Z52)</f>
        <v/>
      </c>
      <c r="AC52" s="23">
        <f>IF(AA52=0,"",AB52/AA52)</f>
        <v/>
      </c>
      <c r="AD52" s="22">
        <f>CRITERIOS!Q40</f>
        <v/>
      </c>
      <c r="AE52" s="22">
        <f>IF(AND(E52=1,H52&lt;&gt;"X",((I52="N/A")+(L52="N/A")+(O52="N/A")+(R52="N/A")+(U52="N/A")+(X52="N/A"))&gt;0),"REVISAR","")</f>
        <v/>
      </c>
    </row>
    <row r="53">
      <c r="A53" s="22">
        <f>CRITERIOS!B41</f>
        <v/>
      </c>
      <c r="B53" s="22">
        <f>CRITERIOS!C41</f>
        <v/>
      </c>
      <c r="C53" s="8">
        <f>CRITERIOS!D41</f>
        <v/>
      </c>
      <c r="D53" s="22">
        <f>CRITERIOS!E41</f>
        <v/>
      </c>
      <c r="E53" s="22">
        <f>IFERROR(IF(AND(OR(CRITERIOS!F41="Todos",CRITERIOS!F41=$B$4),INDEX(CRITERIOS!H41:J41,MATCH($B$5,VARIABLES!$E$2:$E$4,0))=1),1,0),0)</f>
        <v/>
      </c>
      <c r="F53" s="22">
        <f>IFERROR(IF(E53=1,INDEX(CRITERIOS!K41:M41,MATCH($B$5,VARIABLES!$E$2:$E$4,0)),0),0)</f>
        <v/>
      </c>
      <c r="G53" s="22">
        <f>IF(CRITERIOS!N41="","",CRITERIOS!N41)</f>
        <v/>
      </c>
      <c r="H53" s="22">
        <f>IF(CRITERIOS!O41="","",CRITERIOS!O41)</f>
        <v/>
      </c>
      <c r="I53" s="21" t="n"/>
      <c r="J53" s="22">
        <f>IF(OR($E53=0,I$78=0),0,IF(AND(I53="N/A",$G53&lt;&gt;""),0,$F53+SUMPRODUCT(($G$14:$G$71=$A53)*($E$14:$E$71=1)*(I$14:I$71="N/A")*$F$14:$F$71)))</f>
        <v/>
      </c>
      <c r="K53" s="22">
        <f>IF(I53="SI",J53,0)</f>
        <v/>
      </c>
      <c r="L53" s="21" t="n"/>
      <c r="M53" s="22">
        <f>IF(OR($E53=0,L$78=0),0,IF(AND(L53="N/A",$G53&lt;&gt;""),0,$F53+SUMPRODUCT(($G$14:$G$71=$A53)*($E$14:$E$71=1)*(L$14:L$71="N/A")*$F$14:$F$71)))</f>
        <v/>
      </c>
      <c r="N53" s="22">
        <f>IF(L53="SI",M53,0)</f>
        <v/>
      </c>
      <c r="O53" s="21" t="n"/>
      <c r="P53" s="22">
        <f>IF(OR($E53=0,O$78=0),0,IF(AND(O53="N/A",$G53&lt;&gt;""),0,$F53+SUMPRODUCT(($G$14:$G$71=$A53)*($E$14:$E$71=1)*(O$14:O$71="N/A")*$F$14:$F$71)))</f>
        <v/>
      </c>
      <c r="Q53" s="22">
        <f>IF(O53="SI",P53,0)</f>
        <v/>
      </c>
      <c r="R53" s="21" t="n"/>
      <c r="S53" s="22">
        <f>IF(OR($E53=0,R$78=0),0,IF(AND(R53="N/A",$G53&lt;&gt;""),0,$F53+SUMPRODUCT(($G$14:$G$71=$A53)*($E$14:$E$71=1)*(R$14:R$71="N/A")*$F$14:$F$71)))</f>
        <v/>
      </c>
      <c r="T53" s="22">
        <f>IF(R53="SI",S53,0)</f>
        <v/>
      </c>
      <c r="U53" s="21" t="n"/>
      <c r="V53" s="22">
        <f>IF(OR($E53=0,U$78=0),0,IF(AND(U53="N/A",$G53&lt;&gt;""),0,$F53+SUMPRODUCT(($G$14:$G$71=$A53)*($E$14:$E$71=1)*(U$14:U$71="N/A")*$F$14:$F$71)))</f>
        <v/>
      </c>
      <c r="W53" s="22">
        <f>IF(U53="SI",V53,0)</f>
        <v/>
      </c>
      <c r="X53" s="21" t="n"/>
      <c r="Y53" s="22">
        <f>IF(OR($E53=0,X$78=0),0,IF(AND(X53="N/A",$G53&lt;&gt;""),0,$F53+SUMPRODUCT(($G$14:$G$71=$A53)*($E$14:$E$71=1)*(X$14:X$71="N/A")*$F$14:$F$71)))</f>
        <v/>
      </c>
      <c r="Z53" s="22">
        <f>IF(X53="SI",Y53,0)</f>
        <v/>
      </c>
      <c r="AA53" s="22">
        <f>SUM(J53,M53,P53,S53,V53,Y53)</f>
        <v/>
      </c>
      <c r="AB53" s="22">
        <f>SUM(K53,N53,Q53,T53,W53,Z53)</f>
        <v/>
      </c>
      <c r="AC53" s="23">
        <f>IF(AA53=0,"",AB53/AA53)</f>
        <v/>
      </c>
      <c r="AD53" s="22">
        <f>CRITERIOS!Q41</f>
        <v/>
      </c>
      <c r="AE53" s="22">
        <f>IF(AND(E53=1,H53&lt;&gt;"X",((I53="N/A")+(L53="N/A")+(O53="N/A")+(R53="N/A")+(U53="N/A")+(X53="N/A"))&gt;0),"REVISAR","")</f>
        <v/>
      </c>
    </row>
    <row r="54">
      <c r="A54" s="22">
        <f>CRITERIOS!B42</f>
        <v/>
      </c>
      <c r="B54" s="22">
        <f>CRITERIOS!C42</f>
        <v/>
      </c>
      <c r="C54" s="8">
        <f>CRITERIOS!D42</f>
        <v/>
      </c>
      <c r="D54" s="22">
        <f>CRITERIOS!E42</f>
        <v/>
      </c>
      <c r="E54" s="22">
        <f>IFERROR(IF(AND(OR(CRITERIOS!F42="Todos",CRITERIOS!F42=$B$4),INDEX(CRITERIOS!H42:J42,MATCH($B$5,VARIABLES!$E$2:$E$4,0))=1),1,0),0)</f>
        <v/>
      </c>
      <c r="F54" s="22">
        <f>IFERROR(IF(E54=1,INDEX(CRITERIOS!K42:M42,MATCH($B$5,VARIABLES!$E$2:$E$4,0)),0),0)</f>
        <v/>
      </c>
      <c r="G54" s="22">
        <f>IF(CRITERIOS!N42="","",CRITERIOS!N42)</f>
        <v/>
      </c>
      <c r="H54" s="22">
        <f>IF(CRITERIOS!O42="","",CRITERIOS!O42)</f>
        <v/>
      </c>
      <c r="I54" s="21" t="n"/>
      <c r="J54" s="22">
        <f>IF(OR($E54=0,I$78=0),0,IF(AND(I54="N/A",$G54&lt;&gt;""),0,$F54+SUMPRODUCT(($G$14:$G$71=$A54)*($E$14:$E$71=1)*(I$14:I$71="N/A")*$F$14:$F$71)))</f>
        <v/>
      </c>
      <c r="K54" s="22">
        <f>IF(I54="SI",J54,0)</f>
        <v/>
      </c>
      <c r="L54" s="21" t="n"/>
      <c r="M54" s="22">
        <f>IF(OR($E54=0,L$78=0),0,IF(AND(L54="N/A",$G54&lt;&gt;""),0,$F54+SUMPRODUCT(($G$14:$G$71=$A54)*($E$14:$E$71=1)*(L$14:L$71="N/A")*$F$14:$F$71)))</f>
        <v/>
      </c>
      <c r="N54" s="22">
        <f>IF(L54="SI",M54,0)</f>
        <v/>
      </c>
      <c r="O54" s="21" t="n"/>
      <c r="P54" s="22">
        <f>IF(OR($E54=0,O$78=0),0,IF(AND(O54="N/A",$G54&lt;&gt;""),0,$F54+SUMPRODUCT(($G$14:$G$71=$A54)*($E$14:$E$71=1)*(O$14:O$71="N/A")*$F$14:$F$71)))</f>
        <v/>
      </c>
      <c r="Q54" s="22">
        <f>IF(O54="SI",P54,0)</f>
        <v/>
      </c>
      <c r="R54" s="21" t="n"/>
      <c r="S54" s="22">
        <f>IF(OR($E54=0,R$78=0),0,IF(AND(R54="N/A",$G54&lt;&gt;""),0,$F54+SUMPRODUCT(($G$14:$G$71=$A54)*($E$14:$E$71=1)*(R$14:R$71="N/A")*$F$14:$F$71)))</f>
        <v/>
      </c>
      <c r="T54" s="22">
        <f>IF(R54="SI",S54,0)</f>
        <v/>
      </c>
      <c r="U54" s="21" t="n"/>
      <c r="V54" s="22">
        <f>IF(OR($E54=0,U$78=0),0,IF(AND(U54="N/A",$G54&lt;&gt;""),0,$F54+SUMPRODUCT(($G$14:$G$71=$A54)*($E$14:$E$71=1)*(U$14:U$71="N/A")*$F$14:$F$71)))</f>
        <v/>
      </c>
      <c r="W54" s="22">
        <f>IF(U54="SI",V54,0)</f>
        <v/>
      </c>
      <c r="X54" s="21" t="n"/>
      <c r="Y54" s="22">
        <f>IF(OR($E54=0,X$78=0),0,IF(AND(X54="N/A",$G54&lt;&gt;""),0,$F54+SUMPRODUCT(($G$14:$G$71=$A54)*($E$14:$E$71=1)*(X$14:X$71="N/A")*$F$14:$F$71)))</f>
        <v/>
      </c>
      <c r="Z54" s="22">
        <f>IF(X54="SI",Y54,0)</f>
        <v/>
      </c>
      <c r="AA54" s="22">
        <f>SUM(J54,M54,P54,S54,V54,Y54)</f>
        <v/>
      </c>
      <c r="AB54" s="22">
        <f>SUM(K54,N54,Q54,T54,W54,Z54)</f>
        <v/>
      </c>
      <c r="AC54" s="23">
        <f>IF(AA54=0,"",AB54/AA54)</f>
        <v/>
      </c>
      <c r="AD54" s="22">
        <f>CRITERIOS!Q42</f>
        <v/>
      </c>
      <c r="AE54" s="22">
        <f>IF(AND(E54=1,H54&lt;&gt;"X",((I54="N/A")+(L54="N/A")+(O54="N/A")+(R54="N/A")+(U54="N/A")+(X54="N/A"))&gt;0),"REVISAR","")</f>
        <v/>
      </c>
    </row>
    <row r="55">
      <c r="A55" s="24">
        <f>CRITERIOS!B43</f>
        <v/>
      </c>
      <c r="B55" s="24">
        <f>CRITERIOS!C43</f>
        <v/>
      </c>
      <c r="C55" s="25">
        <f>CRITERIOS!D43</f>
        <v/>
      </c>
      <c r="D55" s="24">
        <f>CRITERIOS!E43</f>
        <v/>
      </c>
      <c r="E55" s="24">
        <f>IFERROR(IF(AND(OR(CRITERIOS!F43="Todos",CRITERIOS!F43=$B$4),INDEX(CRITERIOS!H43:J43,MATCH($B$5,VARIABLES!$E$2:$E$4,0))=1),1,0),0)</f>
        <v/>
      </c>
      <c r="F55" s="24">
        <f>IFERROR(IF(E55=1,INDEX(CRITERIOS!K43:M43,MATCH($B$5,VARIABLES!$E$2:$E$4,0)),0),0)</f>
        <v/>
      </c>
      <c r="G55" s="24">
        <f>IF(CRITERIOS!N43="","",CRITERIOS!N43)</f>
        <v/>
      </c>
      <c r="H55" s="24">
        <f>IF(CRITERIOS!O43="","",CRITERIOS!O43)</f>
        <v/>
      </c>
      <c r="I55" s="21" t="n"/>
      <c r="J55" s="22">
        <f>IF(OR($E55=0,I$78=0),0,IF(AND(I55="N/A",$G55&lt;&gt;""),0,$F55+SUMPRODUCT(($G$14:$G$71=$A55)*($E$14:$E$71=1)*(I$14:I$71="N/A")*$F$14:$F$71)))</f>
        <v/>
      </c>
      <c r="K55" s="22">
        <f>IF(I55="SI",J55,0)</f>
        <v/>
      </c>
      <c r="L55" s="21" t="n"/>
      <c r="M55" s="22">
        <f>IF(OR($E55=0,L$78=0),0,IF(AND(L55="N/A",$G55&lt;&gt;""),0,$F55+SUMPRODUCT(($G$14:$G$71=$A55)*($E$14:$E$71=1)*(L$14:L$71="N/A")*$F$14:$F$71)))</f>
        <v/>
      </c>
      <c r="N55" s="22">
        <f>IF(L55="SI",M55,0)</f>
        <v/>
      </c>
      <c r="O55" s="21" t="n"/>
      <c r="P55" s="22">
        <f>IF(OR($E55=0,O$78=0),0,IF(AND(O55="N/A",$G55&lt;&gt;""),0,$F55+SUMPRODUCT(($G$14:$G$71=$A55)*($E$14:$E$71=1)*(O$14:O$71="N/A")*$F$14:$F$71)))</f>
        <v/>
      </c>
      <c r="Q55" s="22">
        <f>IF(O55="SI",P55,0)</f>
        <v/>
      </c>
      <c r="R55" s="21" t="n"/>
      <c r="S55" s="22">
        <f>IF(OR($E55=0,R$78=0),0,IF(AND(R55="N/A",$G55&lt;&gt;""),0,$F55+SUMPRODUCT(($G$14:$G$71=$A55)*($E$14:$E$71=1)*(R$14:R$71="N/A")*$F$14:$F$71)))</f>
        <v/>
      </c>
      <c r="T55" s="22">
        <f>IF(R55="SI",S55,0)</f>
        <v/>
      </c>
      <c r="U55" s="21" t="n"/>
      <c r="V55" s="22">
        <f>IF(OR($E55=0,U$78=0),0,IF(AND(U55="N/A",$G55&lt;&gt;""),0,$F55+SUMPRODUCT(($G$14:$G$71=$A55)*($E$14:$E$71=1)*(U$14:U$71="N/A")*$F$14:$F$71)))</f>
        <v/>
      </c>
      <c r="W55" s="22">
        <f>IF(U55="SI",V55,0)</f>
        <v/>
      </c>
      <c r="X55" s="21" t="n"/>
      <c r="Y55" s="22">
        <f>IF(OR($E55=0,X$78=0),0,IF(AND(X55="N/A",$G55&lt;&gt;""),0,$F55+SUMPRODUCT(($G$14:$G$71=$A55)*($E$14:$E$71=1)*(X$14:X$71="N/A")*$F$14:$F$71)))</f>
        <v/>
      </c>
      <c r="Z55" s="22">
        <f>IF(X55="SI",Y55,0)</f>
        <v/>
      </c>
      <c r="AA55" s="22">
        <f>SUM(J55,M55,P55,S55,V55,Y55)</f>
        <v/>
      </c>
      <c r="AB55" s="22">
        <f>SUM(K55,N55,Q55,T55,W55,Z55)</f>
        <v/>
      </c>
      <c r="AC55" s="23">
        <f>IF(AA55=0,"",AB55/AA55)</f>
        <v/>
      </c>
      <c r="AD55" s="22">
        <f>CRITERIOS!Q43</f>
        <v/>
      </c>
      <c r="AE55" s="22">
        <f>IF(AND(E55=1,H55&lt;&gt;"X",((I55="N/A")+(L55="N/A")+(O55="N/A")+(R55="N/A")+(U55="N/A")+(X55="N/A"))&gt;0),"REVISAR","")</f>
        <v/>
      </c>
    </row>
    <row r="56">
      <c r="A56" s="24">
        <f>CRITERIOS!B44</f>
        <v/>
      </c>
      <c r="B56" s="24">
        <f>CRITERIOS!C44</f>
        <v/>
      </c>
      <c r="C56" s="25">
        <f>CRITERIOS!D44</f>
        <v/>
      </c>
      <c r="D56" s="24">
        <f>CRITERIOS!E44</f>
        <v/>
      </c>
      <c r="E56" s="24">
        <f>IFERROR(IF(AND(OR(CRITERIOS!F44="Todos",CRITERIOS!F44=$B$4),INDEX(CRITERIOS!H44:J44,MATCH($B$5,VARIABLES!$E$2:$E$4,0))=1),1,0),0)</f>
        <v/>
      </c>
      <c r="F56" s="24">
        <f>IFERROR(IF(E56=1,INDEX(CRITERIOS!K44:M44,MATCH($B$5,VARIABLES!$E$2:$E$4,0)),0),0)</f>
        <v/>
      </c>
      <c r="G56" s="24">
        <f>IF(CRITERIOS!N44="","",CRITERIOS!N44)</f>
        <v/>
      </c>
      <c r="H56" s="24">
        <f>IF(CRITERIOS!O44="","",CRITERIOS!O44)</f>
        <v/>
      </c>
      <c r="I56" s="21" t="n"/>
      <c r="J56" s="22">
        <f>IF(OR($E56=0,I$78=0),0,IF(AND(I56="N/A",$G56&lt;&gt;""),0,$F56+SUMPRODUCT(($G$14:$G$71=$A56)*($E$14:$E$71=1)*(I$14:I$71="N/A")*$F$14:$F$71)))</f>
        <v/>
      </c>
      <c r="K56" s="22">
        <f>IF(I56="SI",J56,0)</f>
        <v/>
      </c>
      <c r="L56" s="21" t="n"/>
      <c r="M56" s="22">
        <f>IF(OR($E56=0,L$78=0),0,IF(AND(L56="N/A",$G56&lt;&gt;""),0,$F56+SUMPRODUCT(($G$14:$G$71=$A56)*($E$14:$E$71=1)*(L$14:L$71="N/A")*$F$14:$F$71)))</f>
        <v/>
      </c>
      <c r="N56" s="22">
        <f>IF(L56="SI",M56,0)</f>
        <v/>
      </c>
      <c r="O56" s="21" t="n"/>
      <c r="P56" s="22">
        <f>IF(OR($E56=0,O$78=0),0,IF(AND(O56="N/A",$G56&lt;&gt;""),0,$F56+SUMPRODUCT(($G$14:$G$71=$A56)*($E$14:$E$71=1)*(O$14:O$71="N/A")*$F$14:$F$71)))</f>
        <v/>
      </c>
      <c r="Q56" s="22">
        <f>IF(O56="SI",P56,0)</f>
        <v/>
      </c>
      <c r="R56" s="21" t="n"/>
      <c r="S56" s="22">
        <f>IF(OR($E56=0,R$78=0),0,IF(AND(R56="N/A",$G56&lt;&gt;""),0,$F56+SUMPRODUCT(($G$14:$G$71=$A56)*($E$14:$E$71=1)*(R$14:R$71="N/A")*$F$14:$F$71)))</f>
        <v/>
      </c>
      <c r="T56" s="22">
        <f>IF(R56="SI",S56,0)</f>
        <v/>
      </c>
      <c r="U56" s="21" t="n"/>
      <c r="V56" s="22">
        <f>IF(OR($E56=0,U$78=0),0,IF(AND(U56="N/A",$G56&lt;&gt;""),0,$F56+SUMPRODUCT(($G$14:$G$71=$A56)*($E$14:$E$71=1)*(U$14:U$71="N/A")*$F$14:$F$71)))</f>
        <v/>
      </c>
      <c r="W56" s="22">
        <f>IF(U56="SI",V56,0)</f>
        <v/>
      </c>
      <c r="X56" s="21" t="n"/>
      <c r="Y56" s="22">
        <f>IF(OR($E56=0,X$78=0),0,IF(AND(X56="N/A",$G56&lt;&gt;""),0,$F56+SUMPRODUCT(($G$14:$G$71=$A56)*($E$14:$E$71=1)*(X$14:X$71="N/A")*$F$14:$F$71)))</f>
        <v/>
      </c>
      <c r="Z56" s="22">
        <f>IF(X56="SI",Y56,0)</f>
        <v/>
      </c>
      <c r="AA56" s="22">
        <f>SUM(J56,M56,P56,S56,V56,Y56)</f>
        <v/>
      </c>
      <c r="AB56" s="22">
        <f>SUM(K56,N56,Q56,T56,W56,Z56)</f>
        <v/>
      </c>
      <c r="AC56" s="23">
        <f>IF(AA56=0,"",AB56/AA56)</f>
        <v/>
      </c>
      <c r="AD56" s="22">
        <f>CRITERIOS!Q44</f>
        <v/>
      </c>
      <c r="AE56" s="22">
        <f>IF(AND(E56=1,H56&lt;&gt;"X",((I56="N/A")+(L56="N/A")+(O56="N/A")+(R56="N/A")+(U56="N/A")+(X56="N/A"))&gt;0),"REVISAR","")</f>
        <v/>
      </c>
    </row>
    <row r="57">
      <c r="A57" s="24">
        <f>CRITERIOS!B45</f>
        <v/>
      </c>
      <c r="B57" s="24">
        <f>CRITERIOS!C45</f>
        <v/>
      </c>
      <c r="C57" s="25">
        <f>CRITERIOS!D45</f>
        <v/>
      </c>
      <c r="D57" s="24">
        <f>CRITERIOS!E45</f>
        <v/>
      </c>
      <c r="E57" s="24">
        <f>IFERROR(IF(AND(OR(CRITERIOS!F45="Todos",CRITERIOS!F45=$B$4),INDEX(CRITERIOS!H45:J45,MATCH($B$5,VARIABLES!$E$2:$E$4,0))=1),1,0),0)</f>
        <v/>
      </c>
      <c r="F57" s="24">
        <f>IFERROR(IF(E57=1,INDEX(CRITERIOS!K45:M45,MATCH($B$5,VARIABLES!$E$2:$E$4,0)),0),0)</f>
        <v/>
      </c>
      <c r="G57" s="24">
        <f>IF(CRITERIOS!N45="","",CRITERIOS!N45)</f>
        <v/>
      </c>
      <c r="H57" s="24">
        <f>IF(CRITERIOS!O45="","",CRITERIOS!O45)</f>
        <v/>
      </c>
      <c r="I57" s="21" t="n"/>
      <c r="J57" s="22">
        <f>IF(OR($E57=0,I$78=0),0,IF(AND(I57="N/A",$G57&lt;&gt;""),0,$F57+SUMPRODUCT(($G$14:$G$71=$A57)*($E$14:$E$71=1)*(I$14:I$71="N/A")*$F$14:$F$71)))</f>
        <v/>
      </c>
      <c r="K57" s="22">
        <f>IF(I57="SI",J57,0)</f>
        <v/>
      </c>
      <c r="L57" s="21" t="n"/>
      <c r="M57" s="22">
        <f>IF(OR($E57=0,L$78=0),0,IF(AND(L57="N/A",$G57&lt;&gt;""),0,$F57+SUMPRODUCT(($G$14:$G$71=$A57)*($E$14:$E$71=1)*(L$14:L$71="N/A")*$F$14:$F$71)))</f>
        <v/>
      </c>
      <c r="N57" s="22">
        <f>IF(L57="SI",M57,0)</f>
        <v/>
      </c>
      <c r="O57" s="21" t="n"/>
      <c r="P57" s="22">
        <f>IF(OR($E57=0,O$78=0),0,IF(AND(O57="N/A",$G57&lt;&gt;""),0,$F57+SUMPRODUCT(($G$14:$G$71=$A57)*($E$14:$E$71=1)*(O$14:O$71="N/A")*$F$14:$F$71)))</f>
        <v/>
      </c>
      <c r="Q57" s="22">
        <f>IF(O57="SI",P57,0)</f>
        <v/>
      </c>
      <c r="R57" s="21" t="n"/>
      <c r="S57" s="22">
        <f>IF(OR($E57=0,R$78=0),0,IF(AND(R57="N/A",$G57&lt;&gt;""),0,$F57+SUMPRODUCT(($G$14:$G$71=$A57)*($E$14:$E$71=1)*(R$14:R$71="N/A")*$F$14:$F$71)))</f>
        <v/>
      </c>
      <c r="T57" s="22">
        <f>IF(R57="SI",S57,0)</f>
        <v/>
      </c>
      <c r="U57" s="21" t="n"/>
      <c r="V57" s="22">
        <f>IF(OR($E57=0,U$78=0),0,IF(AND(U57="N/A",$G57&lt;&gt;""),0,$F57+SUMPRODUCT(($G$14:$G$71=$A57)*($E$14:$E$71=1)*(U$14:U$71="N/A")*$F$14:$F$71)))</f>
        <v/>
      </c>
      <c r="W57" s="22">
        <f>IF(U57="SI",V57,0)</f>
        <v/>
      </c>
      <c r="X57" s="21" t="n"/>
      <c r="Y57" s="22">
        <f>IF(OR($E57=0,X$78=0),0,IF(AND(X57="N/A",$G57&lt;&gt;""),0,$F57+SUMPRODUCT(($G$14:$G$71=$A57)*($E$14:$E$71=1)*(X$14:X$71="N/A")*$F$14:$F$71)))</f>
        <v/>
      </c>
      <c r="Z57" s="22">
        <f>IF(X57="SI",Y57,0)</f>
        <v/>
      </c>
      <c r="AA57" s="22">
        <f>SUM(J57,M57,P57,S57,V57,Y57)</f>
        <v/>
      </c>
      <c r="AB57" s="22">
        <f>SUM(K57,N57,Q57,T57,W57,Z57)</f>
        <v/>
      </c>
      <c r="AC57" s="23">
        <f>IF(AA57=0,"",AB57/AA57)</f>
        <v/>
      </c>
      <c r="AD57" s="22">
        <f>CRITERIOS!Q45</f>
        <v/>
      </c>
      <c r="AE57" s="22">
        <f>IF(AND(E57=1,H57&lt;&gt;"X",((I57="N/A")+(L57="N/A")+(O57="N/A")+(R57="N/A")+(U57="N/A")+(X57="N/A"))&gt;0),"REVISAR","")</f>
        <v/>
      </c>
    </row>
    <row r="58">
      <c r="A58" s="24">
        <f>CRITERIOS!B46</f>
        <v/>
      </c>
      <c r="B58" s="24">
        <f>CRITERIOS!C46</f>
        <v/>
      </c>
      <c r="C58" s="25">
        <f>CRITERIOS!D46</f>
        <v/>
      </c>
      <c r="D58" s="24">
        <f>CRITERIOS!E46</f>
        <v/>
      </c>
      <c r="E58" s="24">
        <f>IFERROR(IF(AND(OR(CRITERIOS!F46="Todos",CRITERIOS!F46=$B$4),INDEX(CRITERIOS!H46:J46,MATCH($B$5,VARIABLES!$E$2:$E$4,0))=1),1,0),0)</f>
        <v/>
      </c>
      <c r="F58" s="24">
        <f>IFERROR(IF(E58=1,INDEX(CRITERIOS!K46:M46,MATCH($B$5,VARIABLES!$E$2:$E$4,0)),0),0)</f>
        <v/>
      </c>
      <c r="G58" s="24">
        <f>IF(CRITERIOS!N46="","",CRITERIOS!N46)</f>
        <v/>
      </c>
      <c r="H58" s="24">
        <f>IF(CRITERIOS!O46="","",CRITERIOS!O46)</f>
        <v/>
      </c>
      <c r="I58" s="21" t="n"/>
      <c r="J58" s="22">
        <f>IF(OR($E58=0,I$78=0),0,IF(AND(I58="N/A",$G58&lt;&gt;""),0,$F58+SUMPRODUCT(($G$14:$G$71=$A58)*($E$14:$E$71=1)*(I$14:I$71="N/A")*$F$14:$F$71)))</f>
        <v/>
      </c>
      <c r="K58" s="22">
        <f>IF(I58="SI",J58,0)</f>
        <v/>
      </c>
      <c r="L58" s="21" t="n"/>
      <c r="M58" s="22">
        <f>IF(OR($E58=0,L$78=0),0,IF(AND(L58="N/A",$G58&lt;&gt;""),0,$F58+SUMPRODUCT(($G$14:$G$71=$A58)*($E$14:$E$71=1)*(L$14:L$71="N/A")*$F$14:$F$71)))</f>
        <v/>
      </c>
      <c r="N58" s="22">
        <f>IF(L58="SI",M58,0)</f>
        <v/>
      </c>
      <c r="O58" s="21" t="n"/>
      <c r="P58" s="22">
        <f>IF(OR($E58=0,O$78=0),0,IF(AND(O58="N/A",$G58&lt;&gt;""),0,$F58+SUMPRODUCT(($G$14:$G$71=$A58)*($E$14:$E$71=1)*(O$14:O$71="N/A")*$F$14:$F$71)))</f>
        <v/>
      </c>
      <c r="Q58" s="22">
        <f>IF(O58="SI",P58,0)</f>
        <v/>
      </c>
      <c r="R58" s="21" t="n"/>
      <c r="S58" s="22">
        <f>IF(OR($E58=0,R$78=0),0,IF(AND(R58="N/A",$G58&lt;&gt;""),0,$F58+SUMPRODUCT(($G$14:$G$71=$A58)*($E$14:$E$71=1)*(R$14:R$71="N/A")*$F$14:$F$71)))</f>
        <v/>
      </c>
      <c r="T58" s="22">
        <f>IF(R58="SI",S58,0)</f>
        <v/>
      </c>
      <c r="U58" s="21" t="n"/>
      <c r="V58" s="22">
        <f>IF(OR($E58=0,U$78=0),0,IF(AND(U58="N/A",$G58&lt;&gt;""),0,$F58+SUMPRODUCT(($G$14:$G$71=$A58)*($E$14:$E$71=1)*(U$14:U$71="N/A")*$F$14:$F$71)))</f>
        <v/>
      </c>
      <c r="W58" s="22">
        <f>IF(U58="SI",V58,0)</f>
        <v/>
      </c>
      <c r="X58" s="21" t="n"/>
      <c r="Y58" s="22">
        <f>IF(OR($E58=0,X$78=0),0,IF(AND(X58="N/A",$G58&lt;&gt;""),0,$F58+SUMPRODUCT(($G$14:$G$71=$A58)*($E$14:$E$71=1)*(X$14:X$71="N/A")*$F$14:$F$71)))</f>
        <v/>
      </c>
      <c r="Z58" s="22">
        <f>IF(X58="SI",Y58,0)</f>
        <v/>
      </c>
      <c r="AA58" s="22">
        <f>SUM(J58,M58,P58,S58,V58,Y58)</f>
        <v/>
      </c>
      <c r="AB58" s="22">
        <f>SUM(K58,N58,Q58,T58,W58,Z58)</f>
        <v/>
      </c>
      <c r="AC58" s="23">
        <f>IF(AA58=0,"",AB58/AA58)</f>
        <v/>
      </c>
      <c r="AD58" s="22">
        <f>CRITERIOS!Q46</f>
        <v/>
      </c>
      <c r="AE58" s="22">
        <f>IF(AND(E58=1,H58&lt;&gt;"X",((I58="N/A")+(L58="N/A")+(O58="N/A")+(R58="N/A")+(U58="N/A")+(X58="N/A"))&gt;0),"REVISAR","")</f>
        <v/>
      </c>
    </row>
    <row r="59">
      <c r="A59" s="24">
        <f>CRITERIOS!B47</f>
        <v/>
      </c>
      <c r="B59" s="24">
        <f>CRITERIOS!C47</f>
        <v/>
      </c>
      <c r="C59" s="25">
        <f>CRITERIOS!D47</f>
        <v/>
      </c>
      <c r="D59" s="24">
        <f>CRITERIOS!E47</f>
        <v/>
      </c>
      <c r="E59" s="24">
        <f>IFERROR(IF(AND(OR(CRITERIOS!F47="Todos",CRITERIOS!F47=$B$4),INDEX(CRITERIOS!H47:J47,MATCH($B$5,VARIABLES!$E$2:$E$4,0))=1),1,0),0)</f>
        <v/>
      </c>
      <c r="F59" s="24">
        <f>IFERROR(IF(E59=1,INDEX(CRITERIOS!K47:M47,MATCH($B$5,VARIABLES!$E$2:$E$4,0)),0),0)</f>
        <v/>
      </c>
      <c r="G59" s="24">
        <f>IF(CRITERIOS!N47="","",CRITERIOS!N47)</f>
        <v/>
      </c>
      <c r="H59" s="24">
        <f>IF(CRITERIOS!O47="","",CRITERIOS!O47)</f>
        <v/>
      </c>
      <c r="I59" s="21" t="n"/>
      <c r="J59" s="22">
        <f>IF(OR($E59=0,I$78=0),0,IF(AND(I59="N/A",$G59&lt;&gt;""),0,$F59+SUMPRODUCT(($G$14:$G$71=$A59)*($E$14:$E$71=1)*(I$14:I$71="N/A")*$F$14:$F$71)))</f>
        <v/>
      </c>
      <c r="K59" s="22">
        <f>IF(I59="SI",J59,0)</f>
        <v/>
      </c>
      <c r="L59" s="21" t="n"/>
      <c r="M59" s="22">
        <f>IF(OR($E59=0,L$78=0),0,IF(AND(L59="N/A",$G59&lt;&gt;""),0,$F59+SUMPRODUCT(($G$14:$G$71=$A59)*($E$14:$E$71=1)*(L$14:L$71="N/A")*$F$14:$F$71)))</f>
        <v/>
      </c>
      <c r="N59" s="22">
        <f>IF(L59="SI",M59,0)</f>
        <v/>
      </c>
      <c r="O59" s="21" t="n"/>
      <c r="P59" s="22">
        <f>IF(OR($E59=0,O$78=0),0,IF(AND(O59="N/A",$G59&lt;&gt;""),0,$F59+SUMPRODUCT(($G$14:$G$71=$A59)*($E$14:$E$71=1)*(O$14:O$71="N/A")*$F$14:$F$71)))</f>
        <v/>
      </c>
      <c r="Q59" s="22">
        <f>IF(O59="SI",P59,0)</f>
        <v/>
      </c>
      <c r="R59" s="21" t="n"/>
      <c r="S59" s="22">
        <f>IF(OR($E59=0,R$78=0),0,IF(AND(R59="N/A",$G59&lt;&gt;""),0,$F59+SUMPRODUCT(($G$14:$G$71=$A59)*($E$14:$E$71=1)*(R$14:R$71="N/A")*$F$14:$F$71)))</f>
        <v/>
      </c>
      <c r="T59" s="22">
        <f>IF(R59="SI",S59,0)</f>
        <v/>
      </c>
      <c r="U59" s="21" t="n"/>
      <c r="V59" s="22">
        <f>IF(OR($E59=0,U$78=0),0,IF(AND(U59="N/A",$G59&lt;&gt;""),0,$F59+SUMPRODUCT(($G$14:$G$71=$A59)*($E$14:$E$71=1)*(U$14:U$71="N/A")*$F$14:$F$71)))</f>
        <v/>
      </c>
      <c r="W59" s="22">
        <f>IF(U59="SI",V59,0)</f>
        <v/>
      </c>
      <c r="X59" s="21" t="n"/>
      <c r="Y59" s="22">
        <f>IF(OR($E59=0,X$78=0),0,IF(AND(X59="N/A",$G59&lt;&gt;""),0,$F59+SUMPRODUCT(($G$14:$G$71=$A59)*($E$14:$E$71=1)*(X$14:X$71="N/A")*$F$14:$F$71)))</f>
        <v/>
      </c>
      <c r="Z59" s="22">
        <f>IF(X59="SI",Y59,0)</f>
        <v/>
      </c>
      <c r="AA59" s="22">
        <f>SUM(J59,M59,P59,S59,V59,Y59)</f>
        <v/>
      </c>
      <c r="AB59" s="22">
        <f>SUM(K59,N59,Q59,T59,W59,Z59)</f>
        <v/>
      </c>
      <c r="AC59" s="23">
        <f>IF(AA59=0,"",AB59/AA59)</f>
        <v/>
      </c>
      <c r="AD59" s="22">
        <f>CRITERIOS!Q47</f>
        <v/>
      </c>
      <c r="AE59" s="22">
        <f>IF(AND(E59=1,H59&lt;&gt;"X",((I59="N/A")+(L59="N/A")+(O59="N/A")+(R59="N/A")+(U59="N/A")+(X59="N/A"))&gt;0),"REVISAR","")</f>
        <v/>
      </c>
    </row>
    <row r="60">
      <c r="A60" s="24">
        <f>CRITERIOS!B48</f>
        <v/>
      </c>
      <c r="B60" s="24">
        <f>CRITERIOS!C48</f>
        <v/>
      </c>
      <c r="C60" s="25">
        <f>CRITERIOS!D48</f>
        <v/>
      </c>
      <c r="D60" s="24">
        <f>CRITERIOS!E48</f>
        <v/>
      </c>
      <c r="E60" s="24">
        <f>IFERROR(IF(AND(OR(CRITERIOS!F48="Todos",CRITERIOS!F48=$B$4),INDEX(CRITERIOS!H48:J48,MATCH($B$5,VARIABLES!$E$2:$E$4,0))=1),1,0),0)</f>
        <v/>
      </c>
      <c r="F60" s="24">
        <f>IFERROR(IF(E60=1,INDEX(CRITERIOS!K48:M48,MATCH($B$5,VARIABLES!$E$2:$E$4,0)),0),0)</f>
        <v/>
      </c>
      <c r="G60" s="24">
        <f>IF(CRITERIOS!N48="","",CRITERIOS!N48)</f>
        <v/>
      </c>
      <c r="H60" s="24">
        <f>IF(CRITERIOS!O48="","",CRITERIOS!O48)</f>
        <v/>
      </c>
      <c r="I60" s="21" t="n"/>
      <c r="J60" s="22">
        <f>IF(OR($E60=0,I$78=0),0,IF(AND(I60="N/A",$G60&lt;&gt;""),0,$F60+SUMPRODUCT(($G$14:$G$71=$A60)*($E$14:$E$71=1)*(I$14:I$71="N/A")*$F$14:$F$71)))</f>
        <v/>
      </c>
      <c r="K60" s="22">
        <f>IF(I60="SI",J60,0)</f>
        <v/>
      </c>
      <c r="L60" s="21" t="n"/>
      <c r="M60" s="22">
        <f>IF(OR($E60=0,L$78=0),0,IF(AND(L60="N/A",$G60&lt;&gt;""),0,$F60+SUMPRODUCT(($G$14:$G$71=$A60)*($E$14:$E$71=1)*(L$14:L$71="N/A")*$F$14:$F$71)))</f>
        <v/>
      </c>
      <c r="N60" s="22">
        <f>IF(L60="SI",M60,0)</f>
        <v/>
      </c>
      <c r="O60" s="21" t="n"/>
      <c r="P60" s="22">
        <f>IF(OR($E60=0,O$78=0),0,IF(AND(O60="N/A",$G60&lt;&gt;""),0,$F60+SUMPRODUCT(($G$14:$G$71=$A60)*($E$14:$E$71=1)*(O$14:O$71="N/A")*$F$14:$F$71)))</f>
        <v/>
      </c>
      <c r="Q60" s="22">
        <f>IF(O60="SI",P60,0)</f>
        <v/>
      </c>
      <c r="R60" s="21" t="n"/>
      <c r="S60" s="22">
        <f>IF(OR($E60=0,R$78=0),0,IF(AND(R60="N/A",$G60&lt;&gt;""),0,$F60+SUMPRODUCT(($G$14:$G$71=$A60)*($E$14:$E$71=1)*(R$14:R$71="N/A")*$F$14:$F$71)))</f>
        <v/>
      </c>
      <c r="T60" s="22">
        <f>IF(R60="SI",S60,0)</f>
        <v/>
      </c>
      <c r="U60" s="21" t="n"/>
      <c r="V60" s="22">
        <f>IF(OR($E60=0,U$78=0),0,IF(AND(U60="N/A",$G60&lt;&gt;""),0,$F60+SUMPRODUCT(($G$14:$G$71=$A60)*($E$14:$E$71=1)*(U$14:U$71="N/A")*$F$14:$F$71)))</f>
        <v/>
      </c>
      <c r="W60" s="22">
        <f>IF(U60="SI",V60,0)</f>
        <v/>
      </c>
      <c r="X60" s="21" t="n"/>
      <c r="Y60" s="22">
        <f>IF(OR($E60=0,X$78=0),0,IF(AND(X60="N/A",$G60&lt;&gt;""),0,$F60+SUMPRODUCT(($G$14:$G$71=$A60)*($E$14:$E$71=1)*(X$14:X$71="N/A")*$F$14:$F$71)))</f>
        <v/>
      </c>
      <c r="Z60" s="22">
        <f>IF(X60="SI",Y60,0)</f>
        <v/>
      </c>
      <c r="AA60" s="22">
        <f>SUM(J60,M60,P60,S60,V60,Y60)</f>
        <v/>
      </c>
      <c r="AB60" s="22">
        <f>SUM(K60,N60,Q60,T60,W60,Z60)</f>
        <v/>
      </c>
      <c r="AC60" s="23">
        <f>IF(AA60=0,"",AB60/AA60)</f>
        <v/>
      </c>
      <c r="AD60" s="22">
        <f>CRITERIOS!Q48</f>
        <v/>
      </c>
      <c r="AE60" s="22">
        <f>IF(AND(E60=1,H60&lt;&gt;"X",((I60="N/A")+(L60="N/A")+(O60="N/A")+(R60="N/A")+(U60="N/A")+(X60="N/A"))&gt;0),"REVISAR","")</f>
        <v/>
      </c>
    </row>
    <row r="61">
      <c r="A61" s="22">
        <f>CRITERIOS!B49</f>
        <v/>
      </c>
      <c r="B61" s="22">
        <f>CRITERIOS!C49</f>
        <v/>
      </c>
      <c r="C61" s="8">
        <f>CRITERIOS!D49</f>
        <v/>
      </c>
      <c r="D61" s="22">
        <f>CRITERIOS!E49</f>
        <v/>
      </c>
      <c r="E61" s="22">
        <f>IFERROR(IF(AND(OR(CRITERIOS!F49="Todos",CRITERIOS!F49=$B$4),INDEX(CRITERIOS!H49:J49,MATCH($B$5,VARIABLES!$E$2:$E$4,0))=1),1,0),0)</f>
        <v/>
      </c>
      <c r="F61" s="22">
        <f>IFERROR(IF(E61=1,INDEX(CRITERIOS!K49:M49,MATCH($B$5,VARIABLES!$E$2:$E$4,0)),0),0)</f>
        <v/>
      </c>
      <c r="G61" s="22">
        <f>IF(CRITERIOS!N49="","",CRITERIOS!N49)</f>
        <v/>
      </c>
      <c r="H61" s="22">
        <f>IF(CRITERIOS!O49="","",CRITERIOS!O49)</f>
        <v/>
      </c>
      <c r="I61" s="21" t="n"/>
      <c r="J61" s="22">
        <f>IF(OR($E61=0,I$78=0),0,IF(AND(I61="N/A",$G61&lt;&gt;""),0,$F61+SUMPRODUCT(($G$14:$G$71=$A61)*($E$14:$E$71=1)*(I$14:I$71="N/A")*$F$14:$F$71)))</f>
        <v/>
      </c>
      <c r="K61" s="22">
        <f>IF(I61="SI",J61,0)</f>
        <v/>
      </c>
      <c r="L61" s="21" t="n"/>
      <c r="M61" s="22">
        <f>IF(OR($E61=0,L$78=0),0,IF(AND(L61="N/A",$G61&lt;&gt;""),0,$F61+SUMPRODUCT(($G$14:$G$71=$A61)*($E$14:$E$71=1)*(L$14:L$71="N/A")*$F$14:$F$71)))</f>
        <v/>
      </c>
      <c r="N61" s="22">
        <f>IF(L61="SI",M61,0)</f>
        <v/>
      </c>
      <c r="O61" s="21" t="n"/>
      <c r="P61" s="22">
        <f>IF(OR($E61=0,O$78=0),0,IF(AND(O61="N/A",$G61&lt;&gt;""),0,$F61+SUMPRODUCT(($G$14:$G$71=$A61)*($E$14:$E$71=1)*(O$14:O$71="N/A")*$F$14:$F$71)))</f>
        <v/>
      </c>
      <c r="Q61" s="22">
        <f>IF(O61="SI",P61,0)</f>
        <v/>
      </c>
      <c r="R61" s="21" t="n"/>
      <c r="S61" s="22">
        <f>IF(OR($E61=0,R$78=0),0,IF(AND(R61="N/A",$G61&lt;&gt;""),0,$F61+SUMPRODUCT(($G$14:$G$71=$A61)*($E$14:$E$71=1)*(R$14:R$71="N/A")*$F$14:$F$71)))</f>
        <v/>
      </c>
      <c r="T61" s="22">
        <f>IF(R61="SI",S61,0)</f>
        <v/>
      </c>
      <c r="U61" s="21" t="n"/>
      <c r="V61" s="22">
        <f>IF(OR($E61=0,U$78=0),0,IF(AND(U61="N/A",$G61&lt;&gt;""),0,$F61+SUMPRODUCT(($G$14:$G$71=$A61)*($E$14:$E$71=1)*(U$14:U$71="N/A")*$F$14:$F$71)))</f>
        <v/>
      </c>
      <c r="W61" s="22">
        <f>IF(U61="SI",V61,0)</f>
        <v/>
      </c>
      <c r="X61" s="21" t="n"/>
      <c r="Y61" s="22">
        <f>IF(OR($E61=0,X$78=0),0,IF(AND(X61="N/A",$G61&lt;&gt;""),0,$F61+SUMPRODUCT(($G$14:$G$71=$A61)*($E$14:$E$71=1)*(X$14:X$71="N/A")*$F$14:$F$71)))</f>
        <v/>
      </c>
      <c r="Z61" s="22">
        <f>IF(X61="SI",Y61,0)</f>
        <v/>
      </c>
      <c r="AA61" s="22">
        <f>SUM(J61,M61,P61,S61,V61,Y61)</f>
        <v/>
      </c>
      <c r="AB61" s="22">
        <f>SUM(K61,N61,Q61,T61,W61,Z61)</f>
        <v/>
      </c>
      <c r="AC61" s="23">
        <f>IF(AA61=0,"",AB61/AA61)</f>
        <v/>
      </c>
      <c r="AD61" s="22">
        <f>CRITERIOS!Q49</f>
        <v/>
      </c>
      <c r="AE61" s="22">
        <f>IF(AND(E61=1,H61&lt;&gt;"X",((I61="N/A")+(L61="N/A")+(O61="N/A")+(R61="N/A")+(U61="N/A")+(X61="N/A"))&gt;0),"REVISAR","")</f>
        <v/>
      </c>
    </row>
    <row r="62">
      <c r="A62" s="24">
        <f>CRITERIOS!B50</f>
        <v/>
      </c>
      <c r="B62" s="24">
        <f>CRITERIOS!C50</f>
        <v/>
      </c>
      <c r="C62" s="25">
        <f>CRITERIOS!D50</f>
        <v/>
      </c>
      <c r="D62" s="24">
        <f>CRITERIOS!E50</f>
        <v/>
      </c>
      <c r="E62" s="24">
        <f>IFERROR(IF(AND(OR(CRITERIOS!F50="Todos",CRITERIOS!F50=$B$4),INDEX(CRITERIOS!H50:J50,MATCH($B$5,VARIABLES!$E$2:$E$4,0))=1),1,0),0)</f>
        <v/>
      </c>
      <c r="F62" s="24">
        <f>IFERROR(IF(E62=1,INDEX(CRITERIOS!K50:M50,MATCH($B$5,VARIABLES!$E$2:$E$4,0)),0),0)</f>
        <v/>
      </c>
      <c r="G62" s="24">
        <f>IF(CRITERIOS!N50="","",CRITERIOS!N50)</f>
        <v/>
      </c>
      <c r="H62" s="24">
        <f>IF(CRITERIOS!O50="","",CRITERIOS!O50)</f>
        <v/>
      </c>
      <c r="I62" s="21" t="n"/>
      <c r="J62" s="22">
        <f>IF(OR($E62=0,I$78=0),0,IF(AND(I62="N/A",$G62&lt;&gt;""),0,$F62+SUMPRODUCT(($G$14:$G$71=$A62)*($E$14:$E$71=1)*(I$14:I$71="N/A")*$F$14:$F$71)))</f>
        <v/>
      </c>
      <c r="K62" s="22">
        <f>IF(I62="SI",J62,0)</f>
        <v/>
      </c>
      <c r="L62" s="21" t="n"/>
      <c r="M62" s="22">
        <f>IF(OR($E62=0,L$78=0),0,IF(AND(L62="N/A",$G62&lt;&gt;""),0,$F62+SUMPRODUCT(($G$14:$G$71=$A62)*($E$14:$E$71=1)*(L$14:L$71="N/A")*$F$14:$F$71)))</f>
        <v/>
      </c>
      <c r="N62" s="22">
        <f>IF(L62="SI",M62,0)</f>
        <v/>
      </c>
      <c r="O62" s="21" t="n"/>
      <c r="P62" s="22">
        <f>IF(OR($E62=0,O$78=0),0,IF(AND(O62="N/A",$G62&lt;&gt;""),0,$F62+SUMPRODUCT(($G$14:$G$71=$A62)*($E$14:$E$71=1)*(O$14:O$71="N/A")*$F$14:$F$71)))</f>
        <v/>
      </c>
      <c r="Q62" s="22">
        <f>IF(O62="SI",P62,0)</f>
        <v/>
      </c>
      <c r="R62" s="21" t="n"/>
      <c r="S62" s="22">
        <f>IF(OR($E62=0,R$78=0),0,IF(AND(R62="N/A",$G62&lt;&gt;""),0,$F62+SUMPRODUCT(($G$14:$G$71=$A62)*($E$14:$E$71=1)*(R$14:R$71="N/A")*$F$14:$F$71)))</f>
        <v/>
      </c>
      <c r="T62" s="22">
        <f>IF(R62="SI",S62,0)</f>
        <v/>
      </c>
      <c r="U62" s="21" t="n"/>
      <c r="V62" s="22">
        <f>IF(OR($E62=0,U$78=0),0,IF(AND(U62="N/A",$G62&lt;&gt;""),0,$F62+SUMPRODUCT(($G$14:$G$71=$A62)*($E$14:$E$71=1)*(U$14:U$71="N/A")*$F$14:$F$71)))</f>
        <v/>
      </c>
      <c r="W62" s="22">
        <f>IF(U62="SI",V62,0)</f>
        <v/>
      </c>
      <c r="X62" s="21" t="n"/>
      <c r="Y62" s="22">
        <f>IF(OR($E62=0,X$78=0),0,IF(AND(X62="N/A",$G62&lt;&gt;""),0,$F62+SUMPRODUCT(($G$14:$G$71=$A62)*($E$14:$E$71=1)*(X$14:X$71="N/A")*$F$14:$F$71)))</f>
        <v/>
      </c>
      <c r="Z62" s="22">
        <f>IF(X62="SI",Y62,0)</f>
        <v/>
      </c>
      <c r="AA62" s="22">
        <f>SUM(J62,M62,P62,S62,V62,Y62)</f>
        <v/>
      </c>
      <c r="AB62" s="22">
        <f>SUM(K62,N62,Q62,T62,W62,Z62)</f>
        <v/>
      </c>
      <c r="AC62" s="23">
        <f>IF(AA62=0,"",AB62/AA62)</f>
        <v/>
      </c>
      <c r="AD62" s="22">
        <f>CRITERIOS!Q50</f>
        <v/>
      </c>
      <c r="AE62" s="22">
        <f>IF(AND(E62=1,H62&lt;&gt;"X",((I62="N/A")+(L62="N/A")+(O62="N/A")+(R62="N/A")+(U62="N/A")+(X62="N/A"))&gt;0),"REVISAR","")</f>
        <v/>
      </c>
    </row>
    <row r="63">
      <c r="A63" s="24">
        <f>CRITERIOS!B51</f>
        <v/>
      </c>
      <c r="B63" s="24">
        <f>CRITERIOS!C51</f>
        <v/>
      </c>
      <c r="C63" s="25">
        <f>CRITERIOS!D51</f>
        <v/>
      </c>
      <c r="D63" s="24">
        <f>CRITERIOS!E51</f>
        <v/>
      </c>
      <c r="E63" s="24">
        <f>IFERROR(IF(AND(OR(CRITERIOS!F51="Todos",CRITERIOS!F51=$B$4),INDEX(CRITERIOS!H51:J51,MATCH($B$5,VARIABLES!$E$2:$E$4,0))=1),1,0),0)</f>
        <v/>
      </c>
      <c r="F63" s="24">
        <f>IFERROR(IF(E63=1,INDEX(CRITERIOS!K51:M51,MATCH($B$5,VARIABLES!$E$2:$E$4,0)),0),0)</f>
        <v/>
      </c>
      <c r="G63" s="24">
        <f>IF(CRITERIOS!N51="","",CRITERIOS!N51)</f>
        <v/>
      </c>
      <c r="H63" s="24">
        <f>IF(CRITERIOS!O51="","",CRITERIOS!O51)</f>
        <v/>
      </c>
      <c r="I63" s="21" t="n"/>
      <c r="J63" s="22">
        <f>IF(OR($E63=0,I$78=0),0,IF(AND(I63="N/A",$G63&lt;&gt;""),0,$F63+SUMPRODUCT(($G$14:$G$71=$A63)*($E$14:$E$71=1)*(I$14:I$71="N/A")*$F$14:$F$71)))</f>
        <v/>
      </c>
      <c r="K63" s="22">
        <f>IF(I63="SI",J63,0)</f>
        <v/>
      </c>
      <c r="L63" s="21" t="n"/>
      <c r="M63" s="22">
        <f>IF(OR($E63=0,L$78=0),0,IF(AND(L63="N/A",$G63&lt;&gt;""),0,$F63+SUMPRODUCT(($G$14:$G$71=$A63)*($E$14:$E$71=1)*(L$14:L$71="N/A")*$F$14:$F$71)))</f>
        <v/>
      </c>
      <c r="N63" s="22">
        <f>IF(L63="SI",M63,0)</f>
        <v/>
      </c>
      <c r="O63" s="21" t="n"/>
      <c r="P63" s="22">
        <f>IF(OR($E63=0,O$78=0),0,IF(AND(O63="N/A",$G63&lt;&gt;""),0,$F63+SUMPRODUCT(($G$14:$G$71=$A63)*($E$14:$E$71=1)*(O$14:O$71="N/A")*$F$14:$F$71)))</f>
        <v/>
      </c>
      <c r="Q63" s="22">
        <f>IF(O63="SI",P63,0)</f>
        <v/>
      </c>
      <c r="R63" s="21" t="n"/>
      <c r="S63" s="22">
        <f>IF(OR($E63=0,R$78=0),0,IF(AND(R63="N/A",$G63&lt;&gt;""),0,$F63+SUMPRODUCT(($G$14:$G$71=$A63)*($E$14:$E$71=1)*(R$14:R$71="N/A")*$F$14:$F$71)))</f>
        <v/>
      </c>
      <c r="T63" s="22">
        <f>IF(R63="SI",S63,0)</f>
        <v/>
      </c>
      <c r="U63" s="21" t="n"/>
      <c r="V63" s="22">
        <f>IF(OR($E63=0,U$78=0),0,IF(AND(U63="N/A",$G63&lt;&gt;""),0,$F63+SUMPRODUCT(($G$14:$G$71=$A63)*($E$14:$E$71=1)*(U$14:U$71="N/A")*$F$14:$F$71)))</f>
        <v/>
      </c>
      <c r="W63" s="22">
        <f>IF(U63="SI",V63,0)</f>
        <v/>
      </c>
      <c r="X63" s="21" t="n"/>
      <c r="Y63" s="22">
        <f>IF(OR($E63=0,X$78=0),0,IF(AND(X63="N/A",$G63&lt;&gt;""),0,$F63+SUMPRODUCT(($G$14:$G$71=$A63)*($E$14:$E$71=1)*(X$14:X$71="N/A")*$F$14:$F$71)))</f>
        <v/>
      </c>
      <c r="Z63" s="22">
        <f>IF(X63="SI",Y63,0)</f>
        <v/>
      </c>
      <c r="AA63" s="22">
        <f>SUM(J63,M63,P63,S63,V63,Y63)</f>
        <v/>
      </c>
      <c r="AB63" s="22">
        <f>SUM(K63,N63,Q63,T63,W63,Z63)</f>
        <v/>
      </c>
      <c r="AC63" s="23">
        <f>IF(AA63=0,"",AB63/AA63)</f>
        <v/>
      </c>
      <c r="AD63" s="22">
        <f>CRITERIOS!Q51</f>
        <v/>
      </c>
      <c r="AE63" s="22">
        <f>IF(AND(E63=1,H63&lt;&gt;"X",((I63="N/A")+(L63="N/A")+(O63="N/A")+(R63="N/A")+(U63="N/A")+(X63="N/A"))&gt;0),"REVISAR","")</f>
        <v/>
      </c>
    </row>
    <row r="64">
      <c r="A64" s="22">
        <f>CRITERIOS!B52</f>
        <v/>
      </c>
      <c r="B64" s="22">
        <f>CRITERIOS!C52</f>
        <v/>
      </c>
      <c r="C64" s="8">
        <f>CRITERIOS!D52</f>
        <v/>
      </c>
      <c r="D64" s="22">
        <f>CRITERIOS!E52</f>
        <v/>
      </c>
      <c r="E64" s="22">
        <f>IFERROR(IF(AND(OR(CRITERIOS!F52="Todos",CRITERIOS!F52=$B$4),INDEX(CRITERIOS!H52:J52,MATCH($B$5,VARIABLES!$E$2:$E$4,0))=1),1,0),0)</f>
        <v/>
      </c>
      <c r="F64" s="22">
        <f>IFERROR(IF(E64=1,INDEX(CRITERIOS!K52:M52,MATCH($B$5,VARIABLES!$E$2:$E$4,0)),0),0)</f>
        <v/>
      </c>
      <c r="G64" s="22">
        <f>IF(CRITERIOS!N52="","",CRITERIOS!N52)</f>
        <v/>
      </c>
      <c r="H64" s="22">
        <f>IF(CRITERIOS!O52="","",CRITERIOS!O52)</f>
        <v/>
      </c>
      <c r="I64" s="21" t="n"/>
      <c r="J64" s="22">
        <f>IF(OR($E64=0,I$78=0),0,IF(AND(I64="N/A",$G64&lt;&gt;""),0,$F64+SUMPRODUCT(($G$14:$G$71=$A64)*($E$14:$E$71=1)*(I$14:I$71="N/A")*$F$14:$F$71)))</f>
        <v/>
      </c>
      <c r="K64" s="22">
        <f>IF(I64="SI",J64,0)</f>
        <v/>
      </c>
      <c r="L64" s="21" t="n"/>
      <c r="M64" s="22">
        <f>IF(OR($E64=0,L$78=0),0,IF(AND(L64="N/A",$G64&lt;&gt;""),0,$F64+SUMPRODUCT(($G$14:$G$71=$A64)*($E$14:$E$71=1)*(L$14:L$71="N/A")*$F$14:$F$71)))</f>
        <v/>
      </c>
      <c r="N64" s="22">
        <f>IF(L64="SI",M64,0)</f>
        <v/>
      </c>
      <c r="O64" s="21" t="n"/>
      <c r="P64" s="22">
        <f>IF(OR($E64=0,O$78=0),0,IF(AND(O64="N/A",$G64&lt;&gt;""),0,$F64+SUMPRODUCT(($G$14:$G$71=$A64)*($E$14:$E$71=1)*(O$14:O$71="N/A")*$F$14:$F$71)))</f>
        <v/>
      </c>
      <c r="Q64" s="22">
        <f>IF(O64="SI",P64,0)</f>
        <v/>
      </c>
      <c r="R64" s="21" t="n"/>
      <c r="S64" s="22">
        <f>IF(OR($E64=0,R$78=0),0,IF(AND(R64="N/A",$G64&lt;&gt;""),0,$F64+SUMPRODUCT(($G$14:$G$71=$A64)*($E$14:$E$71=1)*(R$14:R$71="N/A")*$F$14:$F$71)))</f>
        <v/>
      </c>
      <c r="T64" s="22">
        <f>IF(R64="SI",S64,0)</f>
        <v/>
      </c>
      <c r="U64" s="21" t="n"/>
      <c r="V64" s="22">
        <f>IF(OR($E64=0,U$78=0),0,IF(AND(U64="N/A",$G64&lt;&gt;""),0,$F64+SUMPRODUCT(($G$14:$G$71=$A64)*($E$14:$E$71=1)*(U$14:U$71="N/A")*$F$14:$F$71)))</f>
        <v/>
      </c>
      <c r="W64" s="22">
        <f>IF(U64="SI",V64,0)</f>
        <v/>
      </c>
      <c r="X64" s="21" t="n"/>
      <c r="Y64" s="22">
        <f>IF(OR($E64=0,X$78=0),0,IF(AND(X64="N/A",$G64&lt;&gt;""),0,$F64+SUMPRODUCT(($G$14:$G$71=$A64)*($E$14:$E$71=1)*(X$14:X$71="N/A")*$F$14:$F$71)))</f>
        <v/>
      </c>
      <c r="Z64" s="22">
        <f>IF(X64="SI",Y64,0)</f>
        <v/>
      </c>
      <c r="AA64" s="22">
        <f>SUM(J64,M64,P64,S64,V64,Y64)</f>
        <v/>
      </c>
      <c r="AB64" s="22">
        <f>SUM(K64,N64,Q64,T64,W64,Z64)</f>
        <v/>
      </c>
      <c r="AC64" s="23">
        <f>IF(AA64=0,"",AB64/AA64)</f>
        <v/>
      </c>
      <c r="AD64" s="22">
        <f>CRITERIOS!Q52</f>
        <v/>
      </c>
      <c r="AE64" s="22">
        <f>IF(AND(E64=1,H64&lt;&gt;"X",((I64="N/A")+(L64="N/A")+(O64="N/A")+(R64="N/A")+(U64="N/A")+(X64="N/A"))&gt;0),"REVISAR","")</f>
        <v/>
      </c>
    </row>
    <row r="65">
      <c r="A65" s="24">
        <f>CRITERIOS!B53</f>
        <v/>
      </c>
      <c r="B65" s="24">
        <f>CRITERIOS!C53</f>
        <v/>
      </c>
      <c r="C65" s="25">
        <f>CRITERIOS!D53</f>
        <v/>
      </c>
      <c r="D65" s="24">
        <f>CRITERIOS!E53</f>
        <v/>
      </c>
      <c r="E65" s="24">
        <f>IFERROR(IF(AND(OR(CRITERIOS!F53="Todos",CRITERIOS!F53=$B$4),INDEX(CRITERIOS!H53:J53,MATCH($B$5,VARIABLES!$E$2:$E$4,0))=1),1,0),0)</f>
        <v/>
      </c>
      <c r="F65" s="24">
        <f>IFERROR(IF(E65=1,INDEX(CRITERIOS!K53:M53,MATCH($B$5,VARIABLES!$E$2:$E$4,0)),0),0)</f>
        <v/>
      </c>
      <c r="G65" s="24">
        <f>IF(CRITERIOS!N53="","",CRITERIOS!N53)</f>
        <v/>
      </c>
      <c r="H65" s="24">
        <f>IF(CRITERIOS!O53="","",CRITERIOS!O53)</f>
        <v/>
      </c>
      <c r="I65" s="21" t="n"/>
      <c r="J65" s="22">
        <f>IF(OR($E65=0,I$78=0),0,IF(AND(I65="N/A",$G65&lt;&gt;""),0,$F65+SUMPRODUCT(($G$14:$G$71=$A65)*($E$14:$E$71=1)*(I$14:I$71="N/A")*$F$14:$F$71)))</f>
        <v/>
      </c>
      <c r="K65" s="22">
        <f>IF(I65="SI",J65,0)</f>
        <v/>
      </c>
      <c r="L65" s="21" t="n"/>
      <c r="M65" s="22">
        <f>IF(OR($E65=0,L$78=0),0,IF(AND(L65="N/A",$G65&lt;&gt;""),0,$F65+SUMPRODUCT(($G$14:$G$71=$A65)*($E$14:$E$71=1)*(L$14:L$71="N/A")*$F$14:$F$71)))</f>
        <v/>
      </c>
      <c r="N65" s="22">
        <f>IF(L65="SI",M65,0)</f>
        <v/>
      </c>
      <c r="O65" s="21" t="n"/>
      <c r="P65" s="22">
        <f>IF(OR($E65=0,O$78=0),0,IF(AND(O65="N/A",$G65&lt;&gt;""),0,$F65+SUMPRODUCT(($G$14:$G$71=$A65)*($E$14:$E$71=1)*(O$14:O$71="N/A")*$F$14:$F$71)))</f>
        <v/>
      </c>
      <c r="Q65" s="22">
        <f>IF(O65="SI",P65,0)</f>
        <v/>
      </c>
      <c r="R65" s="21" t="n"/>
      <c r="S65" s="22">
        <f>IF(OR($E65=0,R$78=0),0,IF(AND(R65="N/A",$G65&lt;&gt;""),0,$F65+SUMPRODUCT(($G$14:$G$71=$A65)*($E$14:$E$71=1)*(R$14:R$71="N/A")*$F$14:$F$71)))</f>
        <v/>
      </c>
      <c r="T65" s="22">
        <f>IF(R65="SI",S65,0)</f>
        <v/>
      </c>
      <c r="U65" s="21" t="n"/>
      <c r="V65" s="22">
        <f>IF(OR($E65=0,U$78=0),0,IF(AND(U65="N/A",$G65&lt;&gt;""),0,$F65+SUMPRODUCT(($G$14:$G$71=$A65)*($E$14:$E$71=1)*(U$14:U$71="N/A")*$F$14:$F$71)))</f>
        <v/>
      </c>
      <c r="W65" s="22">
        <f>IF(U65="SI",V65,0)</f>
        <v/>
      </c>
      <c r="X65" s="21" t="n"/>
      <c r="Y65" s="22">
        <f>IF(OR($E65=0,X$78=0),0,IF(AND(X65="N/A",$G65&lt;&gt;""),0,$F65+SUMPRODUCT(($G$14:$G$71=$A65)*($E$14:$E$71=1)*(X$14:X$71="N/A")*$F$14:$F$71)))</f>
        <v/>
      </c>
      <c r="Z65" s="22">
        <f>IF(X65="SI",Y65,0)</f>
        <v/>
      </c>
      <c r="AA65" s="22">
        <f>SUM(J65,M65,P65,S65,V65,Y65)</f>
        <v/>
      </c>
      <c r="AB65" s="22">
        <f>SUM(K65,N65,Q65,T65,W65,Z65)</f>
        <v/>
      </c>
      <c r="AC65" s="23">
        <f>IF(AA65=0,"",AB65/AA65)</f>
        <v/>
      </c>
      <c r="AD65" s="22">
        <f>CRITERIOS!Q53</f>
        <v/>
      </c>
      <c r="AE65" s="22">
        <f>IF(AND(E65=1,H65&lt;&gt;"X",((I65="N/A")+(L65="N/A")+(O65="N/A")+(R65="N/A")+(U65="N/A")+(X65="N/A"))&gt;0),"REVISAR","")</f>
        <v/>
      </c>
    </row>
    <row r="66">
      <c r="A66" s="24">
        <f>CRITERIOS!B54</f>
        <v/>
      </c>
      <c r="B66" s="24">
        <f>CRITERIOS!C54</f>
        <v/>
      </c>
      <c r="C66" s="25">
        <f>CRITERIOS!D54</f>
        <v/>
      </c>
      <c r="D66" s="24">
        <f>CRITERIOS!E54</f>
        <v/>
      </c>
      <c r="E66" s="24">
        <f>IFERROR(IF(AND(OR(CRITERIOS!F54="Todos",CRITERIOS!F54=$B$4),INDEX(CRITERIOS!H54:J54,MATCH($B$5,VARIABLES!$E$2:$E$4,0))=1),1,0),0)</f>
        <v/>
      </c>
      <c r="F66" s="24">
        <f>IFERROR(IF(E66=1,INDEX(CRITERIOS!K54:M54,MATCH($B$5,VARIABLES!$E$2:$E$4,0)),0),0)</f>
        <v/>
      </c>
      <c r="G66" s="24">
        <f>IF(CRITERIOS!N54="","",CRITERIOS!N54)</f>
        <v/>
      </c>
      <c r="H66" s="24">
        <f>IF(CRITERIOS!O54="","",CRITERIOS!O54)</f>
        <v/>
      </c>
      <c r="I66" s="21" t="n"/>
      <c r="J66" s="22">
        <f>IF(OR($E66=0,I$78=0),0,IF(AND(I66="N/A",$G66&lt;&gt;""),0,$F66+SUMPRODUCT(($G$14:$G$71=$A66)*($E$14:$E$71=1)*(I$14:I$71="N/A")*$F$14:$F$71)))</f>
        <v/>
      </c>
      <c r="K66" s="22">
        <f>IF(I66="SI",J66,0)</f>
        <v/>
      </c>
      <c r="L66" s="21" t="n"/>
      <c r="M66" s="22">
        <f>IF(OR($E66=0,L$78=0),0,IF(AND(L66="N/A",$G66&lt;&gt;""),0,$F66+SUMPRODUCT(($G$14:$G$71=$A66)*($E$14:$E$71=1)*(L$14:L$71="N/A")*$F$14:$F$71)))</f>
        <v/>
      </c>
      <c r="N66" s="22">
        <f>IF(L66="SI",M66,0)</f>
        <v/>
      </c>
      <c r="O66" s="21" t="n"/>
      <c r="P66" s="22">
        <f>IF(OR($E66=0,O$78=0),0,IF(AND(O66="N/A",$G66&lt;&gt;""),0,$F66+SUMPRODUCT(($G$14:$G$71=$A66)*($E$14:$E$71=1)*(O$14:O$71="N/A")*$F$14:$F$71)))</f>
        <v/>
      </c>
      <c r="Q66" s="22">
        <f>IF(O66="SI",P66,0)</f>
        <v/>
      </c>
      <c r="R66" s="21" t="n"/>
      <c r="S66" s="22">
        <f>IF(OR($E66=0,R$78=0),0,IF(AND(R66="N/A",$G66&lt;&gt;""),0,$F66+SUMPRODUCT(($G$14:$G$71=$A66)*($E$14:$E$71=1)*(R$14:R$71="N/A")*$F$14:$F$71)))</f>
        <v/>
      </c>
      <c r="T66" s="22">
        <f>IF(R66="SI",S66,0)</f>
        <v/>
      </c>
      <c r="U66" s="21" t="n"/>
      <c r="V66" s="22">
        <f>IF(OR($E66=0,U$78=0),0,IF(AND(U66="N/A",$G66&lt;&gt;""),0,$F66+SUMPRODUCT(($G$14:$G$71=$A66)*($E$14:$E$71=1)*(U$14:U$71="N/A")*$F$14:$F$71)))</f>
        <v/>
      </c>
      <c r="W66" s="22">
        <f>IF(U66="SI",V66,0)</f>
        <v/>
      </c>
      <c r="X66" s="21" t="n"/>
      <c r="Y66" s="22">
        <f>IF(OR($E66=0,X$78=0),0,IF(AND(X66="N/A",$G66&lt;&gt;""),0,$F66+SUMPRODUCT(($G$14:$G$71=$A66)*($E$14:$E$71=1)*(X$14:X$71="N/A")*$F$14:$F$71)))</f>
        <v/>
      </c>
      <c r="Z66" s="22">
        <f>IF(X66="SI",Y66,0)</f>
        <v/>
      </c>
      <c r="AA66" s="22">
        <f>SUM(J66,M66,P66,S66,V66,Y66)</f>
        <v/>
      </c>
      <c r="AB66" s="22">
        <f>SUM(K66,N66,Q66,T66,W66,Z66)</f>
        <v/>
      </c>
      <c r="AC66" s="23">
        <f>IF(AA66=0,"",AB66/AA66)</f>
        <v/>
      </c>
      <c r="AD66" s="22">
        <f>CRITERIOS!Q54</f>
        <v/>
      </c>
      <c r="AE66" s="22">
        <f>IF(AND(E66=1,H66&lt;&gt;"X",((I66="N/A")+(L66="N/A")+(O66="N/A")+(R66="N/A")+(U66="N/A")+(X66="N/A"))&gt;0),"REVISAR","")</f>
        <v/>
      </c>
    </row>
    <row r="67">
      <c r="A67" s="24">
        <f>CRITERIOS!B55</f>
        <v/>
      </c>
      <c r="B67" s="24">
        <f>CRITERIOS!C55</f>
        <v/>
      </c>
      <c r="C67" s="25">
        <f>CRITERIOS!D55</f>
        <v/>
      </c>
      <c r="D67" s="24">
        <f>CRITERIOS!E55</f>
        <v/>
      </c>
      <c r="E67" s="24">
        <f>IFERROR(IF(AND(OR(CRITERIOS!F55="Todos",CRITERIOS!F55=$B$4),INDEX(CRITERIOS!H55:J55,MATCH($B$5,VARIABLES!$E$2:$E$4,0))=1),1,0),0)</f>
        <v/>
      </c>
      <c r="F67" s="24">
        <f>IFERROR(IF(E67=1,INDEX(CRITERIOS!K55:M55,MATCH($B$5,VARIABLES!$E$2:$E$4,0)),0),0)</f>
        <v/>
      </c>
      <c r="G67" s="24">
        <f>IF(CRITERIOS!N55="","",CRITERIOS!N55)</f>
        <v/>
      </c>
      <c r="H67" s="24">
        <f>IF(CRITERIOS!O55="","",CRITERIOS!O55)</f>
        <v/>
      </c>
      <c r="I67" s="21" t="n"/>
      <c r="J67" s="22">
        <f>IF(OR($E67=0,I$78=0),0,IF(AND(I67="N/A",$G67&lt;&gt;""),0,$F67+SUMPRODUCT(($G$14:$G$71=$A67)*($E$14:$E$71=1)*(I$14:I$71="N/A")*$F$14:$F$71)))</f>
        <v/>
      </c>
      <c r="K67" s="22">
        <f>IF(I67="SI",J67,0)</f>
        <v/>
      </c>
      <c r="L67" s="21" t="n"/>
      <c r="M67" s="22">
        <f>IF(OR($E67=0,L$78=0),0,IF(AND(L67="N/A",$G67&lt;&gt;""),0,$F67+SUMPRODUCT(($G$14:$G$71=$A67)*($E$14:$E$71=1)*(L$14:L$71="N/A")*$F$14:$F$71)))</f>
        <v/>
      </c>
      <c r="N67" s="22">
        <f>IF(L67="SI",M67,0)</f>
        <v/>
      </c>
      <c r="O67" s="21" t="n"/>
      <c r="P67" s="22">
        <f>IF(OR($E67=0,O$78=0),0,IF(AND(O67="N/A",$G67&lt;&gt;""),0,$F67+SUMPRODUCT(($G$14:$G$71=$A67)*($E$14:$E$71=1)*(O$14:O$71="N/A")*$F$14:$F$71)))</f>
        <v/>
      </c>
      <c r="Q67" s="22">
        <f>IF(O67="SI",P67,0)</f>
        <v/>
      </c>
      <c r="R67" s="21" t="n"/>
      <c r="S67" s="22">
        <f>IF(OR($E67=0,R$78=0),0,IF(AND(R67="N/A",$G67&lt;&gt;""),0,$F67+SUMPRODUCT(($G$14:$G$71=$A67)*($E$14:$E$71=1)*(R$14:R$71="N/A")*$F$14:$F$71)))</f>
        <v/>
      </c>
      <c r="T67" s="22">
        <f>IF(R67="SI",S67,0)</f>
        <v/>
      </c>
      <c r="U67" s="21" t="n"/>
      <c r="V67" s="22">
        <f>IF(OR($E67=0,U$78=0),0,IF(AND(U67="N/A",$G67&lt;&gt;""),0,$F67+SUMPRODUCT(($G$14:$G$71=$A67)*($E$14:$E$71=1)*(U$14:U$71="N/A")*$F$14:$F$71)))</f>
        <v/>
      </c>
      <c r="W67" s="22">
        <f>IF(U67="SI",V67,0)</f>
        <v/>
      </c>
      <c r="X67" s="21" t="n"/>
      <c r="Y67" s="22">
        <f>IF(OR($E67=0,X$78=0),0,IF(AND(X67="N/A",$G67&lt;&gt;""),0,$F67+SUMPRODUCT(($G$14:$G$71=$A67)*($E$14:$E$71=1)*(X$14:X$71="N/A")*$F$14:$F$71)))</f>
        <v/>
      </c>
      <c r="Z67" s="22">
        <f>IF(X67="SI",Y67,0)</f>
        <v/>
      </c>
      <c r="AA67" s="22">
        <f>SUM(J67,M67,P67,S67,V67,Y67)</f>
        <v/>
      </c>
      <c r="AB67" s="22">
        <f>SUM(K67,N67,Q67,T67,W67,Z67)</f>
        <v/>
      </c>
      <c r="AC67" s="23">
        <f>IF(AA67=0,"",AB67/AA67)</f>
        <v/>
      </c>
      <c r="AD67" s="22">
        <f>CRITERIOS!Q55</f>
        <v/>
      </c>
      <c r="AE67" s="22">
        <f>IF(AND(E67=1,H67&lt;&gt;"X",((I67="N/A")+(L67="N/A")+(O67="N/A")+(R67="N/A")+(U67="N/A")+(X67="N/A"))&gt;0),"REVISAR","")</f>
        <v/>
      </c>
    </row>
    <row r="68">
      <c r="A68" s="24">
        <f>CRITERIOS!B56</f>
        <v/>
      </c>
      <c r="B68" s="24">
        <f>CRITERIOS!C56</f>
        <v/>
      </c>
      <c r="C68" s="25">
        <f>CRITERIOS!D56</f>
        <v/>
      </c>
      <c r="D68" s="24">
        <f>CRITERIOS!E56</f>
        <v/>
      </c>
      <c r="E68" s="24">
        <f>IFERROR(IF(AND(OR(CRITERIOS!F56="Todos",CRITERIOS!F56=$B$4),INDEX(CRITERIOS!H56:J56,MATCH($B$5,VARIABLES!$E$2:$E$4,0))=1),1,0),0)</f>
        <v/>
      </c>
      <c r="F68" s="24">
        <f>IFERROR(IF(E68=1,INDEX(CRITERIOS!K56:M56,MATCH($B$5,VARIABLES!$E$2:$E$4,0)),0),0)</f>
        <v/>
      </c>
      <c r="G68" s="24">
        <f>IF(CRITERIOS!N56="","",CRITERIOS!N56)</f>
        <v/>
      </c>
      <c r="H68" s="24">
        <f>IF(CRITERIOS!O56="","",CRITERIOS!O56)</f>
        <v/>
      </c>
      <c r="I68" s="21" t="n"/>
      <c r="J68" s="22">
        <f>IF(OR($E68=0,I$78=0),0,IF(AND(I68="N/A",$G68&lt;&gt;""),0,$F68+SUMPRODUCT(($G$14:$G$71=$A68)*($E$14:$E$71=1)*(I$14:I$71="N/A")*$F$14:$F$71)))</f>
        <v/>
      </c>
      <c r="K68" s="22">
        <f>IF(I68="SI",J68,0)</f>
        <v/>
      </c>
      <c r="L68" s="21" t="n"/>
      <c r="M68" s="22">
        <f>IF(OR($E68=0,L$78=0),0,IF(AND(L68="N/A",$G68&lt;&gt;""),0,$F68+SUMPRODUCT(($G$14:$G$71=$A68)*($E$14:$E$71=1)*(L$14:L$71="N/A")*$F$14:$F$71)))</f>
        <v/>
      </c>
      <c r="N68" s="22">
        <f>IF(L68="SI",M68,0)</f>
        <v/>
      </c>
      <c r="O68" s="21" t="n"/>
      <c r="P68" s="22">
        <f>IF(OR($E68=0,O$78=0),0,IF(AND(O68="N/A",$G68&lt;&gt;""),0,$F68+SUMPRODUCT(($G$14:$G$71=$A68)*($E$14:$E$71=1)*(O$14:O$71="N/A")*$F$14:$F$71)))</f>
        <v/>
      </c>
      <c r="Q68" s="22">
        <f>IF(O68="SI",P68,0)</f>
        <v/>
      </c>
      <c r="R68" s="21" t="n"/>
      <c r="S68" s="22">
        <f>IF(OR($E68=0,R$78=0),0,IF(AND(R68="N/A",$G68&lt;&gt;""),0,$F68+SUMPRODUCT(($G$14:$G$71=$A68)*($E$14:$E$71=1)*(R$14:R$71="N/A")*$F$14:$F$71)))</f>
        <v/>
      </c>
      <c r="T68" s="22">
        <f>IF(R68="SI",S68,0)</f>
        <v/>
      </c>
      <c r="U68" s="21" t="n"/>
      <c r="V68" s="22">
        <f>IF(OR($E68=0,U$78=0),0,IF(AND(U68="N/A",$G68&lt;&gt;""),0,$F68+SUMPRODUCT(($G$14:$G$71=$A68)*($E$14:$E$71=1)*(U$14:U$71="N/A")*$F$14:$F$71)))</f>
        <v/>
      </c>
      <c r="W68" s="22">
        <f>IF(U68="SI",V68,0)</f>
        <v/>
      </c>
      <c r="X68" s="21" t="n"/>
      <c r="Y68" s="22">
        <f>IF(OR($E68=0,X$78=0),0,IF(AND(X68="N/A",$G68&lt;&gt;""),0,$F68+SUMPRODUCT(($G$14:$G$71=$A68)*($E$14:$E$71=1)*(X$14:X$71="N/A")*$F$14:$F$71)))</f>
        <v/>
      </c>
      <c r="Z68" s="22">
        <f>IF(X68="SI",Y68,0)</f>
        <v/>
      </c>
      <c r="AA68" s="22">
        <f>SUM(J68,M68,P68,S68,V68,Y68)</f>
        <v/>
      </c>
      <c r="AB68" s="22">
        <f>SUM(K68,N68,Q68,T68,W68,Z68)</f>
        <v/>
      </c>
      <c r="AC68" s="23">
        <f>IF(AA68=0,"",AB68/AA68)</f>
        <v/>
      </c>
      <c r="AD68" s="22">
        <f>CRITERIOS!Q56</f>
        <v/>
      </c>
      <c r="AE68" s="22">
        <f>IF(AND(E68=1,H68&lt;&gt;"X",((I68="N/A")+(L68="N/A")+(O68="N/A")+(R68="N/A")+(U68="N/A")+(X68="N/A"))&gt;0),"REVISAR","")</f>
        <v/>
      </c>
    </row>
    <row r="69">
      <c r="A69" s="22">
        <f>CRITERIOS!B57</f>
        <v/>
      </c>
      <c r="B69" s="22">
        <f>CRITERIOS!C57</f>
        <v/>
      </c>
      <c r="C69" s="8">
        <f>CRITERIOS!D57</f>
        <v/>
      </c>
      <c r="D69" s="22">
        <f>CRITERIOS!E57</f>
        <v/>
      </c>
      <c r="E69" s="22">
        <f>IFERROR(IF(AND(OR(CRITERIOS!F57="Todos",CRITERIOS!F57=$B$4),INDEX(CRITERIOS!H57:J57,MATCH($B$5,VARIABLES!$E$2:$E$4,0))=1),1,0),0)</f>
        <v/>
      </c>
      <c r="F69" s="22">
        <f>IFERROR(IF(E69=1,INDEX(CRITERIOS!K57:M57,MATCH($B$5,VARIABLES!$E$2:$E$4,0)),0),0)</f>
        <v/>
      </c>
      <c r="G69" s="22">
        <f>IF(CRITERIOS!N57="","",CRITERIOS!N57)</f>
        <v/>
      </c>
      <c r="H69" s="22">
        <f>IF(CRITERIOS!O57="","",CRITERIOS!O57)</f>
        <v/>
      </c>
      <c r="I69" s="21" t="n"/>
      <c r="J69" s="22">
        <f>IF(OR($E69=0,I$78=0),0,IF(AND(I69="N/A",$G69&lt;&gt;""),0,$F69+SUMPRODUCT(($G$14:$G$71=$A69)*($E$14:$E$71=1)*(I$14:I$71="N/A")*$F$14:$F$71)))</f>
        <v/>
      </c>
      <c r="K69" s="22">
        <f>IF(I69="SI",J69,0)</f>
        <v/>
      </c>
      <c r="L69" s="21" t="n"/>
      <c r="M69" s="22">
        <f>IF(OR($E69=0,L$78=0),0,IF(AND(L69="N/A",$G69&lt;&gt;""),0,$F69+SUMPRODUCT(($G$14:$G$71=$A69)*($E$14:$E$71=1)*(L$14:L$71="N/A")*$F$14:$F$71)))</f>
        <v/>
      </c>
      <c r="N69" s="22">
        <f>IF(L69="SI",M69,0)</f>
        <v/>
      </c>
      <c r="O69" s="21" t="n"/>
      <c r="P69" s="22">
        <f>IF(OR($E69=0,O$78=0),0,IF(AND(O69="N/A",$G69&lt;&gt;""),0,$F69+SUMPRODUCT(($G$14:$G$71=$A69)*($E$14:$E$71=1)*(O$14:O$71="N/A")*$F$14:$F$71)))</f>
        <v/>
      </c>
      <c r="Q69" s="22">
        <f>IF(O69="SI",P69,0)</f>
        <v/>
      </c>
      <c r="R69" s="21" t="n"/>
      <c r="S69" s="22">
        <f>IF(OR($E69=0,R$78=0),0,IF(AND(R69="N/A",$G69&lt;&gt;""),0,$F69+SUMPRODUCT(($G$14:$G$71=$A69)*($E$14:$E$71=1)*(R$14:R$71="N/A")*$F$14:$F$71)))</f>
        <v/>
      </c>
      <c r="T69" s="22">
        <f>IF(R69="SI",S69,0)</f>
        <v/>
      </c>
      <c r="U69" s="21" t="n"/>
      <c r="V69" s="22">
        <f>IF(OR($E69=0,U$78=0),0,IF(AND(U69="N/A",$G69&lt;&gt;""),0,$F69+SUMPRODUCT(($G$14:$G$71=$A69)*($E$14:$E$71=1)*(U$14:U$71="N/A")*$F$14:$F$71)))</f>
        <v/>
      </c>
      <c r="W69" s="22">
        <f>IF(U69="SI",V69,0)</f>
        <v/>
      </c>
      <c r="X69" s="21" t="n"/>
      <c r="Y69" s="22">
        <f>IF(OR($E69=0,X$78=0),0,IF(AND(X69="N/A",$G69&lt;&gt;""),0,$F69+SUMPRODUCT(($G$14:$G$71=$A69)*($E$14:$E$71=1)*(X$14:X$71="N/A")*$F$14:$F$71)))</f>
        <v/>
      </c>
      <c r="Z69" s="22">
        <f>IF(X69="SI",Y69,0)</f>
        <v/>
      </c>
      <c r="AA69" s="22">
        <f>SUM(J69,M69,P69,S69,V69,Y69)</f>
        <v/>
      </c>
      <c r="AB69" s="22">
        <f>SUM(K69,N69,Q69,T69,W69,Z69)</f>
        <v/>
      </c>
      <c r="AC69" s="23">
        <f>IF(AA69=0,"",AB69/AA69)</f>
        <v/>
      </c>
      <c r="AD69" s="22">
        <f>CRITERIOS!Q57</f>
        <v/>
      </c>
      <c r="AE69" s="22">
        <f>IF(AND(E69=1,H69&lt;&gt;"X",((I69="N/A")+(L69="N/A")+(O69="N/A")+(R69="N/A")+(U69="N/A")+(X69="N/A"))&gt;0),"REVISAR","")</f>
        <v/>
      </c>
    </row>
    <row r="70">
      <c r="A70" s="22">
        <f>CRITERIOS!B58</f>
        <v/>
      </c>
      <c r="B70" s="22">
        <f>CRITERIOS!C58</f>
        <v/>
      </c>
      <c r="C70" s="8">
        <f>CRITERIOS!D58</f>
        <v/>
      </c>
      <c r="D70" s="22">
        <f>CRITERIOS!E58</f>
        <v/>
      </c>
      <c r="E70" s="22">
        <f>IFERROR(IF(AND(OR(CRITERIOS!F58="Todos",CRITERIOS!F58=$B$4),INDEX(CRITERIOS!H58:J58,MATCH($B$5,VARIABLES!$E$2:$E$4,0))=1),1,0),0)</f>
        <v/>
      </c>
      <c r="F70" s="22">
        <f>IFERROR(IF(E70=1,INDEX(CRITERIOS!K58:M58,MATCH($B$5,VARIABLES!$E$2:$E$4,0)),0),0)</f>
        <v/>
      </c>
      <c r="G70" s="22">
        <f>IF(CRITERIOS!N58="","",CRITERIOS!N58)</f>
        <v/>
      </c>
      <c r="H70" s="22">
        <f>IF(CRITERIOS!O58="","",CRITERIOS!O58)</f>
        <v/>
      </c>
      <c r="I70" s="21" t="n"/>
      <c r="J70" s="22">
        <f>IF(OR($E70=0,I$78=0),0,IF(AND(I70="N/A",$G70&lt;&gt;""),0,$F70+SUMPRODUCT(($G$14:$G$71=$A70)*($E$14:$E$71=1)*(I$14:I$71="N/A")*$F$14:$F$71)))</f>
        <v/>
      </c>
      <c r="K70" s="22">
        <f>IF(I70="SI",J70,0)</f>
        <v/>
      </c>
      <c r="L70" s="21" t="n"/>
      <c r="M70" s="22">
        <f>IF(OR($E70=0,L$78=0),0,IF(AND(L70="N/A",$G70&lt;&gt;""),0,$F70+SUMPRODUCT(($G$14:$G$71=$A70)*($E$14:$E$71=1)*(L$14:L$71="N/A")*$F$14:$F$71)))</f>
        <v/>
      </c>
      <c r="N70" s="22">
        <f>IF(L70="SI",M70,0)</f>
        <v/>
      </c>
      <c r="O70" s="21" t="n"/>
      <c r="P70" s="22">
        <f>IF(OR($E70=0,O$78=0),0,IF(AND(O70="N/A",$G70&lt;&gt;""),0,$F70+SUMPRODUCT(($G$14:$G$71=$A70)*($E$14:$E$71=1)*(O$14:O$71="N/A")*$F$14:$F$71)))</f>
        <v/>
      </c>
      <c r="Q70" s="22">
        <f>IF(O70="SI",P70,0)</f>
        <v/>
      </c>
      <c r="R70" s="21" t="n"/>
      <c r="S70" s="22">
        <f>IF(OR($E70=0,R$78=0),0,IF(AND(R70="N/A",$G70&lt;&gt;""),0,$F70+SUMPRODUCT(($G$14:$G$71=$A70)*($E$14:$E$71=1)*(R$14:R$71="N/A")*$F$14:$F$71)))</f>
        <v/>
      </c>
      <c r="T70" s="22">
        <f>IF(R70="SI",S70,0)</f>
        <v/>
      </c>
      <c r="U70" s="21" t="n"/>
      <c r="V70" s="22">
        <f>IF(OR($E70=0,U$78=0),0,IF(AND(U70="N/A",$G70&lt;&gt;""),0,$F70+SUMPRODUCT(($G$14:$G$71=$A70)*($E$14:$E$71=1)*(U$14:U$71="N/A")*$F$14:$F$71)))</f>
        <v/>
      </c>
      <c r="W70" s="22">
        <f>IF(U70="SI",V70,0)</f>
        <v/>
      </c>
      <c r="X70" s="21" t="n"/>
      <c r="Y70" s="22">
        <f>IF(OR($E70=0,X$78=0),0,IF(AND(X70="N/A",$G70&lt;&gt;""),0,$F70+SUMPRODUCT(($G$14:$G$71=$A70)*($E$14:$E$71=1)*(X$14:X$71="N/A")*$F$14:$F$71)))</f>
        <v/>
      </c>
      <c r="Z70" s="22">
        <f>IF(X70="SI",Y70,0)</f>
        <v/>
      </c>
      <c r="AA70" s="22">
        <f>SUM(J70,M70,P70,S70,V70,Y70)</f>
        <v/>
      </c>
      <c r="AB70" s="22">
        <f>SUM(K70,N70,Q70,T70,W70,Z70)</f>
        <v/>
      </c>
      <c r="AC70" s="23">
        <f>IF(AA70=0,"",AB70/AA70)</f>
        <v/>
      </c>
      <c r="AD70" s="22">
        <f>CRITERIOS!Q58</f>
        <v/>
      </c>
      <c r="AE70" s="22">
        <f>IF(AND(E70=1,H70&lt;&gt;"X",((I70="N/A")+(L70="N/A")+(O70="N/A")+(R70="N/A")+(U70="N/A")+(X70="N/A"))&gt;0),"REVISAR","")</f>
        <v/>
      </c>
    </row>
    <row r="71">
      <c r="A71" s="24">
        <f>CRITERIOS!B59</f>
        <v/>
      </c>
      <c r="B71" s="24">
        <f>CRITERIOS!C59</f>
        <v/>
      </c>
      <c r="C71" s="25">
        <f>CRITERIOS!D59</f>
        <v/>
      </c>
      <c r="D71" s="24">
        <f>CRITERIOS!E59</f>
        <v/>
      </c>
      <c r="E71" s="24">
        <f>IFERROR(IF(AND(OR(CRITERIOS!F59="Todos",CRITERIOS!F59=$B$4),INDEX(CRITERIOS!H59:J59,MATCH($B$5,VARIABLES!$E$2:$E$4,0))=1),1,0),0)</f>
        <v/>
      </c>
      <c r="F71" s="24">
        <f>IFERROR(IF(E71=1,INDEX(CRITERIOS!K59:M59,MATCH($B$5,VARIABLES!$E$2:$E$4,0)),0),0)</f>
        <v/>
      </c>
      <c r="G71" s="24">
        <f>IF(CRITERIOS!N59="","",CRITERIOS!N59)</f>
        <v/>
      </c>
      <c r="H71" s="24">
        <f>IF(CRITERIOS!O59="","",CRITERIOS!O59)</f>
        <v/>
      </c>
      <c r="I71" s="21" t="n"/>
      <c r="J71" s="22">
        <f>IF(OR($E71=0,I$78=0),0,IF(AND(I71="N/A",$G71&lt;&gt;""),0,$F71+SUMPRODUCT(($G$14:$G$71=$A71)*($E$14:$E$71=1)*(I$14:I$71="N/A")*$F$14:$F$71)))</f>
        <v/>
      </c>
      <c r="K71" s="22">
        <f>IF(I71="SI",J71,0)</f>
        <v/>
      </c>
      <c r="L71" s="21" t="n"/>
      <c r="M71" s="22">
        <f>IF(OR($E71=0,L$78=0),0,IF(AND(L71="N/A",$G71&lt;&gt;""),0,$F71+SUMPRODUCT(($G$14:$G$71=$A71)*($E$14:$E$71=1)*(L$14:L$71="N/A")*$F$14:$F$71)))</f>
        <v/>
      </c>
      <c r="N71" s="22">
        <f>IF(L71="SI",M71,0)</f>
        <v/>
      </c>
      <c r="O71" s="21" t="n"/>
      <c r="P71" s="22">
        <f>IF(OR($E71=0,O$78=0),0,IF(AND(O71="N/A",$G71&lt;&gt;""),0,$F71+SUMPRODUCT(($G$14:$G$71=$A71)*($E$14:$E$71=1)*(O$14:O$71="N/A")*$F$14:$F$71)))</f>
        <v/>
      </c>
      <c r="Q71" s="22">
        <f>IF(O71="SI",P71,0)</f>
        <v/>
      </c>
      <c r="R71" s="21" t="n"/>
      <c r="S71" s="22">
        <f>IF(OR($E71=0,R$78=0),0,IF(AND(R71="N/A",$G71&lt;&gt;""),0,$F71+SUMPRODUCT(($G$14:$G$71=$A71)*($E$14:$E$71=1)*(R$14:R$71="N/A")*$F$14:$F$71)))</f>
        <v/>
      </c>
      <c r="T71" s="22">
        <f>IF(R71="SI",S71,0)</f>
        <v/>
      </c>
      <c r="U71" s="21" t="n"/>
      <c r="V71" s="22">
        <f>IF(OR($E71=0,U$78=0),0,IF(AND(U71="N/A",$G71&lt;&gt;""),0,$F71+SUMPRODUCT(($G$14:$G$71=$A71)*($E$14:$E$71=1)*(U$14:U$71="N/A")*$F$14:$F$71)))</f>
        <v/>
      </c>
      <c r="W71" s="22">
        <f>IF(U71="SI",V71,0)</f>
        <v/>
      </c>
      <c r="X71" s="21" t="n"/>
      <c r="Y71" s="22">
        <f>IF(OR($E71=0,X$78=0),0,IF(AND(X71="N/A",$G71&lt;&gt;""),0,$F71+SUMPRODUCT(($G$14:$G$71=$A71)*($E$14:$E$71=1)*(X$14:X$71="N/A")*$F$14:$F$71)))</f>
        <v/>
      </c>
      <c r="Z71" s="22">
        <f>IF(X71="SI",Y71,0)</f>
        <v/>
      </c>
      <c r="AA71" s="22">
        <f>SUM(J71,M71,P71,S71,V71,Y71)</f>
        <v/>
      </c>
      <c r="AB71" s="22">
        <f>SUM(K71,N71,Q71,T71,W71,Z71)</f>
        <v/>
      </c>
      <c r="AC71" s="23">
        <f>IF(AA71=0,"",AB71/AA71)</f>
        <v/>
      </c>
      <c r="AD71" s="22">
        <f>CRITERIOS!Q59</f>
        <v/>
      </c>
      <c r="AE71" s="22">
        <f>IF(AND(E71=1,H71&lt;&gt;"X",((I71="N/A")+(L71="N/A")+(O71="N/A")+(R71="N/A")+(U71="N/A")+(X71="N/A"))&gt;0),"REVISAR","")</f>
        <v/>
      </c>
    </row>
    <row r="73">
      <c r="C73" s="4" t="inlineStr">
        <is>
          <t>Puntaje de la conversación (/100)</t>
        </is>
      </c>
      <c r="K73" s="26">
        <f>IF(I78=1,SUM(K14:K71),"")</f>
        <v/>
      </c>
      <c r="N73" s="26">
        <f>IF(L78=1,SUM(N14:N71),"")</f>
        <v/>
      </c>
      <c r="Q73" s="26">
        <f>IF(O78=1,SUM(Q14:Q71),"")</f>
        <v/>
      </c>
      <c r="T73" s="26">
        <f>IF(R78=1,SUM(T14:T71),"")</f>
        <v/>
      </c>
      <c r="W73" s="26">
        <f>IF(U78=1,SUM(W14:W71),"")</f>
        <v/>
      </c>
      <c r="Z73" s="26">
        <f>IF(X78=1,SUM(Z14:Z71),"")</f>
        <v/>
      </c>
    </row>
    <row r="74">
      <c r="C74" s="4" t="inlineStr">
        <is>
          <t>Fase I: HD con NO (1 = reprueba)</t>
        </is>
      </c>
      <c r="I74">
        <f>IF(I78=1,IF(COUNTIFS($D$14:$D$71,"Control HD",I14:I71,"NO")&gt;0,1,0),0)</f>
        <v/>
      </c>
      <c r="L74">
        <f>IF(L78=1,IF(COUNTIFS($D$14:$D$71,"Control HD",L14:L71,"NO")&gt;0,1,0),0)</f>
        <v/>
      </c>
      <c r="O74">
        <f>IF(O78=1,IF(COUNTIFS($D$14:$D$71,"Control HD",O14:O71,"NO")&gt;0,1,0),0)</f>
        <v/>
      </c>
      <c r="R74">
        <f>IF(R78=1,IF(COUNTIFS($D$14:$D$71,"Control HD",R14:R71,"NO")&gt;0,1,0),0)</f>
        <v/>
      </c>
      <c r="U74">
        <f>IF(U78=1,IF(COUNTIFS($D$14:$D$71,"Control HD",U14:U71,"NO")&gt;0,1,0),0)</f>
        <v/>
      </c>
      <c r="X74">
        <f>IF(X78=1,IF(COUNTIFS($D$14:$D$71,"Control HD",X14:X71,"NO")&gt;0,1,0),0)</f>
        <v/>
      </c>
    </row>
    <row r="75">
      <c r="C75" s="4" t="inlineStr">
        <is>
          <t>ECU con error (1 = sí)</t>
        </is>
      </c>
      <c r="I75">
        <f>IF(I78=1,IF(COUNTIFS($D$14:$D$71,"ECU",I14:I71,"NO")&gt;0,1,0),0)</f>
        <v/>
      </c>
      <c r="L75">
        <f>IF(L78=1,IF(COUNTIFS($D$14:$D$71,"ECU",L14:L71,"NO")&gt;0,1,0),0)</f>
        <v/>
      </c>
      <c r="O75">
        <f>IF(O78=1,IF(COUNTIFS($D$14:$D$71,"ECU",O14:O71,"NO")&gt;0,1,0),0)</f>
        <v/>
      </c>
      <c r="R75">
        <f>IF(R78=1,IF(COUNTIFS($D$14:$D$71,"ECU",R14:R71,"NO")&gt;0,1,0),0)</f>
        <v/>
      </c>
      <c r="U75">
        <f>IF(U78=1,IF(COUNTIFS($D$14:$D$71,"ECU",U14:U71,"NO")&gt;0,1,0),0)</f>
        <v/>
      </c>
      <c r="X75">
        <f>IF(X78=1,IF(COUNTIFS($D$14:$D$71,"ECU",X14:X71,"NO")&gt;0,1,0),0)</f>
        <v/>
      </c>
    </row>
    <row r="76">
      <c r="C76" s="4" t="inlineStr">
        <is>
          <t>ECN con error (1 = sí)</t>
        </is>
      </c>
      <c r="I76">
        <f>IF(I78=1,IF(COUNTIFS($D$14:$D$71,"ECN",I14:I71,"NO")&gt;0,1,0),0)</f>
        <v/>
      </c>
      <c r="L76">
        <f>IF(L78=1,IF(COUNTIFS($D$14:$D$71,"ECN",L14:L71,"NO")&gt;0,1,0),0)</f>
        <v/>
      </c>
      <c r="O76">
        <f>IF(O78=1,IF(COUNTIFS($D$14:$D$71,"ECN",O14:O71,"NO")&gt;0,1,0),0)</f>
        <v/>
      </c>
      <c r="R76">
        <f>IF(R78=1,IF(COUNTIFS($D$14:$D$71,"ECN",R14:R71,"NO")&gt;0,1,0),0)</f>
        <v/>
      </c>
      <c r="U76">
        <f>IF(U78=1,IF(COUNTIFS($D$14:$D$71,"ECN",U14:U71,"NO")&gt;0,1,0),0)</f>
        <v/>
      </c>
      <c r="X76">
        <f>IF(X78=1,IF(COUNTIFS($D$14:$D$71,"ECN",X14:X71,"NO")&gt;0,1,0),0)</f>
        <v/>
      </c>
    </row>
    <row r="77">
      <c r="C77" s="4" t="inlineStr">
        <is>
          <t>ECC con error (1 = sí)</t>
        </is>
      </c>
      <c r="I77">
        <f>IF(I78=1,IF(COUNTIFS($D$14:$D$71,"ECC",I14:I71,"NO")&gt;0,1,0),0)</f>
        <v/>
      </c>
      <c r="L77">
        <f>IF(L78=1,IF(COUNTIFS($D$14:$D$71,"ECC",L14:L71,"NO")&gt;0,1,0),0)</f>
        <v/>
      </c>
      <c r="O77">
        <f>IF(O78=1,IF(COUNTIFS($D$14:$D$71,"ECC",O14:O71,"NO")&gt;0,1,0),0)</f>
        <v/>
      </c>
      <c r="R77">
        <f>IF(R78=1,IF(COUNTIFS($D$14:$D$71,"ECC",R14:R71,"NO")&gt;0,1,0),0)</f>
        <v/>
      </c>
      <c r="U77">
        <f>IF(U78=1,IF(COUNTIFS($D$14:$D$71,"ECC",U14:U71,"NO")&gt;0,1,0),0)</f>
        <v/>
      </c>
      <c r="X77">
        <f>IF(X78=1,IF(COUNTIFS($D$14:$D$71,"ECC",X14:X71,"NO")&gt;0,1,0),0)</f>
        <v/>
      </c>
    </row>
    <row r="78">
      <c r="C78" s="4" t="inlineStr">
        <is>
          <t>Conversación evaluada (1 = sí)</t>
        </is>
      </c>
      <c r="I78">
        <f>IF(COUNTA(I14:I71)&gt;0,1,0)</f>
        <v/>
      </c>
      <c r="L78">
        <f>IF(COUNTA(L14:L71)&gt;0,1,0)</f>
        <v/>
      </c>
      <c r="O78">
        <f>IF(COUNTA(O14:O71)&gt;0,1,0)</f>
        <v/>
      </c>
      <c r="R78">
        <f>IF(COUNTA(R14:R71)&gt;0,1,0)</f>
        <v/>
      </c>
      <c r="U78">
        <f>IF(COUNTA(U14:U71)&gt;0,1,0)</f>
        <v/>
      </c>
      <c r="X78">
        <f>IF(COUNTA(X14:X71)&gt;0,1,0)</f>
        <v/>
      </c>
    </row>
    <row r="79">
      <c r="C79" s="4" t="inlineStr">
        <is>
          <t>Casillas aplicables sin diligenciar</t>
        </is>
      </c>
      <c r="I79">
        <f>IF(I78=1,SUMPRODUCT(($E$14:$E$71=1)*(I14:I71="")),0)</f>
        <v/>
      </c>
      <c r="L79">
        <f>IF(L78=1,SUMPRODUCT(($E$14:$E$71=1)*(L14:L71="")),0)</f>
        <v/>
      </c>
      <c r="O79">
        <f>IF(O78=1,SUMPRODUCT(($E$14:$E$71=1)*(O14:O71="")),0)</f>
        <v/>
      </c>
      <c r="R79">
        <f>IF(R78=1,SUMPRODUCT(($E$14:$E$71=1)*(R14:R71="")),0)</f>
        <v/>
      </c>
      <c r="U79">
        <f>IF(U78=1,SUMPRODUCT(($E$14:$E$71=1)*(U14:U71="")),0)</f>
        <v/>
      </c>
      <c r="X79">
        <f>IF(X78=1,SUMPRODUCT(($E$14:$E$71=1)*(X14:X71="")),0)</f>
        <v/>
      </c>
    </row>
  </sheetData>
  <mergeCells count="18">
    <mergeCell ref="X10:Z10"/>
    <mergeCell ref="I11:K11"/>
    <mergeCell ref="X11:Z11"/>
    <mergeCell ref="I10:K10"/>
    <mergeCell ref="L11:N11"/>
    <mergeCell ref="L10:N10"/>
    <mergeCell ref="R11:T11"/>
    <mergeCell ref="R10:T10"/>
    <mergeCell ref="X9:Z9"/>
    <mergeCell ref="U10:W10"/>
    <mergeCell ref="I9:K9"/>
    <mergeCell ref="O9:Q9"/>
    <mergeCell ref="L9:N9"/>
    <mergeCell ref="R9:T9"/>
    <mergeCell ref="U9:W9"/>
    <mergeCell ref="U11:W11"/>
    <mergeCell ref="O10:Q10"/>
    <mergeCell ref="O11:Q11"/>
  </mergeCells>
  <dataValidations count="5">
    <dataValidation sqref="I14:I71 L14:L71 O14:O71 R14:R71 U14:U71 X14:X71" showDropDown="0" showInputMessage="0" showErrorMessage="0" allowBlank="1" type="list">
      <formula1>"SI,NO,N/A"</formula1>
    </dataValidation>
    <dataValidation sqref="B4" showDropDown="0" showInputMessage="0" showErrorMessage="0" allowBlank="1" type="list">
      <formula1>VARIABLES!$D$2:$D$5</formula1>
    </dataValidation>
    <dataValidation sqref="B5" showDropDown="0" showInputMessage="0" showErrorMessage="0" allowBlank="1" type="list">
      <formula1>VARIABLES!$E$2:$E$4</formula1>
    </dataValidation>
    <dataValidation sqref="I11 L11 O11 R11 U11 X11" showDropDown="0" showInputMessage="0" showErrorMessage="0" allowBlank="1" type="list">
      <formula1>VARIABLES!$B$2:$B$3</formula1>
    </dataValidation>
    <dataValidation sqref="B6" showDropDown="0" showInputMessage="0" showErrorMessage="0" allowBlank="1" type="list">
      <formula1>VARIABLES!$C$2:$C$13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79"/>
  <sheetViews>
    <sheetView workbookViewId="0">
      <pane xSplit="3" ySplit="13" topLeftCell="D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60" customWidth="1" min="3" max="3"/>
    <col width="11" customWidth="1" min="4" max="4"/>
    <col outlineLevel="1" width="7" customWidth="1" min="5" max="5"/>
    <col outlineLevel="1" width="7" customWidth="1" min="6" max="6"/>
    <col outlineLevel="1" width="9" customWidth="1" min="7" max="7"/>
    <col outlineLevel="1" width="8" customWidth="1" min="8" max="8"/>
    <col width="11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11" customWidth="1" min="15" max="15"/>
    <col width="8" customWidth="1" min="16" max="16"/>
    <col width="8" customWidth="1" min="17" max="17"/>
    <col width="11" customWidth="1" min="18" max="18"/>
    <col width="8" customWidth="1" min="19" max="19"/>
    <col width="8" customWidth="1" min="20" max="20"/>
    <col width="11" customWidth="1" min="21" max="21"/>
    <col width="8" customWidth="1" min="22" max="22"/>
    <col width="8" customWidth="1" min="23" max="23"/>
    <col width="11" customWidth="1" min="24" max="24"/>
    <col width="8" customWidth="1" min="25" max="25"/>
    <col width="8" customWidth="1" min="26" max="26"/>
    <col outlineLevel="1" width="10" customWidth="1" min="27" max="27"/>
    <col outlineLevel="1" width="10" customWidth="1" min="28" max="28"/>
    <col width="10" customWidth="1" min="29" max="29"/>
    <col outlineLevel="1" width="10" customWidth="1" min="30" max="30"/>
    <col width="10" customWidth="1" min="31" max="31"/>
  </cols>
  <sheetData>
    <row r="1">
      <c r="A1" s="3" t="inlineStr">
        <is>
          <t>FORMATO DE MONITOREO COMERCIAL · PREVENTA Y VENTA</t>
        </is>
      </c>
    </row>
    <row r="3">
      <c r="A3" s="4" t="inlineStr">
        <is>
          <t>Asesor</t>
        </is>
      </c>
      <c r="B3" s="5" t="n"/>
      <c r="I3" s="4" t="inlineStr">
        <is>
          <t>Fase I (Habeas Data)</t>
        </is>
      </c>
      <c r="P3" s="16">
        <f>IF($B$7=0,"",IF(SUM(I74,L74,O74,R74,U74,X74)&gt;0,"Reprobada","Aprobada"))</f>
        <v/>
      </c>
      <c r="S3" s="4" t="inlineStr">
        <is>
          <t>ECU · % sin error</t>
        </is>
      </c>
      <c r="Z3" s="17">
        <f>IF($B$7=0,"",1-SUM(I75,L75,O75,R75,U75,X75)/$B$7)</f>
        <v/>
      </c>
    </row>
    <row r="4">
      <c r="A4" s="4" t="inlineStr">
        <is>
          <t>Canal</t>
        </is>
      </c>
      <c r="B4" s="5" t="n"/>
      <c r="I4" s="4" t="inlineStr">
        <is>
          <t>Nota /100</t>
        </is>
      </c>
      <c r="P4" s="18">
        <f>IF($B$7=0,"",IF(P3="Reprobada",0,AVERAGE(K73,N73,Q73,T73,W73,Z73)*1))</f>
        <v/>
      </c>
      <c r="S4" s="4" t="inlineStr">
        <is>
          <t>ECN · % sin error</t>
        </is>
      </c>
      <c r="Z4" s="17">
        <f>IF($B$7=0,"",1-SUM(I76,L76,O76,R76,U76,X76)/$B$7)</f>
        <v/>
      </c>
    </row>
    <row r="5">
      <c r="A5" s="4" t="inlineStr">
        <is>
          <t>Gestión</t>
        </is>
      </c>
      <c r="B5" s="5" t="n"/>
      <c r="I5" s="4" t="inlineStr">
        <is>
          <t>Nota /300</t>
        </is>
      </c>
      <c r="P5" s="18">
        <f>IF(P4="","",P4*3)</f>
        <v/>
      </c>
      <c r="S5" s="4" t="inlineStr">
        <is>
          <t>ECC · % sin error</t>
        </is>
      </c>
      <c r="Z5" s="17">
        <f>IF($B$7=0,"",1-SUM(I77,L77,O77,R77,U77,X77)/$B$7)</f>
        <v/>
      </c>
    </row>
    <row r="6">
      <c r="A6" s="4" t="inlineStr">
        <is>
          <t>Mes</t>
        </is>
      </c>
      <c r="B6" s="5" t="n"/>
      <c r="I6" s="4" t="inlineStr">
        <is>
          <t>Nivel</t>
        </is>
      </c>
      <c r="P6" s="16">
        <f>IF(P4="","",IF(P3="Reprobada","Crítico",LOOKUP(P4/100,'TABLA GENERAL'!$I$7:$I$10,'TABLA GENERAL'!$F$7:$F$10)))</f>
        <v/>
      </c>
      <c r="S6" s="4" t="inlineStr">
        <is>
          <t>Alerta Dirección</t>
        </is>
      </c>
      <c r="Z6" s="16">
        <f>IF($B$7=0,"",IF(SUMPRODUCT($AD$14:$AD$71*((I14:I71="NO")+(L14:L71="NO")+(O14:O71="NO")+(R14:R71="NO")+(U14:U71="NO")+(X14:X71="NO")))&gt;0,"SÍ - reportar","No"))</f>
        <v/>
      </c>
    </row>
    <row r="7">
      <c r="A7" s="4" t="inlineStr">
        <is>
          <t>Conversaciones evaluadas</t>
        </is>
      </c>
      <c r="B7">
        <f>SUM(I78,L78,O78,R78,U78,X78)</f>
        <v/>
      </c>
      <c r="I7" s="4" t="inlineStr">
        <is>
          <t>Estado</t>
        </is>
      </c>
      <c r="P7" s="16">
        <f>IF(P4="","",IF(P3="Reprobada","Reprobado",IF(P4/100&gt;='TABLA GENERAL'!$C$21,"Aprobado","Plan de acción")))</f>
        <v/>
      </c>
      <c r="S7" s="4" t="inlineStr">
        <is>
          <t>Casillas por revisar</t>
        </is>
      </c>
      <c r="Z7" s="16">
        <f>SUM(I79,L79,O79,R79,U79,X79)+COUNTIF(AE14:AE71,"REVISAR")</f>
        <v/>
      </c>
    </row>
    <row r="9">
      <c r="I9" s="6" t="inlineStr">
        <is>
          <t>Conversación 1</t>
        </is>
      </c>
      <c r="L9" s="6" t="inlineStr">
        <is>
          <t>Conversación 2</t>
        </is>
      </c>
      <c r="O9" s="6" t="inlineStr">
        <is>
          <t>Conversación 3</t>
        </is>
      </c>
      <c r="R9" s="6" t="inlineStr">
        <is>
          <t>Conversación 4</t>
        </is>
      </c>
      <c r="U9" s="6" t="inlineStr">
        <is>
          <t>Conversación 5</t>
        </is>
      </c>
      <c r="X9" s="6" t="inlineStr">
        <is>
          <t>Conversación 6</t>
        </is>
      </c>
    </row>
    <row r="10">
      <c r="C10" s="4" t="inlineStr">
        <is>
          <t>Fecha / ID de la conversación</t>
        </is>
      </c>
      <c r="I10" s="5" t="n"/>
      <c r="L10" s="5" t="n"/>
      <c r="O10" s="5" t="n"/>
      <c r="R10" s="5" t="n"/>
      <c r="U10" s="5" t="n"/>
      <c r="X10" s="5" t="n"/>
    </row>
    <row r="11">
      <c r="C11" s="4" t="inlineStr">
        <is>
          <t>Modalidad</t>
        </is>
      </c>
      <c r="I11" s="5" t="n"/>
      <c r="L11" s="5" t="n"/>
      <c r="O11" s="5" t="n"/>
      <c r="R11" s="5" t="n"/>
      <c r="U11" s="5" t="n"/>
      <c r="X11" s="5" t="n"/>
    </row>
    <row r="13" ht="32" customHeight="1">
      <c r="A13" s="6" t="inlineStr">
        <is>
          <t>Código</t>
        </is>
      </c>
      <c r="B13" s="6" t="inlineStr">
        <is>
          <t>Dimensión</t>
        </is>
      </c>
      <c r="C13" s="6" t="inlineStr">
        <is>
          <t>Descripción</t>
        </is>
      </c>
      <c r="D13" s="6" t="inlineStr">
        <is>
          <t>Tipo</t>
        </is>
      </c>
      <c r="E13" s="6" t="inlineStr">
        <is>
          <t>Aplica</t>
        </is>
      </c>
      <c r="F13" s="6" t="inlineStr">
        <is>
          <t>Peso base</t>
        </is>
      </c>
      <c r="G13" s="6" t="inlineStr">
        <is>
          <t>Receptor N/A</t>
        </is>
      </c>
      <c r="H13" s="6" t="inlineStr">
        <is>
          <t>Admite N/A</t>
        </is>
      </c>
      <c r="I13" s="6" t="inlineStr">
        <is>
          <t>Resultado</t>
        </is>
      </c>
      <c r="J13" s="6" t="inlineStr">
        <is>
          <t>Peso estab.</t>
        </is>
      </c>
      <c r="K13" s="6" t="inlineStr">
        <is>
          <t>Peso logrado</t>
        </is>
      </c>
      <c r="L13" s="6" t="inlineStr">
        <is>
          <t>Resultado</t>
        </is>
      </c>
      <c r="M13" s="6" t="inlineStr">
        <is>
          <t>Peso estab.</t>
        </is>
      </c>
      <c r="N13" s="6" t="inlineStr">
        <is>
          <t>Peso logrado</t>
        </is>
      </c>
      <c r="O13" s="6" t="inlineStr">
        <is>
          <t>Resultado</t>
        </is>
      </c>
      <c r="P13" s="6" t="inlineStr">
        <is>
          <t>Peso estab.</t>
        </is>
      </c>
      <c r="Q13" s="6" t="inlineStr">
        <is>
          <t>Peso logrado</t>
        </is>
      </c>
      <c r="R13" s="6" t="inlineStr">
        <is>
          <t>Resultado</t>
        </is>
      </c>
      <c r="S13" s="6" t="inlineStr">
        <is>
          <t>Peso estab.</t>
        </is>
      </c>
      <c r="T13" s="6" t="inlineStr">
        <is>
          <t>Peso logrado</t>
        </is>
      </c>
      <c r="U13" s="6" t="inlineStr">
        <is>
          <t>Resultado</t>
        </is>
      </c>
      <c r="V13" s="6" t="inlineStr">
        <is>
          <t>Peso estab.</t>
        </is>
      </c>
      <c r="W13" s="6" t="inlineStr">
        <is>
          <t>Peso logrado</t>
        </is>
      </c>
      <c r="X13" s="6" t="inlineStr">
        <is>
          <t>Resultado</t>
        </is>
      </c>
      <c r="Y13" s="6" t="inlineStr">
        <is>
          <t>Peso estab.</t>
        </is>
      </c>
      <c r="Z13" s="6" t="inlineStr">
        <is>
          <t>Peso logrado</t>
        </is>
      </c>
      <c r="AA13" s="6" t="inlineStr">
        <is>
          <t>Σ peso estab.</t>
        </is>
      </c>
      <c r="AB13" s="6" t="inlineStr">
        <is>
          <t>Σ peso logrado</t>
        </is>
      </c>
      <c r="AC13" s="6" t="inlineStr">
        <is>
          <t>% cumplimiento</t>
        </is>
      </c>
      <c r="AD13" s="6" t="inlineStr">
        <is>
          <t>Alerta</t>
        </is>
      </c>
      <c r="AE13" s="6" t="inlineStr">
        <is>
          <t>Validación</t>
        </is>
      </c>
    </row>
    <row r="14">
      <c r="A14" s="19">
        <f>CRITERIOS!B2</f>
        <v/>
      </c>
      <c r="B14" s="19">
        <f>CRITERIOS!C2</f>
        <v/>
      </c>
      <c r="C14" s="20">
        <f>CRITERIOS!D2</f>
        <v/>
      </c>
      <c r="D14" s="19">
        <f>CRITERIOS!E2</f>
        <v/>
      </c>
      <c r="E14" s="19">
        <f>IFERROR(IF(AND(OR(CRITERIOS!F2="Todos",CRITERIOS!F2=$B$4),INDEX(CRITERIOS!H2:J2,MATCH($B$5,VARIABLES!$E$2:$E$4,0))=1),1,0),0)</f>
        <v/>
      </c>
      <c r="F14" s="19">
        <f>IFERROR(IF(E14=1,INDEX(CRITERIOS!K2:M2,MATCH($B$5,VARIABLES!$E$2:$E$4,0)),0),0)</f>
        <v/>
      </c>
      <c r="G14" s="19">
        <f>IF(CRITERIOS!N2="","",CRITERIOS!N2)</f>
        <v/>
      </c>
      <c r="H14" s="19">
        <f>IF(CRITERIOS!O2="","",CRITERIOS!O2)</f>
        <v/>
      </c>
      <c r="I14" s="21" t="n"/>
      <c r="J14" s="22">
        <f>IF(OR($E14=0,I$78=0),0,IF(AND(I14="N/A",$G14&lt;&gt;""),0,$F14+SUMPRODUCT(($G$14:$G$71=$A14)*($E$14:$E$71=1)*(I$14:I$71="N/A")*$F$14:$F$71)))</f>
        <v/>
      </c>
      <c r="K14" s="22">
        <f>IF(I14="SI",J14,0)</f>
        <v/>
      </c>
      <c r="L14" s="21" t="n"/>
      <c r="M14" s="22">
        <f>IF(OR($E14=0,L$78=0),0,IF(AND(L14="N/A",$G14&lt;&gt;""),0,$F14+SUMPRODUCT(($G$14:$G$71=$A14)*($E$14:$E$71=1)*(L$14:L$71="N/A")*$F$14:$F$71)))</f>
        <v/>
      </c>
      <c r="N14" s="22">
        <f>IF(L14="SI",M14,0)</f>
        <v/>
      </c>
      <c r="O14" s="21" t="n"/>
      <c r="P14" s="22">
        <f>IF(OR($E14=0,O$78=0),0,IF(AND(O14="N/A",$G14&lt;&gt;""),0,$F14+SUMPRODUCT(($G$14:$G$71=$A14)*($E$14:$E$71=1)*(O$14:O$71="N/A")*$F$14:$F$71)))</f>
        <v/>
      </c>
      <c r="Q14" s="22">
        <f>IF(O14="SI",P14,0)</f>
        <v/>
      </c>
      <c r="R14" s="21" t="n"/>
      <c r="S14" s="22">
        <f>IF(OR($E14=0,R$78=0),0,IF(AND(R14="N/A",$G14&lt;&gt;""),0,$F14+SUMPRODUCT(($G$14:$G$71=$A14)*($E$14:$E$71=1)*(R$14:R$71="N/A")*$F$14:$F$71)))</f>
        <v/>
      </c>
      <c r="T14" s="22">
        <f>IF(R14="SI",S14,0)</f>
        <v/>
      </c>
      <c r="U14" s="21" t="n"/>
      <c r="V14" s="22">
        <f>IF(OR($E14=0,U$78=0),0,IF(AND(U14="N/A",$G14&lt;&gt;""),0,$F14+SUMPRODUCT(($G$14:$G$71=$A14)*($E$14:$E$71=1)*(U$14:U$71="N/A")*$F$14:$F$71)))</f>
        <v/>
      </c>
      <c r="W14" s="22">
        <f>IF(U14="SI",V14,0)</f>
        <v/>
      </c>
      <c r="X14" s="21" t="n"/>
      <c r="Y14" s="22">
        <f>IF(OR($E14=0,X$78=0),0,IF(AND(X14="N/A",$G14&lt;&gt;""),0,$F14+SUMPRODUCT(($G$14:$G$71=$A14)*($E$14:$E$71=1)*(X$14:X$71="N/A")*$F$14:$F$71)))</f>
        <v/>
      </c>
      <c r="Z14" s="22">
        <f>IF(X14="SI",Y14,0)</f>
        <v/>
      </c>
      <c r="AA14" s="22">
        <f>SUM(J14,M14,P14,S14,V14,Y14)</f>
        <v/>
      </c>
      <c r="AB14" s="22">
        <f>SUM(K14,N14,Q14,T14,W14,Z14)</f>
        <v/>
      </c>
      <c r="AC14" s="23">
        <f>IF(AA14=0,"",AB14/AA14)</f>
        <v/>
      </c>
      <c r="AD14" s="22">
        <f>CRITERIOS!Q2</f>
        <v/>
      </c>
      <c r="AE14" s="22">
        <f>IF(AND(E14=1,H14&lt;&gt;"X",((I14="N/A")+(L14="N/A")+(O14="N/A")+(R14="N/A")+(U14="N/A")+(X14="N/A"))&gt;0),"REVISAR","")</f>
        <v/>
      </c>
    </row>
    <row r="15">
      <c r="A15" s="19">
        <f>CRITERIOS!B3</f>
        <v/>
      </c>
      <c r="B15" s="19">
        <f>CRITERIOS!C3</f>
        <v/>
      </c>
      <c r="C15" s="20">
        <f>CRITERIOS!D3</f>
        <v/>
      </c>
      <c r="D15" s="19">
        <f>CRITERIOS!E3</f>
        <v/>
      </c>
      <c r="E15" s="19">
        <f>IFERROR(IF(AND(OR(CRITERIOS!F3="Todos",CRITERIOS!F3=$B$4),INDEX(CRITERIOS!H3:J3,MATCH($B$5,VARIABLES!$E$2:$E$4,0))=1),1,0),0)</f>
        <v/>
      </c>
      <c r="F15" s="19">
        <f>IFERROR(IF(E15=1,INDEX(CRITERIOS!K3:M3,MATCH($B$5,VARIABLES!$E$2:$E$4,0)),0),0)</f>
        <v/>
      </c>
      <c r="G15" s="19">
        <f>IF(CRITERIOS!N3="","",CRITERIOS!N3)</f>
        <v/>
      </c>
      <c r="H15" s="19">
        <f>IF(CRITERIOS!O3="","",CRITERIOS!O3)</f>
        <v/>
      </c>
      <c r="I15" s="21" t="n"/>
      <c r="J15" s="22">
        <f>IF(OR($E15=0,I$78=0),0,IF(AND(I15="N/A",$G15&lt;&gt;""),0,$F15+SUMPRODUCT(($G$14:$G$71=$A15)*($E$14:$E$71=1)*(I$14:I$71="N/A")*$F$14:$F$71)))</f>
        <v/>
      </c>
      <c r="K15" s="22">
        <f>IF(I15="SI",J15,0)</f>
        <v/>
      </c>
      <c r="L15" s="21" t="n"/>
      <c r="M15" s="22">
        <f>IF(OR($E15=0,L$78=0),0,IF(AND(L15="N/A",$G15&lt;&gt;""),0,$F15+SUMPRODUCT(($G$14:$G$71=$A15)*($E$14:$E$71=1)*(L$14:L$71="N/A")*$F$14:$F$71)))</f>
        <v/>
      </c>
      <c r="N15" s="22">
        <f>IF(L15="SI",M15,0)</f>
        <v/>
      </c>
      <c r="O15" s="21" t="n"/>
      <c r="P15" s="22">
        <f>IF(OR($E15=0,O$78=0),0,IF(AND(O15="N/A",$G15&lt;&gt;""),0,$F15+SUMPRODUCT(($G$14:$G$71=$A15)*($E$14:$E$71=1)*(O$14:O$71="N/A")*$F$14:$F$71)))</f>
        <v/>
      </c>
      <c r="Q15" s="22">
        <f>IF(O15="SI",P15,0)</f>
        <v/>
      </c>
      <c r="R15" s="21" t="n"/>
      <c r="S15" s="22">
        <f>IF(OR($E15=0,R$78=0),0,IF(AND(R15="N/A",$G15&lt;&gt;""),0,$F15+SUMPRODUCT(($G$14:$G$71=$A15)*($E$14:$E$71=1)*(R$14:R$71="N/A")*$F$14:$F$71)))</f>
        <v/>
      </c>
      <c r="T15" s="22">
        <f>IF(R15="SI",S15,0)</f>
        <v/>
      </c>
      <c r="U15" s="21" t="n"/>
      <c r="V15" s="22">
        <f>IF(OR($E15=0,U$78=0),0,IF(AND(U15="N/A",$G15&lt;&gt;""),0,$F15+SUMPRODUCT(($G$14:$G$71=$A15)*($E$14:$E$71=1)*(U$14:U$71="N/A")*$F$14:$F$71)))</f>
        <v/>
      </c>
      <c r="W15" s="22">
        <f>IF(U15="SI",V15,0)</f>
        <v/>
      </c>
      <c r="X15" s="21" t="n"/>
      <c r="Y15" s="22">
        <f>IF(OR($E15=0,X$78=0),0,IF(AND(X15="N/A",$G15&lt;&gt;""),0,$F15+SUMPRODUCT(($G$14:$G$71=$A15)*($E$14:$E$71=1)*(X$14:X$71="N/A")*$F$14:$F$71)))</f>
        <v/>
      </c>
      <c r="Z15" s="22">
        <f>IF(X15="SI",Y15,0)</f>
        <v/>
      </c>
      <c r="AA15" s="22">
        <f>SUM(J15,M15,P15,S15,V15,Y15)</f>
        <v/>
      </c>
      <c r="AB15" s="22">
        <f>SUM(K15,N15,Q15,T15,W15,Z15)</f>
        <v/>
      </c>
      <c r="AC15" s="23">
        <f>IF(AA15=0,"",AB15/AA15)</f>
        <v/>
      </c>
      <c r="AD15" s="22">
        <f>CRITERIOS!Q3</f>
        <v/>
      </c>
      <c r="AE15" s="22">
        <f>IF(AND(E15=1,H15&lt;&gt;"X",((I15="N/A")+(L15="N/A")+(O15="N/A")+(R15="N/A")+(U15="N/A")+(X15="N/A"))&gt;0),"REVISAR","")</f>
        <v/>
      </c>
    </row>
    <row r="16">
      <c r="A16" s="19">
        <f>CRITERIOS!B4</f>
        <v/>
      </c>
      <c r="B16" s="19">
        <f>CRITERIOS!C4</f>
        <v/>
      </c>
      <c r="C16" s="20">
        <f>CRITERIOS!D4</f>
        <v/>
      </c>
      <c r="D16" s="19">
        <f>CRITERIOS!E4</f>
        <v/>
      </c>
      <c r="E16" s="19">
        <f>IFERROR(IF(AND(OR(CRITERIOS!F4="Todos",CRITERIOS!F4=$B$4),INDEX(CRITERIOS!H4:J4,MATCH($B$5,VARIABLES!$E$2:$E$4,0))=1),1,0),0)</f>
        <v/>
      </c>
      <c r="F16" s="19">
        <f>IFERROR(IF(E16=1,INDEX(CRITERIOS!K4:M4,MATCH($B$5,VARIABLES!$E$2:$E$4,0)),0),0)</f>
        <v/>
      </c>
      <c r="G16" s="19">
        <f>IF(CRITERIOS!N4="","",CRITERIOS!N4)</f>
        <v/>
      </c>
      <c r="H16" s="19">
        <f>IF(CRITERIOS!O4="","",CRITERIOS!O4)</f>
        <v/>
      </c>
      <c r="I16" s="21" t="n"/>
      <c r="J16" s="22">
        <f>IF(OR($E16=0,I$78=0),0,IF(AND(I16="N/A",$G16&lt;&gt;""),0,$F16+SUMPRODUCT(($G$14:$G$71=$A16)*($E$14:$E$71=1)*(I$14:I$71="N/A")*$F$14:$F$71)))</f>
        <v/>
      </c>
      <c r="K16" s="22">
        <f>IF(I16="SI",J16,0)</f>
        <v/>
      </c>
      <c r="L16" s="21" t="n"/>
      <c r="M16" s="22">
        <f>IF(OR($E16=0,L$78=0),0,IF(AND(L16="N/A",$G16&lt;&gt;""),0,$F16+SUMPRODUCT(($G$14:$G$71=$A16)*($E$14:$E$71=1)*(L$14:L$71="N/A")*$F$14:$F$71)))</f>
        <v/>
      </c>
      <c r="N16" s="22">
        <f>IF(L16="SI",M16,0)</f>
        <v/>
      </c>
      <c r="O16" s="21" t="n"/>
      <c r="P16" s="22">
        <f>IF(OR($E16=0,O$78=0),0,IF(AND(O16="N/A",$G16&lt;&gt;""),0,$F16+SUMPRODUCT(($G$14:$G$71=$A16)*($E$14:$E$71=1)*(O$14:O$71="N/A")*$F$14:$F$71)))</f>
        <v/>
      </c>
      <c r="Q16" s="22">
        <f>IF(O16="SI",P16,0)</f>
        <v/>
      </c>
      <c r="R16" s="21" t="n"/>
      <c r="S16" s="22">
        <f>IF(OR($E16=0,R$78=0),0,IF(AND(R16="N/A",$G16&lt;&gt;""),0,$F16+SUMPRODUCT(($G$14:$G$71=$A16)*($E$14:$E$71=1)*(R$14:R$71="N/A")*$F$14:$F$71)))</f>
        <v/>
      </c>
      <c r="T16" s="22">
        <f>IF(R16="SI",S16,0)</f>
        <v/>
      </c>
      <c r="U16" s="21" t="n"/>
      <c r="V16" s="22">
        <f>IF(OR($E16=0,U$78=0),0,IF(AND(U16="N/A",$G16&lt;&gt;""),0,$F16+SUMPRODUCT(($G$14:$G$71=$A16)*($E$14:$E$71=1)*(U$14:U$71="N/A")*$F$14:$F$71)))</f>
        <v/>
      </c>
      <c r="W16" s="22">
        <f>IF(U16="SI",V16,0)</f>
        <v/>
      </c>
      <c r="X16" s="21" t="n"/>
      <c r="Y16" s="22">
        <f>IF(OR($E16=0,X$78=0),0,IF(AND(X16="N/A",$G16&lt;&gt;""),0,$F16+SUMPRODUCT(($G$14:$G$71=$A16)*($E$14:$E$71=1)*(X$14:X$71="N/A")*$F$14:$F$71)))</f>
        <v/>
      </c>
      <c r="Z16" s="22">
        <f>IF(X16="SI",Y16,0)</f>
        <v/>
      </c>
      <c r="AA16" s="22">
        <f>SUM(J16,M16,P16,S16,V16,Y16)</f>
        <v/>
      </c>
      <c r="AB16" s="22">
        <f>SUM(K16,N16,Q16,T16,W16,Z16)</f>
        <v/>
      </c>
      <c r="AC16" s="23">
        <f>IF(AA16=0,"",AB16/AA16)</f>
        <v/>
      </c>
      <c r="AD16" s="22">
        <f>CRITERIOS!Q4</f>
        <v/>
      </c>
      <c r="AE16" s="22">
        <f>IF(AND(E16=1,H16&lt;&gt;"X",((I16="N/A")+(L16="N/A")+(O16="N/A")+(R16="N/A")+(U16="N/A")+(X16="N/A"))&gt;0),"REVISAR","")</f>
        <v/>
      </c>
    </row>
    <row r="17">
      <c r="A17" s="19">
        <f>CRITERIOS!B5</f>
        <v/>
      </c>
      <c r="B17" s="19">
        <f>CRITERIOS!C5</f>
        <v/>
      </c>
      <c r="C17" s="20">
        <f>CRITERIOS!D5</f>
        <v/>
      </c>
      <c r="D17" s="19">
        <f>CRITERIOS!E5</f>
        <v/>
      </c>
      <c r="E17" s="19">
        <f>IFERROR(IF(AND(OR(CRITERIOS!F5="Todos",CRITERIOS!F5=$B$4),INDEX(CRITERIOS!H5:J5,MATCH($B$5,VARIABLES!$E$2:$E$4,0))=1),1,0),0)</f>
        <v/>
      </c>
      <c r="F17" s="19">
        <f>IFERROR(IF(E17=1,INDEX(CRITERIOS!K5:M5,MATCH($B$5,VARIABLES!$E$2:$E$4,0)),0),0)</f>
        <v/>
      </c>
      <c r="G17" s="19">
        <f>IF(CRITERIOS!N5="","",CRITERIOS!N5)</f>
        <v/>
      </c>
      <c r="H17" s="19">
        <f>IF(CRITERIOS!O5="","",CRITERIOS!O5)</f>
        <v/>
      </c>
      <c r="I17" s="21" t="n"/>
      <c r="J17" s="22">
        <f>IF(OR($E17=0,I$78=0),0,IF(AND(I17="N/A",$G17&lt;&gt;""),0,$F17+SUMPRODUCT(($G$14:$G$71=$A17)*($E$14:$E$71=1)*(I$14:I$71="N/A")*$F$14:$F$71)))</f>
        <v/>
      </c>
      <c r="K17" s="22">
        <f>IF(I17="SI",J17,0)</f>
        <v/>
      </c>
      <c r="L17" s="21" t="n"/>
      <c r="M17" s="22">
        <f>IF(OR($E17=0,L$78=0),0,IF(AND(L17="N/A",$G17&lt;&gt;""),0,$F17+SUMPRODUCT(($G$14:$G$71=$A17)*($E$14:$E$71=1)*(L$14:L$71="N/A")*$F$14:$F$71)))</f>
        <v/>
      </c>
      <c r="N17" s="22">
        <f>IF(L17="SI",M17,0)</f>
        <v/>
      </c>
      <c r="O17" s="21" t="n"/>
      <c r="P17" s="22">
        <f>IF(OR($E17=0,O$78=0),0,IF(AND(O17="N/A",$G17&lt;&gt;""),0,$F17+SUMPRODUCT(($G$14:$G$71=$A17)*($E$14:$E$71=1)*(O$14:O$71="N/A")*$F$14:$F$71)))</f>
        <v/>
      </c>
      <c r="Q17" s="22">
        <f>IF(O17="SI",P17,0)</f>
        <v/>
      </c>
      <c r="R17" s="21" t="n"/>
      <c r="S17" s="22">
        <f>IF(OR($E17=0,R$78=0),0,IF(AND(R17="N/A",$G17&lt;&gt;""),0,$F17+SUMPRODUCT(($G$14:$G$71=$A17)*($E$14:$E$71=1)*(R$14:R$71="N/A")*$F$14:$F$71)))</f>
        <v/>
      </c>
      <c r="T17" s="22">
        <f>IF(R17="SI",S17,0)</f>
        <v/>
      </c>
      <c r="U17" s="21" t="n"/>
      <c r="V17" s="22">
        <f>IF(OR($E17=0,U$78=0),0,IF(AND(U17="N/A",$G17&lt;&gt;""),0,$F17+SUMPRODUCT(($G$14:$G$71=$A17)*($E$14:$E$71=1)*(U$14:U$71="N/A")*$F$14:$F$71)))</f>
        <v/>
      </c>
      <c r="W17" s="22">
        <f>IF(U17="SI",V17,0)</f>
        <v/>
      </c>
      <c r="X17" s="21" t="n"/>
      <c r="Y17" s="22">
        <f>IF(OR($E17=0,X$78=0),0,IF(AND(X17="N/A",$G17&lt;&gt;""),0,$F17+SUMPRODUCT(($G$14:$G$71=$A17)*($E$14:$E$71=1)*(X$14:X$71="N/A")*$F$14:$F$71)))</f>
        <v/>
      </c>
      <c r="Z17" s="22">
        <f>IF(X17="SI",Y17,0)</f>
        <v/>
      </c>
      <c r="AA17" s="22">
        <f>SUM(J17,M17,P17,S17,V17,Y17)</f>
        <v/>
      </c>
      <c r="AB17" s="22">
        <f>SUM(K17,N17,Q17,T17,W17,Z17)</f>
        <v/>
      </c>
      <c r="AC17" s="23">
        <f>IF(AA17=0,"",AB17/AA17)</f>
        <v/>
      </c>
      <c r="AD17" s="22">
        <f>CRITERIOS!Q5</f>
        <v/>
      </c>
      <c r="AE17" s="22">
        <f>IF(AND(E17=1,H17&lt;&gt;"X",((I17="N/A")+(L17="N/A")+(O17="N/A")+(R17="N/A")+(U17="N/A")+(X17="N/A"))&gt;0),"REVISAR","")</f>
        <v/>
      </c>
    </row>
    <row r="18">
      <c r="A18" s="19">
        <f>CRITERIOS!B6</f>
        <v/>
      </c>
      <c r="B18" s="19">
        <f>CRITERIOS!C6</f>
        <v/>
      </c>
      <c r="C18" s="20">
        <f>CRITERIOS!D6</f>
        <v/>
      </c>
      <c r="D18" s="19">
        <f>CRITERIOS!E6</f>
        <v/>
      </c>
      <c r="E18" s="19">
        <f>IFERROR(IF(AND(OR(CRITERIOS!F6="Todos",CRITERIOS!F6=$B$4),INDEX(CRITERIOS!H6:J6,MATCH($B$5,VARIABLES!$E$2:$E$4,0))=1),1,0),0)</f>
        <v/>
      </c>
      <c r="F18" s="19">
        <f>IFERROR(IF(E18=1,INDEX(CRITERIOS!K6:M6,MATCH($B$5,VARIABLES!$E$2:$E$4,0)),0),0)</f>
        <v/>
      </c>
      <c r="G18" s="19">
        <f>IF(CRITERIOS!N6="","",CRITERIOS!N6)</f>
        <v/>
      </c>
      <c r="H18" s="19">
        <f>IF(CRITERIOS!O6="","",CRITERIOS!O6)</f>
        <v/>
      </c>
      <c r="I18" s="21" t="n"/>
      <c r="J18" s="22">
        <f>IF(OR($E18=0,I$78=0),0,IF(AND(I18="N/A",$G18&lt;&gt;""),0,$F18+SUMPRODUCT(($G$14:$G$71=$A18)*($E$14:$E$71=1)*(I$14:I$71="N/A")*$F$14:$F$71)))</f>
        <v/>
      </c>
      <c r="K18" s="22">
        <f>IF(I18="SI",J18,0)</f>
        <v/>
      </c>
      <c r="L18" s="21" t="n"/>
      <c r="M18" s="22">
        <f>IF(OR($E18=0,L$78=0),0,IF(AND(L18="N/A",$G18&lt;&gt;""),0,$F18+SUMPRODUCT(($G$14:$G$71=$A18)*($E$14:$E$71=1)*(L$14:L$71="N/A")*$F$14:$F$71)))</f>
        <v/>
      </c>
      <c r="N18" s="22">
        <f>IF(L18="SI",M18,0)</f>
        <v/>
      </c>
      <c r="O18" s="21" t="n"/>
      <c r="P18" s="22">
        <f>IF(OR($E18=0,O$78=0),0,IF(AND(O18="N/A",$G18&lt;&gt;""),0,$F18+SUMPRODUCT(($G$14:$G$71=$A18)*($E$14:$E$71=1)*(O$14:O$71="N/A")*$F$14:$F$71)))</f>
        <v/>
      </c>
      <c r="Q18" s="22">
        <f>IF(O18="SI",P18,0)</f>
        <v/>
      </c>
      <c r="R18" s="21" t="n"/>
      <c r="S18" s="22">
        <f>IF(OR($E18=0,R$78=0),0,IF(AND(R18="N/A",$G18&lt;&gt;""),0,$F18+SUMPRODUCT(($G$14:$G$71=$A18)*($E$14:$E$71=1)*(R$14:R$71="N/A")*$F$14:$F$71)))</f>
        <v/>
      </c>
      <c r="T18" s="22">
        <f>IF(R18="SI",S18,0)</f>
        <v/>
      </c>
      <c r="U18" s="21" t="n"/>
      <c r="V18" s="22">
        <f>IF(OR($E18=0,U$78=0),0,IF(AND(U18="N/A",$G18&lt;&gt;""),0,$F18+SUMPRODUCT(($G$14:$G$71=$A18)*($E$14:$E$71=1)*(U$14:U$71="N/A")*$F$14:$F$71)))</f>
        <v/>
      </c>
      <c r="W18" s="22">
        <f>IF(U18="SI",V18,0)</f>
        <v/>
      </c>
      <c r="X18" s="21" t="n"/>
      <c r="Y18" s="22">
        <f>IF(OR($E18=0,X$78=0),0,IF(AND(X18="N/A",$G18&lt;&gt;""),0,$F18+SUMPRODUCT(($G$14:$G$71=$A18)*($E$14:$E$71=1)*(X$14:X$71="N/A")*$F$14:$F$71)))</f>
        <v/>
      </c>
      <c r="Z18" s="22">
        <f>IF(X18="SI",Y18,0)</f>
        <v/>
      </c>
      <c r="AA18" s="22">
        <f>SUM(J18,M18,P18,S18,V18,Y18)</f>
        <v/>
      </c>
      <c r="AB18" s="22">
        <f>SUM(K18,N18,Q18,T18,W18,Z18)</f>
        <v/>
      </c>
      <c r="AC18" s="23">
        <f>IF(AA18=0,"",AB18/AA18)</f>
        <v/>
      </c>
      <c r="AD18" s="22">
        <f>CRITERIOS!Q6</f>
        <v/>
      </c>
      <c r="AE18" s="22">
        <f>IF(AND(E18=1,H18&lt;&gt;"X",((I18="N/A")+(L18="N/A")+(O18="N/A")+(R18="N/A")+(U18="N/A")+(X18="N/A"))&gt;0),"REVISAR","")</f>
        <v/>
      </c>
    </row>
    <row r="19">
      <c r="A19" s="19">
        <f>CRITERIOS!B7</f>
        <v/>
      </c>
      <c r="B19" s="19">
        <f>CRITERIOS!C7</f>
        <v/>
      </c>
      <c r="C19" s="20">
        <f>CRITERIOS!D7</f>
        <v/>
      </c>
      <c r="D19" s="19">
        <f>CRITERIOS!E7</f>
        <v/>
      </c>
      <c r="E19" s="19">
        <f>IFERROR(IF(AND(OR(CRITERIOS!F7="Todos",CRITERIOS!F7=$B$4),INDEX(CRITERIOS!H7:J7,MATCH($B$5,VARIABLES!$E$2:$E$4,0))=1),1,0),0)</f>
        <v/>
      </c>
      <c r="F19" s="19">
        <f>IFERROR(IF(E19=1,INDEX(CRITERIOS!K7:M7,MATCH($B$5,VARIABLES!$E$2:$E$4,0)),0),0)</f>
        <v/>
      </c>
      <c r="G19" s="19">
        <f>IF(CRITERIOS!N7="","",CRITERIOS!N7)</f>
        <v/>
      </c>
      <c r="H19" s="19">
        <f>IF(CRITERIOS!O7="","",CRITERIOS!O7)</f>
        <v/>
      </c>
      <c r="I19" s="21" t="n"/>
      <c r="J19" s="22">
        <f>IF(OR($E19=0,I$78=0),0,IF(AND(I19="N/A",$G19&lt;&gt;""),0,$F19+SUMPRODUCT(($G$14:$G$71=$A19)*($E$14:$E$71=1)*(I$14:I$71="N/A")*$F$14:$F$71)))</f>
        <v/>
      </c>
      <c r="K19" s="22">
        <f>IF(I19="SI",J19,0)</f>
        <v/>
      </c>
      <c r="L19" s="21" t="n"/>
      <c r="M19" s="22">
        <f>IF(OR($E19=0,L$78=0),0,IF(AND(L19="N/A",$G19&lt;&gt;""),0,$F19+SUMPRODUCT(($G$14:$G$71=$A19)*($E$14:$E$71=1)*(L$14:L$71="N/A")*$F$14:$F$71)))</f>
        <v/>
      </c>
      <c r="N19" s="22">
        <f>IF(L19="SI",M19,0)</f>
        <v/>
      </c>
      <c r="O19" s="21" t="n"/>
      <c r="P19" s="22">
        <f>IF(OR($E19=0,O$78=0),0,IF(AND(O19="N/A",$G19&lt;&gt;""),0,$F19+SUMPRODUCT(($G$14:$G$71=$A19)*($E$14:$E$71=1)*(O$14:O$71="N/A")*$F$14:$F$71)))</f>
        <v/>
      </c>
      <c r="Q19" s="22">
        <f>IF(O19="SI",P19,0)</f>
        <v/>
      </c>
      <c r="R19" s="21" t="n"/>
      <c r="S19" s="22">
        <f>IF(OR($E19=0,R$78=0),0,IF(AND(R19="N/A",$G19&lt;&gt;""),0,$F19+SUMPRODUCT(($G$14:$G$71=$A19)*($E$14:$E$71=1)*(R$14:R$71="N/A")*$F$14:$F$71)))</f>
        <v/>
      </c>
      <c r="T19" s="22">
        <f>IF(R19="SI",S19,0)</f>
        <v/>
      </c>
      <c r="U19" s="21" t="n"/>
      <c r="V19" s="22">
        <f>IF(OR($E19=0,U$78=0),0,IF(AND(U19="N/A",$G19&lt;&gt;""),0,$F19+SUMPRODUCT(($G$14:$G$71=$A19)*($E$14:$E$71=1)*(U$14:U$71="N/A")*$F$14:$F$71)))</f>
        <v/>
      </c>
      <c r="W19" s="22">
        <f>IF(U19="SI",V19,0)</f>
        <v/>
      </c>
      <c r="X19" s="21" t="n"/>
      <c r="Y19" s="22">
        <f>IF(OR($E19=0,X$78=0),0,IF(AND(X19="N/A",$G19&lt;&gt;""),0,$F19+SUMPRODUCT(($G$14:$G$71=$A19)*($E$14:$E$71=1)*(X$14:X$71="N/A")*$F$14:$F$71)))</f>
        <v/>
      </c>
      <c r="Z19" s="22">
        <f>IF(X19="SI",Y19,0)</f>
        <v/>
      </c>
      <c r="AA19" s="22">
        <f>SUM(J19,M19,P19,S19,V19,Y19)</f>
        <v/>
      </c>
      <c r="AB19" s="22">
        <f>SUM(K19,N19,Q19,T19,W19,Z19)</f>
        <v/>
      </c>
      <c r="AC19" s="23">
        <f>IF(AA19=0,"",AB19/AA19)</f>
        <v/>
      </c>
      <c r="AD19" s="22">
        <f>CRITERIOS!Q7</f>
        <v/>
      </c>
      <c r="AE19" s="22">
        <f>IF(AND(E19=1,H19&lt;&gt;"X",((I19="N/A")+(L19="N/A")+(O19="N/A")+(R19="N/A")+(U19="N/A")+(X19="N/A"))&gt;0),"REVISAR","")</f>
        <v/>
      </c>
    </row>
    <row r="20">
      <c r="A20" s="19">
        <f>CRITERIOS!B8</f>
        <v/>
      </c>
      <c r="B20" s="19">
        <f>CRITERIOS!C8</f>
        <v/>
      </c>
      <c r="C20" s="20">
        <f>CRITERIOS!D8</f>
        <v/>
      </c>
      <c r="D20" s="19">
        <f>CRITERIOS!E8</f>
        <v/>
      </c>
      <c r="E20" s="19">
        <f>IFERROR(IF(AND(OR(CRITERIOS!F8="Todos",CRITERIOS!F8=$B$4),INDEX(CRITERIOS!H8:J8,MATCH($B$5,VARIABLES!$E$2:$E$4,0))=1),1,0),0)</f>
        <v/>
      </c>
      <c r="F20" s="19">
        <f>IFERROR(IF(E20=1,INDEX(CRITERIOS!K8:M8,MATCH($B$5,VARIABLES!$E$2:$E$4,0)),0),0)</f>
        <v/>
      </c>
      <c r="G20" s="19">
        <f>IF(CRITERIOS!N8="","",CRITERIOS!N8)</f>
        <v/>
      </c>
      <c r="H20" s="19">
        <f>IF(CRITERIOS!O8="","",CRITERIOS!O8)</f>
        <v/>
      </c>
      <c r="I20" s="21" t="n"/>
      <c r="J20" s="22">
        <f>IF(OR($E20=0,I$78=0),0,IF(AND(I20="N/A",$G20&lt;&gt;""),0,$F20+SUMPRODUCT(($G$14:$G$71=$A20)*($E$14:$E$71=1)*(I$14:I$71="N/A")*$F$14:$F$71)))</f>
        <v/>
      </c>
      <c r="K20" s="22">
        <f>IF(I20="SI",J20,0)</f>
        <v/>
      </c>
      <c r="L20" s="21" t="n"/>
      <c r="M20" s="22">
        <f>IF(OR($E20=0,L$78=0),0,IF(AND(L20="N/A",$G20&lt;&gt;""),0,$F20+SUMPRODUCT(($G$14:$G$71=$A20)*($E$14:$E$71=1)*(L$14:L$71="N/A")*$F$14:$F$71)))</f>
        <v/>
      </c>
      <c r="N20" s="22">
        <f>IF(L20="SI",M20,0)</f>
        <v/>
      </c>
      <c r="O20" s="21" t="n"/>
      <c r="P20" s="22">
        <f>IF(OR($E20=0,O$78=0),0,IF(AND(O20="N/A",$G20&lt;&gt;""),0,$F20+SUMPRODUCT(($G$14:$G$71=$A20)*($E$14:$E$71=1)*(O$14:O$71="N/A")*$F$14:$F$71)))</f>
        <v/>
      </c>
      <c r="Q20" s="22">
        <f>IF(O20="SI",P20,0)</f>
        <v/>
      </c>
      <c r="R20" s="21" t="n"/>
      <c r="S20" s="22">
        <f>IF(OR($E20=0,R$78=0),0,IF(AND(R20="N/A",$G20&lt;&gt;""),0,$F20+SUMPRODUCT(($G$14:$G$71=$A20)*($E$14:$E$71=1)*(R$14:R$71="N/A")*$F$14:$F$71)))</f>
        <v/>
      </c>
      <c r="T20" s="22">
        <f>IF(R20="SI",S20,0)</f>
        <v/>
      </c>
      <c r="U20" s="21" t="n"/>
      <c r="V20" s="22">
        <f>IF(OR($E20=0,U$78=0),0,IF(AND(U20="N/A",$G20&lt;&gt;""),0,$F20+SUMPRODUCT(($G$14:$G$71=$A20)*($E$14:$E$71=1)*(U$14:U$71="N/A")*$F$14:$F$71)))</f>
        <v/>
      </c>
      <c r="W20" s="22">
        <f>IF(U20="SI",V20,0)</f>
        <v/>
      </c>
      <c r="X20" s="21" t="n"/>
      <c r="Y20" s="22">
        <f>IF(OR($E20=0,X$78=0),0,IF(AND(X20="N/A",$G20&lt;&gt;""),0,$F20+SUMPRODUCT(($G$14:$G$71=$A20)*($E$14:$E$71=1)*(X$14:X$71="N/A")*$F$14:$F$71)))</f>
        <v/>
      </c>
      <c r="Z20" s="22">
        <f>IF(X20="SI",Y20,0)</f>
        <v/>
      </c>
      <c r="AA20" s="22">
        <f>SUM(J20,M20,P20,S20,V20,Y20)</f>
        <v/>
      </c>
      <c r="AB20" s="22">
        <f>SUM(K20,N20,Q20,T20,W20,Z20)</f>
        <v/>
      </c>
      <c r="AC20" s="23">
        <f>IF(AA20=0,"",AB20/AA20)</f>
        <v/>
      </c>
      <c r="AD20" s="22">
        <f>CRITERIOS!Q8</f>
        <v/>
      </c>
      <c r="AE20" s="22">
        <f>IF(AND(E20=1,H20&lt;&gt;"X",((I20="N/A")+(L20="N/A")+(O20="N/A")+(R20="N/A")+(U20="N/A")+(X20="N/A"))&gt;0),"REVISAR","")</f>
        <v/>
      </c>
    </row>
    <row r="21">
      <c r="A21" s="19">
        <f>CRITERIOS!B9</f>
        <v/>
      </c>
      <c r="B21" s="19">
        <f>CRITERIOS!C9</f>
        <v/>
      </c>
      <c r="C21" s="20">
        <f>CRITERIOS!D9</f>
        <v/>
      </c>
      <c r="D21" s="19">
        <f>CRITERIOS!E9</f>
        <v/>
      </c>
      <c r="E21" s="19">
        <f>IFERROR(IF(AND(OR(CRITERIOS!F9="Todos",CRITERIOS!F9=$B$4),INDEX(CRITERIOS!H9:J9,MATCH($B$5,VARIABLES!$E$2:$E$4,0))=1),1,0),0)</f>
        <v/>
      </c>
      <c r="F21" s="19">
        <f>IFERROR(IF(E21=1,INDEX(CRITERIOS!K9:M9,MATCH($B$5,VARIABLES!$E$2:$E$4,0)),0),0)</f>
        <v/>
      </c>
      <c r="G21" s="19">
        <f>IF(CRITERIOS!N9="","",CRITERIOS!N9)</f>
        <v/>
      </c>
      <c r="H21" s="19">
        <f>IF(CRITERIOS!O9="","",CRITERIOS!O9)</f>
        <v/>
      </c>
      <c r="I21" s="21" t="n"/>
      <c r="J21" s="22">
        <f>IF(OR($E21=0,I$78=0),0,IF(AND(I21="N/A",$G21&lt;&gt;""),0,$F21+SUMPRODUCT(($G$14:$G$71=$A21)*($E$14:$E$71=1)*(I$14:I$71="N/A")*$F$14:$F$71)))</f>
        <v/>
      </c>
      <c r="K21" s="22">
        <f>IF(I21="SI",J21,0)</f>
        <v/>
      </c>
      <c r="L21" s="21" t="n"/>
      <c r="M21" s="22">
        <f>IF(OR($E21=0,L$78=0),0,IF(AND(L21="N/A",$G21&lt;&gt;""),0,$F21+SUMPRODUCT(($G$14:$G$71=$A21)*($E$14:$E$71=1)*(L$14:L$71="N/A")*$F$14:$F$71)))</f>
        <v/>
      </c>
      <c r="N21" s="22">
        <f>IF(L21="SI",M21,0)</f>
        <v/>
      </c>
      <c r="O21" s="21" t="n"/>
      <c r="P21" s="22">
        <f>IF(OR($E21=0,O$78=0),0,IF(AND(O21="N/A",$G21&lt;&gt;""),0,$F21+SUMPRODUCT(($G$14:$G$71=$A21)*($E$14:$E$71=1)*(O$14:O$71="N/A")*$F$14:$F$71)))</f>
        <v/>
      </c>
      <c r="Q21" s="22">
        <f>IF(O21="SI",P21,0)</f>
        <v/>
      </c>
      <c r="R21" s="21" t="n"/>
      <c r="S21" s="22">
        <f>IF(OR($E21=0,R$78=0),0,IF(AND(R21="N/A",$G21&lt;&gt;""),0,$F21+SUMPRODUCT(($G$14:$G$71=$A21)*($E$14:$E$71=1)*(R$14:R$71="N/A")*$F$14:$F$71)))</f>
        <v/>
      </c>
      <c r="T21" s="22">
        <f>IF(R21="SI",S21,0)</f>
        <v/>
      </c>
      <c r="U21" s="21" t="n"/>
      <c r="V21" s="22">
        <f>IF(OR($E21=0,U$78=0),0,IF(AND(U21="N/A",$G21&lt;&gt;""),0,$F21+SUMPRODUCT(($G$14:$G$71=$A21)*($E$14:$E$71=1)*(U$14:U$71="N/A")*$F$14:$F$71)))</f>
        <v/>
      </c>
      <c r="W21" s="22">
        <f>IF(U21="SI",V21,0)</f>
        <v/>
      </c>
      <c r="X21" s="21" t="n"/>
      <c r="Y21" s="22">
        <f>IF(OR($E21=0,X$78=0),0,IF(AND(X21="N/A",$G21&lt;&gt;""),0,$F21+SUMPRODUCT(($G$14:$G$71=$A21)*($E$14:$E$71=1)*(X$14:X$71="N/A")*$F$14:$F$71)))</f>
        <v/>
      </c>
      <c r="Z21" s="22">
        <f>IF(X21="SI",Y21,0)</f>
        <v/>
      </c>
      <c r="AA21" s="22">
        <f>SUM(J21,M21,P21,S21,V21,Y21)</f>
        <v/>
      </c>
      <c r="AB21" s="22">
        <f>SUM(K21,N21,Q21,T21,W21,Z21)</f>
        <v/>
      </c>
      <c r="AC21" s="23">
        <f>IF(AA21=0,"",AB21/AA21)</f>
        <v/>
      </c>
      <c r="AD21" s="22">
        <f>CRITERIOS!Q9</f>
        <v/>
      </c>
      <c r="AE21" s="22">
        <f>IF(AND(E21=1,H21&lt;&gt;"X",((I21="N/A")+(L21="N/A")+(O21="N/A")+(R21="N/A")+(U21="N/A")+(X21="N/A"))&gt;0),"REVISAR","")</f>
        <v/>
      </c>
    </row>
    <row r="22">
      <c r="A22" s="19">
        <f>CRITERIOS!B10</f>
        <v/>
      </c>
      <c r="B22" s="19">
        <f>CRITERIOS!C10</f>
        <v/>
      </c>
      <c r="C22" s="20">
        <f>CRITERIOS!D10</f>
        <v/>
      </c>
      <c r="D22" s="19">
        <f>CRITERIOS!E10</f>
        <v/>
      </c>
      <c r="E22" s="19">
        <f>IFERROR(IF(AND(OR(CRITERIOS!F10="Todos",CRITERIOS!F10=$B$4),INDEX(CRITERIOS!H10:J10,MATCH($B$5,VARIABLES!$E$2:$E$4,0))=1),1,0),0)</f>
        <v/>
      </c>
      <c r="F22" s="19">
        <f>IFERROR(IF(E22=1,INDEX(CRITERIOS!K10:M10,MATCH($B$5,VARIABLES!$E$2:$E$4,0)),0),0)</f>
        <v/>
      </c>
      <c r="G22" s="19">
        <f>IF(CRITERIOS!N10="","",CRITERIOS!N10)</f>
        <v/>
      </c>
      <c r="H22" s="19">
        <f>IF(CRITERIOS!O10="","",CRITERIOS!O10)</f>
        <v/>
      </c>
      <c r="I22" s="21" t="n"/>
      <c r="J22" s="22">
        <f>IF(OR($E22=0,I$78=0),0,IF(AND(I22="N/A",$G22&lt;&gt;""),0,$F22+SUMPRODUCT(($G$14:$G$71=$A22)*($E$14:$E$71=1)*(I$14:I$71="N/A")*$F$14:$F$71)))</f>
        <v/>
      </c>
      <c r="K22" s="22">
        <f>IF(I22="SI",J22,0)</f>
        <v/>
      </c>
      <c r="L22" s="21" t="n"/>
      <c r="M22" s="22">
        <f>IF(OR($E22=0,L$78=0),0,IF(AND(L22="N/A",$G22&lt;&gt;""),0,$F22+SUMPRODUCT(($G$14:$G$71=$A22)*($E$14:$E$71=1)*(L$14:L$71="N/A")*$F$14:$F$71)))</f>
        <v/>
      </c>
      <c r="N22" s="22">
        <f>IF(L22="SI",M22,0)</f>
        <v/>
      </c>
      <c r="O22" s="21" t="n"/>
      <c r="P22" s="22">
        <f>IF(OR($E22=0,O$78=0),0,IF(AND(O22="N/A",$G22&lt;&gt;""),0,$F22+SUMPRODUCT(($G$14:$G$71=$A22)*($E$14:$E$71=1)*(O$14:O$71="N/A")*$F$14:$F$71)))</f>
        <v/>
      </c>
      <c r="Q22" s="22">
        <f>IF(O22="SI",P22,0)</f>
        <v/>
      </c>
      <c r="R22" s="21" t="n"/>
      <c r="S22" s="22">
        <f>IF(OR($E22=0,R$78=0),0,IF(AND(R22="N/A",$G22&lt;&gt;""),0,$F22+SUMPRODUCT(($G$14:$G$71=$A22)*($E$14:$E$71=1)*(R$14:R$71="N/A")*$F$14:$F$71)))</f>
        <v/>
      </c>
      <c r="T22" s="22">
        <f>IF(R22="SI",S22,0)</f>
        <v/>
      </c>
      <c r="U22" s="21" t="n"/>
      <c r="V22" s="22">
        <f>IF(OR($E22=0,U$78=0),0,IF(AND(U22="N/A",$G22&lt;&gt;""),0,$F22+SUMPRODUCT(($G$14:$G$71=$A22)*($E$14:$E$71=1)*(U$14:U$71="N/A")*$F$14:$F$71)))</f>
        <v/>
      </c>
      <c r="W22" s="22">
        <f>IF(U22="SI",V22,0)</f>
        <v/>
      </c>
      <c r="X22" s="21" t="n"/>
      <c r="Y22" s="22">
        <f>IF(OR($E22=0,X$78=0),0,IF(AND(X22="N/A",$G22&lt;&gt;""),0,$F22+SUMPRODUCT(($G$14:$G$71=$A22)*($E$14:$E$71=1)*(X$14:X$71="N/A")*$F$14:$F$71)))</f>
        <v/>
      </c>
      <c r="Z22" s="22">
        <f>IF(X22="SI",Y22,0)</f>
        <v/>
      </c>
      <c r="AA22" s="22">
        <f>SUM(J22,M22,P22,S22,V22,Y22)</f>
        <v/>
      </c>
      <c r="AB22" s="22">
        <f>SUM(K22,N22,Q22,T22,W22,Z22)</f>
        <v/>
      </c>
      <c r="AC22" s="23">
        <f>IF(AA22=0,"",AB22/AA22)</f>
        <v/>
      </c>
      <c r="AD22" s="22">
        <f>CRITERIOS!Q10</f>
        <v/>
      </c>
      <c r="AE22" s="22">
        <f>IF(AND(E22=1,H22&lt;&gt;"X",((I22="N/A")+(L22="N/A")+(O22="N/A")+(R22="N/A")+(U22="N/A")+(X22="N/A"))&gt;0),"REVISAR","")</f>
        <v/>
      </c>
    </row>
    <row r="23">
      <c r="A23" s="19">
        <f>CRITERIOS!B11</f>
        <v/>
      </c>
      <c r="B23" s="19">
        <f>CRITERIOS!C11</f>
        <v/>
      </c>
      <c r="C23" s="20">
        <f>CRITERIOS!D11</f>
        <v/>
      </c>
      <c r="D23" s="19">
        <f>CRITERIOS!E11</f>
        <v/>
      </c>
      <c r="E23" s="19">
        <f>IFERROR(IF(AND(OR(CRITERIOS!F11="Todos",CRITERIOS!F11=$B$4),INDEX(CRITERIOS!H11:J11,MATCH($B$5,VARIABLES!$E$2:$E$4,0))=1),1,0),0)</f>
        <v/>
      </c>
      <c r="F23" s="19">
        <f>IFERROR(IF(E23=1,INDEX(CRITERIOS!K11:M11,MATCH($B$5,VARIABLES!$E$2:$E$4,0)),0),0)</f>
        <v/>
      </c>
      <c r="G23" s="19">
        <f>IF(CRITERIOS!N11="","",CRITERIOS!N11)</f>
        <v/>
      </c>
      <c r="H23" s="19">
        <f>IF(CRITERIOS!O11="","",CRITERIOS!O11)</f>
        <v/>
      </c>
      <c r="I23" s="21" t="n"/>
      <c r="J23" s="22">
        <f>IF(OR($E23=0,I$78=0),0,IF(AND(I23="N/A",$G23&lt;&gt;""),0,$F23+SUMPRODUCT(($G$14:$G$71=$A23)*($E$14:$E$71=1)*(I$14:I$71="N/A")*$F$14:$F$71)))</f>
        <v/>
      </c>
      <c r="K23" s="22">
        <f>IF(I23="SI",J23,0)</f>
        <v/>
      </c>
      <c r="L23" s="21" t="n"/>
      <c r="M23" s="22">
        <f>IF(OR($E23=0,L$78=0),0,IF(AND(L23="N/A",$G23&lt;&gt;""),0,$F23+SUMPRODUCT(($G$14:$G$71=$A23)*($E$14:$E$71=1)*(L$14:L$71="N/A")*$F$14:$F$71)))</f>
        <v/>
      </c>
      <c r="N23" s="22">
        <f>IF(L23="SI",M23,0)</f>
        <v/>
      </c>
      <c r="O23" s="21" t="n"/>
      <c r="P23" s="22">
        <f>IF(OR($E23=0,O$78=0),0,IF(AND(O23="N/A",$G23&lt;&gt;""),0,$F23+SUMPRODUCT(($G$14:$G$71=$A23)*($E$14:$E$71=1)*(O$14:O$71="N/A")*$F$14:$F$71)))</f>
        <v/>
      </c>
      <c r="Q23" s="22">
        <f>IF(O23="SI",P23,0)</f>
        <v/>
      </c>
      <c r="R23" s="21" t="n"/>
      <c r="S23" s="22">
        <f>IF(OR($E23=0,R$78=0),0,IF(AND(R23="N/A",$G23&lt;&gt;""),0,$F23+SUMPRODUCT(($G$14:$G$71=$A23)*($E$14:$E$71=1)*(R$14:R$71="N/A")*$F$14:$F$71)))</f>
        <v/>
      </c>
      <c r="T23" s="22">
        <f>IF(R23="SI",S23,0)</f>
        <v/>
      </c>
      <c r="U23" s="21" t="n"/>
      <c r="V23" s="22">
        <f>IF(OR($E23=0,U$78=0),0,IF(AND(U23="N/A",$G23&lt;&gt;""),0,$F23+SUMPRODUCT(($G$14:$G$71=$A23)*($E$14:$E$71=1)*(U$14:U$71="N/A")*$F$14:$F$71)))</f>
        <v/>
      </c>
      <c r="W23" s="22">
        <f>IF(U23="SI",V23,0)</f>
        <v/>
      </c>
      <c r="X23" s="21" t="n"/>
      <c r="Y23" s="22">
        <f>IF(OR($E23=0,X$78=0),0,IF(AND(X23="N/A",$G23&lt;&gt;""),0,$F23+SUMPRODUCT(($G$14:$G$71=$A23)*($E$14:$E$71=1)*(X$14:X$71="N/A")*$F$14:$F$71)))</f>
        <v/>
      </c>
      <c r="Z23" s="22">
        <f>IF(X23="SI",Y23,0)</f>
        <v/>
      </c>
      <c r="AA23" s="22">
        <f>SUM(J23,M23,P23,S23,V23,Y23)</f>
        <v/>
      </c>
      <c r="AB23" s="22">
        <f>SUM(K23,N23,Q23,T23,W23,Z23)</f>
        <v/>
      </c>
      <c r="AC23" s="23">
        <f>IF(AA23=0,"",AB23/AA23)</f>
        <v/>
      </c>
      <c r="AD23" s="22">
        <f>CRITERIOS!Q11</f>
        <v/>
      </c>
      <c r="AE23" s="22">
        <f>IF(AND(E23=1,H23&lt;&gt;"X",((I23="N/A")+(L23="N/A")+(O23="N/A")+(R23="N/A")+(U23="N/A")+(X23="N/A"))&gt;0),"REVISAR","")</f>
        <v/>
      </c>
    </row>
    <row r="24">
      <c r="A24" s="19">
        <f>CRITERIOS!B12</f>
        <v/>
      </c>
      <c r="B24" s="19">
        <f>CRITERIOS!C12</f>
        <v/>
      </c>
      <c r="C24" s="20">
        <f>CRITERIOS!D12</f>
        <v/>
      </c>
      <c r="D24" s="19">
        <f>CRITERIOS!E12</f>
        <v/>
      </c>
      <c r="E24" s="19">
        <f>IFERROR(IF(AND(OR(CRITERIOS!F12="Todos",CRITERIOS!F12=$B$4),INDEX(CRITERIOS!H12:J12,MATCH($B$5,VARIABLES!$E$2:$E$4,0))=1),1,0),0)</f>
        <v/>
      </c>
      <c r="F24" s="19">
        <f>IFERROR(IF(E24=1,INDEX(CRITERIOS!K12:M12,MATCH($B$5,VARIABLES!$E$2:$E$4,0)),0),0)</f>
        <v/>
      </c>
      <c r="G24" s="19">
        <f>IF(CRITERIOS!N12="","",CRITERIOS!N12)</f>
        <v/>
      </c>
      <c r="H24" s="19">
        <f>IF(CRITERIOS!O12="","",CRITERIOS!O12)</f>
        <v/>
      </c>
      <c r="I24" s="21" t="n"/>
      <c r="J24" s="22">
        <f>IF(OR($E24=0,I$78=0),0,IF(AND(I24="N/A",$G24&lt;&gt;""),0,$F24+SUMPRODUCT(($G$14:$G$71=$A24)*($E$14:$E$71=1)*(I$14:I$71="N/A")*$F$14:$F$71)))</f>
        <v/>
      </c>
      <c r="K24" s="22">
        <f>IF(I24="SI",J24,0)</f>
        <v/>
      </c>
      <c r="L24" s="21" t="n"/>
      <c r="M24" s="22">
        <f>IF(OR($E24=0,L$78=0),0,IF(AND(L24="N/A",$G24&lt;&gt;""),0,$F24+SUMPRODUCT(($G$14:$G$71=$A24)*($E$14:$E$71=1)*(L$14:L$71="N/A")*$F$14:$F$71)))</f>
        <v/>
      </c>
      <c r="N24" s="22">
        <f>IF(L24="SI",M24,0)</f>
        <v/>
      </c>
      <c r="O24" s="21" t="n"/>
      <c r="P24" s="22">
        <f>IF(OR($E24=0,O$78=0),0,IF(AND(O24="N/A",$G24&lt;&gt;""),0,$F24+SUMPRODUCT(($G$14:$G$71=$A24)*($E$14:$E$71=1)*(O$14:O$71="N/A")*$F$14:$F$71)))</f>
        <v/>
      </c>
      <c r="Q24" s="22">
        <f>IF(O24="SI",P24,0)</f>
        <v/>
      </c>
      <c r="R24" s="21" t="n"/>
      <c r="S24" s="22">
        <f>IF(OR($E24=0,R$78=0),0,IF(AND(R24="N/A",$G24&lt;&gt;""),0,$F24+SUMPRODUCT(($G$14:$G$71=$A24)*($E$14:$E$71=1)*(R$14:R$71="N/A")*$F$14:$F$71)))</f>
        <v/>
      </c>
      <c r="T24" s="22">
        <f>IF(R24="SI",S24,0)</f>
        <v/>
      </c>
      <c r="U24" s="21" t="n"/>
      <c r="V24" s="22">
        <f>IF(OR($E24=0,U$78=0),0,IF(AND(U24="N/A",$G24&lt;&gt;""),0,$F24+SUMPRODUCT(($G$14:$G$71=$A24)*($E$14:$E$71=1)*(U$14:U$71="N/A")*$F$14:$F$71)))</f>
        <v/>
      </c>
      <c r="W24" s="22">
        <f>IF(U24="SI",V24,0)</f>
        <v/>
      </c>
      <c r="X24" s="21" t="n"/>
      <c r="Y24" s="22">
        <f>IF(OR($E24=0,X$78=0),0,IF(AND(X24="N/A",$G24&lt;&gt;""),0,$F24+SUMPRODUCT(($G$14:$G$71=$A24)*($E$14:$E$71=1)*(X$14:X$71="N/A")*$F$14:$F$71)))</f>
        <v/>
      </c>
      <c r="Z24" s="22">
        <f>IF(X24="SI",Y24,0)</f>
        <v/>
      </c>
      <c r="AA24" s="22">
        <f>SUM(J24,M24,P24,S24,V24,Y24)</f>
        <v/>
      </c>
      <c r="AB24" s="22">
        <f>SUM(K24,N24,Q24,T24,W24,Z24)</f>
        <v/>
      </c>
      <c r="AC24" s="23">
        <f>IF(AA24=0,"",AB24/AA24)</f>
        <v/>
      </c>
      <c r="AD24" s="22">
        <f>CRITERIOS!Q12</f>
        <v/>
      </c>
      <c r="AE24" s="22">
        <f>IF(AND(E24=1,H24&lt;&gt;"X",((I24="N/A")+(L24="N/A")+(O24="N/A")+(R24="N/A")+(U24="N/A")+(X24="N/A"))&gt;0),"REVISAR","")</f>
        <v/>
      </c>
    </row>
    <row r="25">
      <c r="A25" s="19">
        <f>CRITERIOS!B13</f>
        <v/>
      </c>
      <c r="B25" s="19">
        <f>CRITERIOS!C13</f>
        <v/>
      </c>
      <c r="C25" s="20">
        <f>CRITERIOS!D13</f>
        <v/>
      </c>
      <c r="D25" s="19">
        <f>CRITERIOS!E13</f>
        <v/>
      </c>
      <c r="E25" s="19">
        <f>IFERROR(IF(AND(OR(CRITERIOS!F13="Todos",CRITERIOS!F13=$B$4),INDEX(CRITERIOS!H13:J13,MATCH($B$5,VARIABLES!$E$2:$E$4,0))=1),1,0),0)</f>
        <v/>
      </c>
      <c r="F25" s="19">
        <f>IFERROR(IF(E25=1,INDEX(CRITERIOS!K13:M13,MATCH($B$5,VARIABLES!$E$2:$E$4,0)),0),0)</f>
        <v/>
      </c>
      <c r="G25" s="19">
        <f>IF(CRITERIOS!N13="","",CRITERIOS!N13)</f>
        <v/>
      </c>
      <c r="H25" s="19">
        <f>IF(CRITERIOS!O13="","",CRITERIOS!O13)</f>
        <v/>
      </c>
      <c r="I25" s="21" t="n"/>
      <c r="J25" s="22">
        <f>IF(OR($E25=0,I$78=0),0,IF(AND(I25="N/A",$G25&lt;&gt;""),0,$F25+SUMPRODUCT(($G$14:$G$71=$A25)*($E$14:$E$71=1)*(I$14:I$71="N/A")*$F$14:$F$71)))</f>
        <v/>
      </c>
      <c r="K25" s="22">
        <f>IF(I25="SI",J25,0)</f>
        <v/>
      </c>
      <c r="L25" s="21" t="n"/>
      <c r="M25" s="22">
        <f>IF(OR($E25=0,L$78=0),0,IF(AND(L25="N/A",$G25&lt;&gt;""),0,$F25+SUMPRODUCT(($G$14:$G$71=$A25)*($E$14:$E$71=1)*(L$14:L$71="N/A")*$F$14:$F$71)))</f>
        <v/>
      </c>
      <c r="N25" s="22">
        <f>IF(L25="SI",M25,0)</f>
        <v/>
      </c>
      <c r="O25" s="21" t="n"/>
      <c r="P25" s="22">
        <f>IF(OR($E25=0,O$78=0),0,IF(AND(O25="N/A",$G25&lt;&gt;""),0,$F25+SUMPRODUCT(($G$14:$G$71=$A25)*($E$14:$E$71=1)*(O$14:O$71="N/A")*$F$14:$F$71)))</f>
        <v/>
      </c>
      <c r="Q25" s="22">
        <f>IF(O25="SI",P25,0)</f>
        <v/>
      </c>
      <c r="R25" s="21" t="n"/>
      <c r="S25" s="22">
        <f>IF(OR($E25=0,R$78=0),0,IF(AND(R25="N/A",$G25&lt;&gt;""),0,$F25+SUMPRODUCT(($G$14:$G$71=$A25)*($E$14:$E$71=1)*(R$14:R$71="N/A")*$F$14:$F$71)))</f>
        <v/>
      </c>
      <c r="T25" s="22">
        <f>IF(R25="SI",S25,0)</f>
        <v/>
      </c>
      <c r="U25" s="21" t="n"/>
      <c r="V25" s="22">
        <f>IF(OR($E25=0,U$78=0),0,IF(AND(U25="N/A",$G25&lt;&gt;""),0,$F25+SUMPRODUCT(($G$14:$G$71=$A25)*($E$14:$E$71=1)*(U$14:U$71="N/A")*$F$14:$F$71)))</f>
        <v/>
      </c>
      <c r="W25" s="22">
        <f>IF(U25="SI",V25,0)</f>
        <v/>
      </c>
      <c r="X25" s="21" t="n"/>
      <c r="Y25" s="22">
        <f>IF(OR($E25=0,X$78=0),0,IF(AND(X25="N/A",$G25&lt;&gt;""),0,$F25+SUMPRODUCT(($G$14:$G$71=$A25)*($E$14:$E$71=1)*(X$14:X$71="N/A")*$F$14:$F$71)))</f>
        <v/>
      </c>
      <c r="Z25" s="22">
        <f>IF(X25="SI",Y25,0)</f>
        <v/>
      </c>
      <c r="AA25" s="22">
        <f>SUM(J25,M25,P25,S25,V25,Y25)</f>
        <v/>
      </c>
      <c r="AB25" s="22">
        <f>SUM(K25,N25,Q25,T25,W25,Z25)</f>
        <v/>
      </c>
      <c r="AC25" s="23">
        <f>IF(AA25=0,"",AB25/AA25)</f>
        <v/>
      </c>
      <c r="AD25" s="22">
        <f>CRITERIOS!Q13</f>
        <v/>
      </c>
      <c r="AE25" s="22">
        <f>IF(AND(E25=1,H25&lt;&gt;"X",((I25="N/A")+(L25="N/A")+(O25="N/A")+(R25="N/A")+(U25="N/A")+(X25="N/A"))&gt;0),"REVISAR","")</f>
        <v/>
      </c>
    </row>
    <row r="26">
      <c r="A26" s="19">
        <f>CRITERIOS!B14</f>
        <v/>
      </c>
      <c r="B26" s="19">
        <f>CRITERIOS!C14</f>
        <v/>
      </c>
      <c r="C26" s="20">
        <f>CRITERIOS!D14</f>
        <v/>
      </c>
      <c r="D26" s="19">
        <f>CRITERIOS!E14</f>
        <v/>
      </c>
      <c r="E26" s="19">
        <f>IFERROR(IF(AND(OR(CRITERIOS!F14="Todos",CRITERIOS!F14=$B$4),INDEX(CRITERIOS!H14:J14,MATCH($B$5,VARIABLES!$E$2:$E$4,0))=1),1,0),0)</f>
        <v/>
      </c>
      <c r="F26" s="19">
        <f>IFERROR(IF(E26=1,INDEX(CRITERIOS!K14:M14,MATCH($B$5,VARIABLES!$E$2:$E$4,0)),0),0)</f>
        <v/>
      </c>
      <c r="G26" s="19">
        <f>IF(CRITERIOS!N14="","",CRITERIOS!N14)</f>
        <v/>
      </c>
      <c r="H26" s="19">
        <f>IF(CRITERIOS!O14="","",CRITERIOS!O14)</f>
        <v/>
      </c>
      <c r="I26" s="21" t="n"/>
      <c r="J26" s="22">
        <f>IF(OR($E26=0,I$78=0),0,IF(AND(I26="N/A",$G26&lt;&gt;""),0,$F26+SUMPRODUCT(($G$14:$G$71=$A26)*($E$14:$E$71=1)*(I$14:I$71="N/A")*$F$14:$F$71)))</f>
        <v/>
      </c>
      <c r="K26" s="22">
        <f>IF(I26="SI",J26,0)</f>
        <v/>
      </c>
      <c r="L26" s="21" t="n"/>
      <c r="M26" s="22">
        <f>IF(OR($E26=0,L$78=0),0,IF(AND(L26="N/A",$G26&lt;&gt;""),0,$F26+SUMPRODUCT(($G$14:$G$71=$A26)*($E$14:$E$71=1)*(L$14:L$71="N/A")*$F$14:$F$71)))</f>
        <v/>
      </c>
      <c r="N26" s="22">
        <f>IF(L26="SI",M26,0)</f>
        <v/>
      </c>
      <c r="O26" s="21" t="n"/>
      <c r="P26" s="22">
        <f>IF(OR($E26=0,O$78=0),0,IF(AND(O26="N/A",$G26&lt;&gt;""),0,$F26+SUMPRODUCT(($G$14:$G$71=$A26)*($E$14:$E$71=1)*(O$14:O$71="N/A")*$F$14:$F$71)))</f>
        <v/>
      </c>
      <c r="Q26" s="22">
        <f>IF(O26="SI",P26,0)</f>
        <v/>
      </c>
      <c r="R26" s="21" t="n"/>
      <c r="S26" s="22">
        <f>IF(OR($E26=0,R$78=0),0,IF(AND(R26="N/A",$G26&lt;&gt;""),0,$F26+SUMPRODUCT(($G$14:$G$71=$A26)*($E$14:$E$71=1)*(R$14:R$71="N/A")*$F$14:$F$71)))</f>
        <v/>
      </c>
      <c r="T26" s="22">
        <f>IF(R26="SI",S26,0)</f>
        <v/>
      </c>
      <c r="U26" s="21" t="n"/>
      <c r="V26" s="22">
        <f>IF(OR($E26=0,U$78=0),0,IF(AND(U26="N/A",$G26&lt;&gt;""),0,$F26+SUMPRODUCT(($G$14:$G$71=$A26)*($E$14:$E$71=1)*(U$14:U$71="N/A")*$F$14:$F$71)))</f>
        <v/>
      </c>
      <c r="W26" s="22">
        <f>IF(U26="SI",V26,0)</f>
        <v/>
      </c>
      <c r="X26" s="21" t="n"/>
      <c r="Y26" s="22">
        <f>IF(OR($E26=0,X$78=0),0,IF(AND(X26="N/A",$G26&lt;&gt;""),0,$F26+SUMPRODUCT(($G$14:$G$71=$A26)*($E$14:$E$71=1)*(X$14:X$71="N/A")*$F$14:$F$71)))</f>
        <v/>
      </c>
      <c r="Z26" s="22">
        <f>IF(X26="SI",Y26,0)</f>
        <v/>
      </c>
      <c r="AA26" s="22">
        <f>SUM(J26,M26,P26,S26,V26,Y26)</f>
        <v/>
      </c>
      <c r="AB26" s="22">
        <f>SUM(K26,N26,Q26,T26,W26,Z26)</f>
        <v/>
      </c>
      <c r="AC26" s="23">
        <f>IF(AA26=0,"",AB26/AA26)</f>
        <v/>
      </c>
      <c r="AD26" s="22">
        <f>CRITERIOS!Q14</f>
        <v/>
      </c>
      <c r="AE26" s="22">
        <f>IF(AND(E26=1,H26&lt;&gt;"X",((I26="N/A")+(L26="N/A")+(O26="N/A")+(R26="N/A")+(U26="N/A")+(X26="N/A"))&gt;0),"REVISAR","")</f>
        <v/>
      </c>
    </row>
    <row r="27">
      <c r="A27" s="19">
        <f>CRITERIOS!B15</f>
        <v/>
      </c>
      <c r="B27" s="19">
        <f>CRITERIOS!C15</f>
        <v/>
      </c>
      <c r="C27" s="20">
        <f>CRITERIOS!D15</f>
        <v/>
      </c>
      <c r="D27" s="19">
        <f>CRITERIOS!E15</f>
        <v/>
      </c>
      <c r="E27" s="19">
        <f>IFERROR(IF(AND(OR(CRITERIOS!F15="Todos",CRITERIOS!F15=$B$4),INDEX(CRITERIOS!H15:J15,MATCH($B$5,VARIABLES!$E$2:$E$4,0))=1),1,0),0)</f>
        <v/>
      </c>
      <c r="F27" s="19">
        <f>IFERROR(IF(E27=1,INDEX(CRITERIOS!K15:M15,MATCH($B$5,VARIABLES!$E$2:$E$4,0)),0),0)</f>
        <v/>
      </c>
      <c r="G27" s="19">
        <f>IF(CRITERIOS!N15="","",CRITERIOS!N15)</f>
        <v/>
      </c>
      <c r="H27" s="19">
        <f>IF(CRITERIOS!O15="","",CRITERIOS!O15)</f>
        <v/>
      </c>
      <c r="I27" s="21" t="n"/>
      <c r="J27" s="22">
        <f>IF(OR($E27=0,I$78=0),0,IF(AND(I27="N/A",$G27&lt;&gt;""),0,$F27+SUMPRODUCT(($G$14:$G$71=$A27)*($E$14:$E$71=1)*(I$14:I$71="N/A")*$F$14:$F$71)))</f>
        <v/>
      </c>
      <c r="K27" s="22">
        <f>IF(I27="SI",J27,0)</f>
        <v/>
      </c>
      <c r="L27" s="21" t="n"/>
      <c r="M27" s="22">
        <f>IF(OR($E27=0,L$78=0),0,IF(AND(L27="N/A",$G27&lt;&gt;""),0,$F27+SUMPRODUCT(($G$14:$G$71=$A27)*($E$14:$E$71=1)*(L$14:L$71="N/A")*$F$14:$F$71)))</f>
        <v/>
      </c>
      <c r="N27" s="22">
        <f>IF(L27="SI",M27,0)</f>
        <v/>
      </c>
      <c r="O27" s="21" t="n"/>
      <c r="P27" s="22">
        <f>IF(OR($E27=0,O$78=0),0,IF(AND(O27="N/A",$G27&lt;&gt;""),0,$F27+SUMPRODUCT(($G$14:$G$71=$A27)*($E$14:$E$71=1)*(O$14:O$71="N/A")*$F$14:$F$71)))</f>
        <v/>
      </c>
      <c r="Q27" s="22">
        <f>IF(O27="SI",P27,0)</f>
        <v/>
      </c>
      <c r="R27" s="21" t="n"/>
      <c r="S27" s="22">
        <f>IF(OR($E27=0,R$78=0),0,IF(AND(R27="N/A",$G27&lt;&gt;""),0,$F27+SUMPRODUCT(($G$14:$G$71=$A27)*($E$14:$E$71=1)*(R$14:R$71="N/A")*$F$14:$F$71)))</f>
        <v/>
      </c>
      <c r="T27" s="22">
        <f>IF(R27="SI",S27,0)</f>
        <v/>
      </c>
      <c r="U27" s="21" t="n"/>
      <c r="V27" s="22">
        <f>IF(OR($E27=0,U$78=0),0,IF(AND(U27="N/A",$G27&lt;&gt;""),0,$F27+SUMPRODUCT(($G$14:$G$71=$A27)*($E$14:$E$71=1)*(U$14:U$71="N/A")*$F$14:$F$71)))</f>
        <v/>
      </c>
      <c r="W27" s="22">
        <f>IF(U27="SI",V27,0)</f>
        <v/>
      </c>
      <c r="X27" s="21" t="n"/>
      <c r="Y27" s="22">
        <f>IF(OR($E27=0,X$78=0),0,IF(AND(X27="N/A",$G27&lt;&gt;""),0,$F27+SUMPRODUCT(($G$14:$G$71=$A27)*($E$14:$E$71=1)*(X$14:X$71="N/A")*$F$14:$F$71)))</f>
        <v/>
      </c>
      <c r="Z27" s="22">
        <f>IF(X27="SI",Y27,0)</f>
        <v/>
      </c>
      <c r="AA27" s="22">
        <f>SUM(J27,M27,P27,S27,V27,Y27)</f>
        <v/>
      </c>
      <c r="AB27" s="22">
        <f>SUM(K27,N27,Q27,T27,W27,Z27)</f>
        <v/>
      </c>
      <c r="AC27" s="23">
        <f>IF(AA27=0,"",AB27/AA27)</f>
        <v/>
      </c>
      <c r="AD27" s="22">
        <f>CRITERIOS!Q15</f>
        <v/>
      </c>
      <c r="AE27" s="22">
        <f>IF(AND(E27=1,H27&lt;&gt;"X",((I27="N/A")+(L27="N/A")+(O27="N/A")+(R27="N/A")+(U27="N/A")+(X27="N/A"))&gt;0),"REVISAR","")</f>
        <v/>
      </c>
    </row>
    <row r="28">
      <c r="A28" s="19">
        <f>CRITERIOS!B16</f>
        <v/>
      </c>
      <c r="B28" s="19">
        <f>CRITERIOS!C16</f>
        <v/>
      </c>
      <c r="C28" s="20">
        <f>CRITERIOS!D16</f>
        <v/>
      </c>
      <c r="D28" s="19">
        <f>CRITERIOS!E16</f>
        <v/>
      </c>
      <c r="E28" s="19">
        <f>IFERROR(IF(AND(OR(CRITERIOS!F16="Todos",CRITERIOS!F16=$B$4),INDEX(CRITERIOS!H16:J16,MATCH($B$5,VARIABLES!$E$2:$E$4,0))=1),1,0),0)</f>
        <v/>
      </c>
      <c r="F28" s="19">
        <f>IFERROR(IF(E28=1,INDEX(CRITERIOS!K16:M16,MATCH($B$5,VARIABLES!$E$2:$E$4,0)),0),0)</f>
        <v/>
      </c>
      <c r="G28" s="19">
        <f>IF(CRITERIOS!N16="","",CRITERIOS!N16)</f>
        <v/>
      </c>
      <c r="H28" s="19">
        <f>IF(CRITERIOS!O16="","",CRITERIOS!O16)</f>
        <v/>
      </c>
      <c r="I28" s="21" t="n"/>
      <c r="J28" s="22">
        <f>IF(OR($E28=0,I$78=0),0,IF(AND(I28="N/A",$G28&lt;&gt;""),0,$F28+SUMPRODUCT(($G$14:$G$71=$A28)*($E$14:$E$71=1)*(I$14:I$71="N/A")*$F$14:$F$71)))</f>
        <v/>
      </c>
      <c r="K28" s="22">
        <f>IF(I28="SI",J28,0)</f>
        <v/>
      </c>
      <c r="L28" s="21" t="n"/>
      <c r="M28" s="22">
        <f>IF(OR($E28=0,L$78=0),0,IF(AND(L28="N/A",$G28&lt;&gt;""),0,$F28+SUMPRODUCT(($G$14:$G$71=$A28)*($E$14:$E$71=1)*(L$14:L$71="N/A")*$F$14:$F$71)))</f>
        <v/>
      </c>
      <c r="N28" s="22">
        <f>IF(L28="SI",M28,0)</f>
        <v/>
      </c>
      <c r="O28" s="21" t="n"/>
      <c r="P28" s="22">
        <f>IF(OR($E28=0,O$78=0),0,IF(AND(O28="N/A",$G28&lt;&gt;""),0,$F28+SUMPRODUCT(($G$14:$G$71=$A28)*($E$14:$E$71=1)*(O$14:O$71="N/A")*$F$14:$F$71)))</f>
        <v/>
      </c>
      <c r="Q28" s="22">
        <f>IF(O28="SI",P28,0)</f>
        <v/>
      </c>
      <c r="R28" s="21" t="n"/>
      <c r="S28" s="22">
        <f>IF(OR($E28=0,R$78=0),0,IF(AND(R28="N/A",$G28&lt;&gt;""),0,$F28+SUMPRODUCT(($G$14:$G$71=$A28)*($E$14:$E$71=1)*(R$14:R$71="N/A")*$F$14:$F$71)))</f>
        <v/>
      </c>
      <c r="T28" s="22">
        <f>IF(R28="SI",S28,0)</f>
        <v/>
      </c>
      <c r="U28" s="21" t="n"/>
      <c r="V28" s="22">
        <f>IF(OR($E28=0,U$78=0),0,IF(AND(U28="N/A",$G28&lt;&gt;""),0,$F28+SUMPRODUCT(($G$14:$G$71=$A28)*($E$14:$E$71=1)*(U$14:U$71="N/A")*$F$14:$F$71)))</f>
        <v/>
      </c>
      <c r="W28" s="22">
        <f>IF(U28="SI",V28,0)</f>
        <v/>
      </c>
      <c r="X28" s="21" t="n"/>
      <c r="Y28" s="22">
        <f>IF(OR($E28=0,X$78=0),0,IF(AND(X28="N/A",$G28&lt;&gt;""),0,$F28+SUMPRODUCT(($G$14:$G$71=$A28)*($E$14:$E$71=1)*(X$14:X$71="N/A")*$F$14:$F$71)))</f>
        <v/>
      </c>
      <c r="Z28" s="22">
        <f>IF(X28="SI",Y28,0)</f>
        <v/>
      </c>
      <c r="AA28" s="22">
        <f>SUM(J28,M28,P28,S28,V28,Y28)</f>
        <v/>
      </c>
      <c r="AB28" s="22">
        <f>SUM(K28,N28,Q28,T28,W28,Z28)</f>
        <v/>
      </c>
      <c r="AC28" s="23">
        <f>IF(AA28=0,"",AB28/AA28)</f>
        <v/>
      </c>
      <c r="AD28" s="22">
        <f>CRITERIOS!Q16</f>
        <v/>
      </c>
      <c r="AE28" s="22">
        <f>IF(AND(E28=1,H28&lt;&gt;"X",((I28="N/A")+(L28="N/A")+(O28="N/A")+(R28="N/A")+(U28="N/A")+(X28="N/A"))&gt;0),"REVISAR","")</f>
        <v/>
      </c>
    </row>
    <row r="29">
      <c r="A29" s="19">
        <f>CRITERIOS!B17</f>
        <v/>
      </c>
      <c r="B29" s="19">
        <f>CRITERIOS!C17</f>
        <v/>
      </c>
      <c r="C29" s="20">
        <f>CRITERIOS!D17</f>
        <v/>
      </c>
      <c r="D29" s="19">
        <f>CRITERIOS!E17</f>
        <v/>
      </c>
      <c r="E29" s="19">
        <f>IFERROR(IF(AND(OR(CRITERIOS!F17="Todos",CRITERIOS!F17=$B$4),INDEX(CRITERIOS!H17:J17,MATCH($B$5,VARIABLES!$E$2:$E$4,0))=1),1,0),0)</f>
        <v/>
      </c>
      <c r="F29" s="19">
        <f>IFERROR(IF(E29=1,INDEX(CRITERIOS!K17:M17,MATCH($B$5,VARIABLES!$E$2:$E$4,0)),0),0)</f>
        <v/>
      </c>
      <c r="G29" s="19">
        <f>IF(CRITERIOS!N17="","",CRITERIOS!N17)</f>
        <v/>
      </c>
      <c r="H29" s="19">
        <f>IF(CRITERIOS!O17="","",CRITERIOS!O17)</f>
        <v/>
      </c>
      <c r="I29" s="21" t="n"/>
      <c r="J29" s="22">
        <f>IF(OR($E29=0,I$78=0),0,IF(AND(I29="N/A",$G29&lt;&gt;""),0,$F29+SUMPRODUCT(($G$14:$G$71=$A29)*($E$14:$E$71=1)*(I$14:I$71="N/A")*$F$14:$F$71)))</f>
        <v/>
      </c>
      <c r="K29" s="22">
        <f>IF(I29="SI",J29,0)</f>
        <v/>
      </c>
      <c r="L29" s="21" t="n"/>
      <c r="M29" s="22">
        <f>IF(OR($E29=0,L$78=0),0,IF(AND(L29="N/A",$G29&lt;&gt;""),0,$F29+SUMPRODUCT(($G$14:$G$71=$A29)*($E$14:$E$71=1)*(L$14:L$71="N/A")*$F$14:$F$71)))</f>
        <v/>
      </c>
      <c r="N29" s="22">
        <f>IF(L29="SI",M29,0)</f>
        <v/>
      </c>
      <c r="O29" s="21" t="n"/>
      <c r="P29" s="22">
        <f>IF(OR($E29=0,O$78=0),0,IF(AND(O29="N/A",$G29&lt;&gt;""),0,$F29+SUMPRODUCT(($G$14:$G$71=$A29)*($E$14:$E$71=1)*(O$14:O$71="N/A")*$F$14:$F$71)))</f>
        <v/>
      </c>
      <c r="Q29" s="22">
        <f>IF(O29="SI",P29,0)</f>
        <v/>
      </c>
      <c r="R29" s="21" t="n"/>
      <c r="S29" s="22">
        <f>IF(OR($E29=0,R$78=0),0,IF(AND(R29="N/A",$G29&lt;&gt;""),0,$F29+SUMPRODUCT(($G$14:$G$71=$A29)*($E$14:$E$71=1)*(R$14:R$71="N/A")*$F$14:$F$71)))</f>
        <v/>
      </c>
      <c r="T29" s="22">
        <f>IF(R29="SI",S29,0)</f>
        <v/>
      </c>
      <c r="U29" s="21" t="n"/>
      <c r="V29" s="22">
        <f>IF(OR($E29=0,U$78=0),0,IF(AND(U29="N/A",$G29&lt;&gt;""),0,$F29+SUMPRODUCT(($G$14:$G$71=$A29)*($E$14:$E$71=1)*(U$14:U$71="N/A")*$F$14:$F$71)))</f>
        <v/>
      </c>
      <c r="W29" s="22">
        <f>IF(U29="SI",V29,0)</f>
        <v/>
      </c>
      <c r="X29" s="21" t="n"/>
      <c r="Y29" s="22">
        <f>IF(OR($E29=0,X$78=0),0,IF(AND(X29="N/A",$G29&lt;&gt;""),0,$F29+SUMPRODUCT(($G$14:$G$71=$A29)*($E$14:$E$71=1)*(X$14:X$71="N/A")*$F$14:$F$71)))</f>
        <v/>
      </c>
      <c r="Z29" s="22">
        <f>IF(X29="SI",Y29,0)</f>
        <v/>
      </c>
      <c r="AA29" s="22">
        <f>SUM(J29,M29,P29,S29,V29,Y29)</f>
        <v/>
      </c>
      <c r="AB29" s="22">
        <f>SUM(K29,N29,Q29,T29,W29,Z29)</f>
        <v/>
      </c>
      <c r="AC29" s="23">
        <f>IF(AA29=0,"",AB29/AA29)</f>
        <v/>
      </c>
      <c r="AD29" s="22">
        <f>CRITERIOS!Q17</f>
        <v/>
      </c>
      <c r="AE29" s="22">
        <f>IF(AND(E29=1,H29&lt;&gt;"X",((I29="N/A")+(L29="N/A")+(O29="N/A")+(R29="N/A")+(U29="N/A")+(X29="N/A"))&gt;0),"REVISAR","")</f>
        <v/>
      </c>
    </row>
    <row r="30">
      <c r="A30" s="22">
        <f>CRITERIOS!B18</f>
        <v/>
      </c>
      <c r="B30" s="22">
        <f>CRITERIOS!C18</f>
        <v/>
      </c>
      <c r="C30" s="8">
        <f>CRITERIOS!D18</f>
        <v/>
      </c>
      <c r="D30" s="22">
        <f>CRITERIOS!E18</f>
        <v/>
      </c>
      <c r="E30" s="22">
        <f>IFERROR(IF(AND(OR(CRITERIOS!F18="Todos",CRITERIOS!F18=$B$4),INDEX(CRITERIOS!H18:J18,MATCH($B$5,VARIABLES!$E$2:$E$4,0))=1),1,0),0)</f>
        <v/>
      </c>
      <c r="F30" s="22">
        <f>IFERROR(IF(E30=1,INDEX(CRITERIOS!K18:M18,MATCH($B$5,VARIABLES!$E$2:$E$4,0)),0),0)</f>
        <v/>
      </c>
      <c r="G30" s="22">
        <f>IF(CRITERIOS!N18="","",CRITERIOS!N18)</f>
        <v/>
      </c>
      <c r="H30" s="22">
        <f>IF(CRITERIOS!O18="","",CRITERIOS!O18)</f>
        <v/>
      </c>
      <c r="I30" s="21" t="n"/>
      <c r="J30" s="22">
        <f>IF(OR($E30=0,I$78=0),0,IF(AND(I30="N/A",$G30&lt;&gt;""),0,$F30+SUMPRODUCT(($G$14:$G$71=$A30)*($E$14:$E$71=1)*(I$14:I$71="N/A")*$F$14:$F$71)))</f>
        <v/>
      </c>
      <c r="K30" s="22">
        <f>IF(I30="SI",J30,0)</f>
        <v/>
      </c>
      <c r="L30" s="21" t="n"/>
      <c r="M30" s="22">
        <f>IF(OR($E30=0,L$78=0),0,IF(AND(L30="N/A",$G30&lt;&gt;""),0,$F30+SUMPRODUCT(($G$14:$G$71=$A30)*($E$14:$E$71=1)*(L$14:L$71="N/A")*$F$14:$F$71)))</f>
        <v/>
      </c>
      <c r="N30" s="22">
        <f>IF(L30="SI",M30,0)</f>
        <v/>
      </c>
      <c r="O30" s="21" t="n"/>
      <c r="P30" s="22">
        <f>IF(OR($E30=0,O$78=0),0,IF(AND(O30="N/A",$G30&lt;&gt;""),0,$F30+SUMPRODUCT(($G$14:$G$71=$A30)*($E$14:$E$71=1)*(O$14:O$71="N/A")*$F$14:$F$71)))</f>
        <v/>
      </c>
      <c r="Q30" s="22">
        <f>IF(O30="SI",P30,0)</f>
        <v/>
      </c>
      <c r="R30" s="21" t="n"/>
      <c r="S30" s="22">
        <f>IF(OR($E30=0,R$78=0),0,IF(AND(R30="N/A",$G30&lt;&gt;""),0,$F30+SUMPRODUCT(($G$14:$G$71=$A30)*($E$14:$E$71=1)*(R$14:R$71="N/A")*$F$14:$F$71)))</f>
        <v/>
      </c>
      <c r="T30" s="22">
        <f>IF(R30="SI",S30,0)</f>
        <v/>
      </c>
      <c r="U30" s="21" t="n"/>
      <c r="V30" s="22">
        <f>IF(OR($E30=0,U$78=0),0,IF(AND(U30="N/A",$G30&lt;&gt;""),0,$F30+SUMPRODUCT(($G$14:$G$71=$A30)*($E$14:$E$71=1)*(U$14:U$71="N/A")*$F$14:$F$71)))</f>
        <v/>
      </c>
      <c r="W30" s="22">
        <f>IF(U30="SI",V30,0)</f>
        <v/>
      </c>
      <c r="X30" s="21" t="n"/>
      <c r="Y30" s="22">
        <f>IF(OR($E30=0,X$78=0),0,IF(AND(X30="N/A",$G30&lt;&gt;""),0,$F30+SUMPRODUCT(($G$14:$G$71=$A30)*($E$14:$E$71=1)*(X$14:X$71="N/A")*$F$14:$F$71)))</f>
        <v/>
      </c>
      <c r="Z30" s="22">
        <f>IF(X30="SI",Y30,0)</f>
        <v/>
      </c>
      <c r="AA30" s="22">
        <f>SUM(J30,M30,P30,S30,V30,Y30)</f>
        <v/>
      </c>
      <c r="AB30" s="22">
        <f>SUM(K30,N30,Q30,T30,W30,Z30)</f>
        <v/>
      </c>
      <c r="AC30" s="23">
        <f>IF(AA30=0,"",AB30/AA30)</f>
        <v/>
      </c>
      <c r="AD30" s="22">
        <f>CRITERIOS!Q18</f>
        <v/>
      </c>
      <c r="AE30" s="22">
        <f>IF(AND(E30=1,H30&lt;&gt;"X",((I30="N/A")+(L30="N/A")+(O30="N/A")+(R30="N/A")+(U30="N/A")+(X30="N/A"))&gt;0),"REVISAR","")</f>
        <v/>
      </c>
    </row>
    <row r="31">
      <c r="A31" s="24">
        <f>CRITERIOS!B19</f>
        <v/>
      </c>
      <c r="B31" s="24">
        <f>CRITERIOS!C19</f>
        <v/>
      </c>
      <c r="C31" s="25">
        <f>CRITERIOS!D19</f>
        <v/>
      </c>
      <c r="D31" s="24">
        <f>CRITERIOS!E19</f>
        <v/>
      </c>
      <c r="E31" s="24">
        <f>IFERROR(IF(AND(OR(CRITERIOS!F19="Todos",CRITERIOS!F19=$B$4),INDEX(CRITERIOS!H19:J19,MATCH($B$5,VARIABLES!$E$2:$E$4,0))=1),1,0),0)</f>
        <v/>
      </c>
      <c r="F31" s="24">
        <f>IFERROR(IF(E31=1,INDEX(CRITERIOS!K19:M19,MATCH($B$5,VARIABLES!$E$2:$E$4,0)),0),0)</f>
        <v/>
      </c>
      <c r="G31" s="24">
        <f>IF(CRITERIOS!N19="","",CRITERIOS!N19)</f>
        <v/>
      </c>
      <c r="H31" s="24">
        <f>IF(CRITERIOS!O19="","",CRITERIOS!O19)</f>
        <v/>
      </c>
      <c r="I31" s="21" t="n"/>
      <c r="J31" s="22">
        <f>IF(OR($E31=0,I$78=0),0,IF(AND(I31="N/A",$G31&lt;&gt;""),0,$F31+SUMPRODUCT(($G$14:$G$71=$A31)*($E$14:$E$71=1)*(I$14:I$71="N/A")*$F$14:$F$71)))</f>
        <v/>
      </c>
      <c r="K31" s="22">
        <f>IF(I31="SI",J31,0)</f>
        <v/>
      </c>
      <c r="L31" s="21" t="n"/>
      <c r="M31" s="22">
        <f>IF(OR($E31=0,L$78=0),0,IF(AND(L31="N/A",$G31&lt;&gt;""),0,$F31+SUMPRODUCT(($G$14:$G$71=$A31)*($E$14:$E$71=1)*(L$14:L$71="N/A")*$F$14:$F$71)))</f>
        <v/>
      </c>
      <c r="N31" s="22">
        <f>IF(L31="SI",M31,0)</f>
        <v/>
      </c>
      <c r="O31" s="21" t="n"/>
      <c r="P31" s="22">
        <f>IF(OR($E31=0,O$78=0),0,IF(AND(O31="N/A",$G31&lt;&gt;""),0,$F31+SUMPRODUCT(($G$14:$G$71=$A31)*($E$14:$E$71=1)*(O$14:O$71="N/A")*$F$14:$F$71)))</f>
        <v/>
      </c>
      <c r="Q31" s="22">
        <f>IF(O31="SI",P31,0)</f>
        <v/>
      </c>
      <c r="R31" s="21" t="n"/>
      <c r="S31" s="22">
        <f>IF(OR($E31=0,R$78=0),0,IF(AND(R31="N/A",$G31&lt;&gt;""),0,$F31+SUMPRODUCT(($G$14:$G$71=$A31)*($E$14:$E$71=1)*(R$14:R$71="N/A")*$F$14:$F$71)))</f>
        <v/>
      </c>
      <c r="T31" s="22">
        <f>IF(R31="SI",S31,0)</f>
        <v/>
      </c>
      <c r="U31" s="21" t="n"/>
      <c r="V31" s="22">
        <f>IF(OR($E31=0,U$78=0),0,IF(AND(U31="N/A",$G31&lt;&gt;""),0,$F31+SUMPRODUCT(($G$14:$G$71=$A31)*($E$14:$E$71=1)*(U$14:U$71="N/A")*$F$14:$F$71)))</f>
        <v/>
      </c>
      <c r="W31" s="22">
        <f>IF(U31="SI",V31,0)</f>
        <v/>
      </c>
      <c r="X31" s="21" t="n"/>
      <c r="Y31" s="22">
        <f>IF(OR($E31=0,X$78=0),0,IF(AND(X31="N/A",$G31&lt;&gt;""),0,$F31+SUMPRODUCT(($G$14:$G$71=$A31)*($E$14:$E$71=1)*(X$14:X$71="N/A")*$F$14:$F$71)))</f>
        <v/>
      </c>
      <c r="Z31" s="22">
        <f>IF(X31="SI",Y31,0)</f>
        <v/>
      </c>
      <c r="AA31" s="22">
        <f>SUM(J31,M31,P31,S31,V31,Y31)</f>
        <v/>
      </c>
      <c r="AB31" s="22">
        <f>SUM(K31,N31,Q31,T31,W31,Z31)</f>
        <v/>
      </c>
      <c r="AC31" s="23">
        <f>IF(AA31=0,"",AB31/AA31)</f>
        <v/>
      </c>
      <c r="AD31" s="22">
        <f>CRITERIOS!Q19</f>
        <v/>
      </c>
      <c r="AE31" s="22">
        <f>IF(AND(E31=1,H31&lt;&gt;"X",((I31="N/A")+(L31="N/A")+(O31="N/A")+(R31="N/A")+(U31="N/A")+(X31="N/A"))&gt;0),"REVISAR","")</f>
        <v/>
      </c>
    </row>
    <row r="32">
      <c r="A32" s="24">
        <f>CRITERIOS!B20</f>
        <v/>
      </c>
      <c r="B32" s="24">
        <f>CRITERIOS!C20</f>
        <v/>
      </c>
      <c r="C32" s="25">
        <f>CRITERIOS!D20</f>
        <v/>
      </c>
      <c r="D32" s="24">
        <f>CRITERIOS!E20</f>
        <v/>
      </c>
      <c r="E32" s="24">
        <f>IFERROR(IF(AND(OR(CRITERIOS!F20="Todos",CRITERIOS!F20=$B$4),INDEX(CRITERIOS!H20:J20,MATCH($B$5,VARIABLES!$E$2:$E$4,0))=1),1,0),0)</f>
        <v/>
      </c>
      <c r="F32" s="24">
        <f>IFERROR(IF(E32=1,INDEX(CRITERIOS!K20:M20,MATCH($B$5,VARIABLES!$E$2:$E$4,0)),0),0)</f>
        <v/>
      </c>
      <c r="G32" s="24">
        <f>IF(CRITERIOS!N20="","",CRITERIOS!N20)</f>
        <v/>
      </c>
      <c r="H32" s="24">
        <f>IF(CRITERIOS!O20="","",CRITERIOS!O20)</f>
        <v/>
      </c>
      <c r="I32" s="21" t="n"/>
      <c r="J32" s="22">
        <f>IF(OR($E32=0,I$78=0),0,IF(AND(I32="N/A",$G32&lt;&gt;""),0,$F32+SUMPRODUCT(($G$14:$G$71=$A32)*($E$14:$E$71=1)*(I$14:I$71="N/A")*$F$14:$F$71)))</f>
        <v/>
      </c>
      <c r="K32" s="22">
        <f>IF(I32="SI",J32,0)</f>
        <v/>
      </c>
      <c r="L32" s="21" t="n"/>
      <c r="M32" s="22">
        <f>IF(OR($E32=0,L$78=0),0,IF(AND(L32="N/A",$G32&lt;&gt;""),0,$F32+SUMPRODUCT(($G$14:$G$71=$A32)*($E$14:$E$71=1)*(L$14:L$71="N/A")*$F$14:$F$71)))</f>
        <v/>
      </c>
      <c r="N32" s="22">
        <f>IF(L32="SI",M32,0)</f>
        <v/>
      </c>
      <c r="O32" s="21" t="n"/>
      <c r="P32" s="22">
        <f>IF(OR($E32=0,O$78=0),0,IF(AND(O32="N/A",$G32&lt;&gt;""),0,$F32+SUMPRODUCT(($G$14:$G$71=$A32)*($E$14:$E$71=1)*(O$14:O$71="N/A")*$F$14:$F$71)))</f>
        <v/>
      </c>
      <c r="Q32" s="22">
        <f>IF(O32="SI",P32,0)</f>
        <v/>
      </c>
      <c r="R32" s="21" t="n"/>
      <c r="S32" s="22">
        <f>IF(OR($E32=0,R$78=0),0,IF(AND(R32="N/A",$G32&lt;&gt;""),0,$F32+SUMPRODUCT(($G$14:$G$71=$A32)*($E$14:$E$71=1)*(R$14:R$71="N/A")*$F$14:$F$71)))</f>
        <v/>
      </c>
      <c r="T32" s="22">
        <f>IF(R32="SI",S32,0)</f>
        <v/>
      </c>
      <c r="U32" s="21" t="n"/>
      <c r="V32" s="22">
        <f>IF(OR($E32=0,U$78=0),0,IF(AND(U32="N/A",$G32&lt;&gt;""),0,$F32+SUMPRODUCT(($G$14:$G$71=$A32)*($E$14:$E$71=1)*(U$14:U$71="N/A")*$F$14:$F$71)))</f>
        <v/>
      </c>
      <c r="W32" s="22">
        <f>IF(U32="SI",V32,0)</f>
        <v/>
      </c>
      <c r="X32" s="21" t="n"/>
      <c r="Y32" s="22">
        <f>IF(OR($E32=0,X$78=0),0,IF(AND(X32="N/A",$G32&lt;&gt;""),0,$F32+SUMPRODUCT(($G$14:$G$71=$A32)*($E$14:$E$71=1)*(X$14:X$71="N/A")*$F$14:$F$71)))</f>
        <v/>
      </c>
      <c r="Z32" s="22">
        <f>IF(X32="SI",Y32,0)</f>
        <v/>
      </c>
      <c r="AA32" s="22">
        <f>SUM(J32,M32,P32,S32,V32,Y32)</f>
        <v/>
      </c>
      <c r="AB32" s="22">
        <f>SUM(K32,N32,Q32,T32,W32,Z32)</f>
        <v/>
      </c>
      <c r="AC32" s="23">
        <f>IF(AA32=0,"",AB32/AA32)</f>
        <v/>
      </c>
      <c r="AD32" s="22">
        <f>CRITERIOS!Q20</f>
        <v/>
      </c>
      <c r="AE32" s="22">
        <f>IF(AND(E32=1,H32&lt;&gt;"X",((I32="N/A")+(L32="N/A")+(O32="N/A")+(R32="N/A")+(U32="N/A")+(X32="N/A"))&gt;0),"REVISAR","")</f>
        <v/>
      </c>
    </row>
    <row r="33">
      <c r="A33" s="24">
        <f>CRITERIOS!B21</f>
        <v/>
      </c>
      <c r="B33" s="24">
        <f>CRITERIOS!C21</f>
        <v/>
      </c>
      <c r="C33" s="25">
        <f>CRITERIOS!D21</f>
        <v/>
      </c>
      <c r="D33" s="24">
        <f>CRITERIOS!E21</f>
        <v/>
      </c>
      <c r="E33" s="24">
        <f>IFERROR(IF(AND(OR(CRITERIOS!F21="Todos",CRITERIOS!F21=$B$4),INDEX(CRITERIOS!H21:J21,MATCH($B$5,VARIABLES!$E$2:$E$4,0))=1),1,0),0)</f>
        <v/>
      </c>
      <c r="F33" s="24">
        <f>IFERROR(IF(E33=1,INDEX(CRITERIOS!K21:M21,MATCH($B$5,VARIABLES!$E$2:$E$4,0)),0),0)</f>
        <v/>
      </c>
      <c r="G33" s="24">
        <f>IF(CRITERIOS!N21="","",CRITERIOS!N21)</f>
        <v/>
      </c>
      <c r="H33" s="24">
        <f>IF(CRITERIOS!O21="","",CRITERIOS!O21)</f>
        <v/>
      </c>
      <c r="I33" s="21" t="n"/>
      <c r="J33" s="22">
        <f>IF(OR($E33=0,I$78=0),0,IF(AND(I33="N/A",$G33&lt;&gt;""),0,$F33+SUMPRODUCT(($G$14:$G$71=$A33)*($E$14:$E$71=1)*(I$14:I$71="N/A")*$F$14:$F$71)))</f>
        <v/>
      </c>
      <c r="K33" s="22">
        <f>IF(I33="SI",J33,0)</f>
        <v/>
      </c>
      <c r="L33" s="21" t="n"/>
      <c r="M33" s="22">
        <f>IF(OR($E33=0,L$78=0),0,IF(AND(L33="N/A",$G33&lt;&gt;""),0,$F33+SUMPRODUCT(($G$14:$G$71=$A33)*($E$14:$E$71=1)*(L$14:L$71="N/A")*$F$14:$F$71)))</f>
        <v/>
      </c>
      <c r="N33" s="22">
        <f>IF(L33="SI",M33,0)</f>
        <v/>
      </c>
      <c r="O33" s="21" t="n"/>
      <c r="P33" s="22">
        <f>IF(OR($E33=0,O$78=0),0,IF(AND(O33="N/A",$G33&lt;&gt;""),0,$F33+SUMPRODUCT(($G$14:$G$71=$A33)*($E$14:$E$71=1)*(O$14:O$71="N/A")*$F$14:$F$71)))</f>
        <v/>
      </c>
      <c r="Q33" s="22">
        <f>IF(O33="SI",P33,0)</f>
        <v/>
      </c>
      <c r="R33" s="21" t="n"/>
      <c r="S33" s="22">
        <f>IF(OR($E33=0,R$78=0),0,IF(AND(R33="N/A",$G33&lt;&gt;""),0,$F33+SUMPRODUCT(($G$14:$G$71=$A33)*($E$14:$E$71=1)*(R$14:R$71="N/A")*$F$14:$F$71)))</f>
        <v/>
      </c>
      <c r="T33" s="22">
        <f>IF(R33="SI",S33,0)</f>
        <v/>
      </c>
      <c r="U33" s="21" t="n"/>
      <c r="V33" s="22">
        <f>IF(OR($E33=0,U$78=0),0,IF(AND(U33="N/A",$G33&lt;&gt;""),0,$F33+SUMPRODUCT(($G$14:$G$71=$A33)*($E$14:$E$71=1)*(U$14:U$71="N/A")*$F$14:$F$71)))</f>
        <v/>
      </c>
      <c r="W33" s="22">
        <f>IF(U33="SI",V33,0)</f>
        <v/>
      </c>
      <c r="X33" s="21" t="n"/>
      <c r="Y33" s="22">
        <f>IF(OR($E33=0,X$78=0),0,IF(AND(X33="N/A",$G33&lt;&gt;""),0,$F33+SUMPRODUCT(($G$14:$G$71=$A33)*($E$14:$E$71=1)*(X$14:X$71="N/A")*$F$14:$F$71)))</f>
        <v/>
      </c>
      <c r="Z33" s="22">
        <f>IF(X33="SI",Y33,0)</f>
        <v/>
      </c>
      <c r="AA33" s="22">
        <f>SUM(J33,M33,P33,S33,V33,Y33)</f>
        <v/>
      </c>
      <c r="AB33" s="22">
        <f>SUM(K33,N33,Q33,T33,W33,Z33)</f>
        <v/>
      </c>
      <c r="AC33" s="23">
        <f>IF(AA33=0,"",AB33/AA33)</f>
        <v/>
      </c>
      <c r="AD33" s="22">
        <f>CRITERIOS!Q21</f>
        <v/>
      </c>
      <c r="AE33" s="22">
        <f>IF(AND(E33=1,H33&lt;&gt;"X",((I33="N/A")+(L33="N/A")+(O33="N/A")+(R33="N/A")+(U33="N/A")+(X33="N/A"))&gt;0),"REVISAR","")</f>
        <v/>
      </c>
    </row>
    <row r="34">
      <c r="A34" s="22">
        <f>CRITERIOS!B22</f>
        <v/>
      </c>
      <c r="B34" s="22">
        <f>CRITERIOS!C22</f>
        <v/>
      </c>
      <c r="C34" s="8">
        <f>CRITERIOS!D22</f>
        <v/>
      </c>
      <c r="D34" s="22">
        <f>CRITERIOS!E22</f>
        <v/>
      </c>
      <c r="E34" s="22">
        <f>IFERROR(IF(AND(OR(CRITERIOS!F22="Todos",CRITERIOS!F22=$B$4),INDEX(CRITERIOS!H22:J22,MATCH($B$5,VARIABLES!$E$2:$E$4,0))=1),1,0),0)</f>
        <v/>
      </c>
      <c r="F34" s="22">
        <f>IFERROR(IF(E34=1,INDEX(CRITERIOS!K22:M22,MATCH($B$5,VARIABLES!$E$2:$E$4,0)),0),0)</f>
        <v/>
      </c>
      <c r="G34" s="22">
        <f>IF(CRITERIOS!N22="","",CRITERIOS!N22)</f>
        <v/>
      </c>
      <c r="H34" s="22">
        <f>IF(CRITERIOS!O22="","",CRITERIOS!O22)</f>
        <v/>
      </c>
      <c r="I34" s="21" t="n"/>
      <c r="J34" s="22">
        <f>IF(OR($E34=0,I$78=0),0,IF(AND(I34="N/A",$G34&lt;&gt;""),0,$F34+SUMPRODUCT(($G$14:$G$71=$A34)*($E$14:$E$71=1)*(I$14:I$71="N/A")*$F$14:$F$71)))</f>
        <v/>
      </c>
      <c r="K34" s="22">
        <f>IF(I34="SI",J34,0)</f>
        <v/>
      </c>
      <c r="L34" s="21" t="n"/>
      <c r="M34" s="22">
        <f>IF(OR($E34=0,L$78=0),0,IF(AND(L34="N/A",$G34&lt;&gt;""),0,$F34+SUMPRODUCT(($G$14:$G$71=$A34)*($E$14:$E$71=1)*(L$14:L$71="N/A")*$F$14:$F$71)))</f>
        <v/>
      </c>
      <c r="N34" s="22">
        <f>IF(L34="SI",M34,0)</f>
        <v/>
      </c>
      <c r="O34" s="21" t="n"/>
      <c r="P34" s="22">
        <f>IF(OR($E34=0,O$78=0),0,IF(AND(O34="N/A",$G34&lt;&gt;""),0,$F34+SUMPRODUCT(($G$14:$G$71=$A34)*($E$14:$E$71=1)*(O$14:O$71="N/A")*$F$14:$F$71)))</f>
        <v/>
      </c>
      <c r="Q34" s="22">
        <f>IF(O34="SI",P34,0)</f>
        <v/>
      </c>
      <c r="R34" s="21" t="n"/>
      <c r="S34" s="22">
        <f>IF(OR($E34=0,R$78=0),0,IF(AND(R34="N/A",$G34&lt;&gt;""),0,$F34+SUMPRODUCT(($G$14:$G$71=$A34)*($E$14:$E$71=1)*(R$14:R$71="N/A")*$F$14:$F$71)))</f>
        <v/>
      </c>
      <c r="T34" s="22">
        <f>IF(R34="SI",S34,0)</f>
        <v/>
      </c>
      <c r="U34" s="21" t="n"/>
      <c r="V34" s="22">
        <f>IF(OR($E34=0,U$78=0),0,IF(AND(U34="N/A",$G34&lt;&gt;""),0,$F34+SUMPRODUCT(($G$14:$G$71=$A34)*($E$14:$E$71=1)*(U$14:U$71="N/A")*$F$14:$F$71)))</f>
        <v/>
      </c>
      <c r="W34" s="22">
        <f>IF(U34="SI",V34,0)</f>
        <v/>
      </c>
      <c r="X34" s="21" t="n"/>
      <c r="Y34" s="22">
        <f>IF(OR($E34=0,X$78=0),0,IF(AND(X34="N/A",$G34&lt;&gt;""),0,$F34+SUMPRODUCT(($G$14:$G$71=$A34)*($E$14:$E$71=1)*(X$14:X$71="N/A")*$F$14:$F$71)))</f>
        <v/>
      </c>
      <c r="Z34" s="22">
        <f>IF(X34="SI",Y34,0)</f>
        <v/>
      </c>
      <c r="AA34" s="22">
        <f>SUM(J34,M34,P34,S34,V34,Y34)</f>
        <v/>
      </c>
      <c r="AB34" s="22">
        <f>SUM(K34,N34,Q34,T34,W34,Z34)</f>
        <v/>
      </c>
      <c r="AC34" s="23">
        <f>IF(AA34=0,"",AB34/AA34)</f>
        <v/>
      </c>
      <c r="AD34" s="22">
        <f>CRITERIOS!Q22</f>
        <v/>
      </c>
      <c r="AE34" s="22">
        <f>IF(AND(E34=1,H34&lt;&gt;"X",((I34="N/A")+(L34="N/A")+(O34="N/A")+(R34="N/A")+(U34="N/A")+(X34="N/A"))&gt;0),"REVISAR","")</f>
        <v/>
      </c>
    </row>
    <row r="35">
      <c r="A35" s="22">
        <f>CRITERIOS!B23</f>
        <v/>
      </c>
      <c r="B35" s="22">
        <f>CRITERIOS!C23</f>
        <v/>
      </c>
      <c r="C35" s="8">
        <f>CRITERIOS!D23</f>
        <v/>
      </c>
      <c r="D35" s="22">
        <f>CRITERIOS!E23</f>
        <v/>
      </c>
      <c r="E35" s="22">
        <f>IFERROR(IF(AND(OR(CRITERIOS!F23="Todos",CRITERIOS!F23=$B$4),INDEX(CRITERIOS!H23:J23,MATCH($B$5,VARIABLES!$E$2:$E$4,0))=1),1,0),0)</f>
        <v/>
      </c>
      <c r="F35" s="22">
        <f>IFERROR(IF(E35=1,INDEX(CRITERIOS!K23:M23,MATCH($B$5,VARIABLES!$E$2:$E$4,0)),0),0)</f>
        <v/>
      </c>
      <c r="G35" s="22">
        <f>IF(CRITERIOS!N23="","",CRITERIOS!N23)</f>
        <v/>
      </c>
      <c r="H35" s="22">
        <f>IF(CRITERIOS!O23="","",CRITERIOS!O23)</f>
        <v/>
      </c>
      <c r="I35" s="21" t="n"/>
      <c r="J35" s="22">
        <f>IF(OR($E35=0,I$78=0),0,IF(AND(I35="N/A",$G35&lt;&gt;""),0,$F35+SUMPRODUCT(($G$14:$G$71=$A35)*($E$14:$E$71=1)*(I$14:I$71="N/A")*$F$14:$F$71)))</f>
        <v/>
      </c>
      <c r="K35" s="22">
        <f>IF(I35="SI",J35,0)</f>
        <v/>
      </c>
      <c r="L35" s="21" t="n"/>
      <c r="M35" s="22">
        <f>IF(OR($E35=0,L$78=0),0,IF(AND(L35="N/A",$G35&lt;&gt;""),0,$F35+SUMPRODUCT(($G$14:$G$71=$A35)*($E$14:$E$71=1)*(L$14:L$71="N/A")*$F$14:$F$71)))</f>
        <v/>
      </c>
      <c r="N35" s="22">
        <f>IF(L35="SI",M35,0)</f>
        <v/>
      </c>
      <c r="O35" s="21" t="n"/>
      <c r="P35" s="22">
        <f>IF(OR($E35=0,O$78=0),0,IF(AND(O35="N/A",$G35&lt;&gt;""),0,$F35+SUMPRODUCT(($G$14:$G$71=$A35)*($E$14:$E$71=1)*(O$14:O$71="N/A")*$F$14:$F$71)))</f>
        <v/>
      </c>
      <c r="Q35" s="22">
        <f>IF(O35="SI",P35,0)</f>
        <v/>
      </c>
      <c r="R35" s="21" t="n"/>
      <c r="S35" s="22">
        <f>IF(OR($E35=0,R$78=0),0,IF(AND(R35="N/A",$G35&lt;&gt;""),0,$F35+SUMPRODUCT(($G$14:$G$71=$A35)*($E$14:$E$71=1)*(R$14:R$71="N/A")*$F$14:$F$71)))</f>
        <v/>
      </c>
      <c r="T35" s="22">
        <f>IF(R35="SI",S35,0)</f>
        <v/>
      </c>
      <c r="U35" s="21" t="n"/>
      <c r="V35" s="22">
        <f>IF(OR($E35=0,U$78=0),0,IF(AND(U35="N/A",$G35&lt;&gt;""),0,$F35+SUMPRODUCT(($G$14:$G$71=$A35)*($E$14:$E$71=1)*(U$14:U$71="N/A")*$F$14:$F$71)))</f>
        <v/>
      </c>
      <c r="W35" s="22">
        <f>IF(U35="SI",V35,0)</f>
        <v/>
      </c>
      <c r="X35" s="21" t="n"/>
      <c r="Y35" s="22">
        <f>IF(OR($E35=0,X$78=0),0,IF(AND(X35="N/A",$G35&lt;&gt;""),0,$F35+SUMPRODUCT(($G$14:$G$71=$A35)*($E$14:$E$71=1)*(X$14:X$71="N/A")*$F$14:$F$71)))</f>
        <v/>
      </c>
      <c r="Z35" s="22">
        <f>IF(X35="SI",Y35,0)</f>
        <v/>
      </c>
      <c r="AA35" s="22">
        <f>SUM(J35,M35,P35,S35,V35,Y35)</f>
        <v/>
      </c>
      <c r="AB35" s="22">
        <f>SUM(K35,N35,Q35,T35,W35,Z35)</f>
        <v/>
      </c>
      <c r="AC35" s="23">
        <f>IF(AA35=0,"",AB35/AA35)</f>
        <v/>
      </c>
      <c r="AD35" s="22">
        <f>CRITERIOS!Q23</f>
        <v/>
      </c>
      <c r="AE35" s="22">
        <f>IF(AND(E35=1,H35&lt;&gt;"X",((I35="N/A")+(L35="N/A")+(O35="N/A")+(R35="N/A")+(U35="N/A")+(X35="N/A"))&gt;0),"REVISAR","")</f>
        <v/>
      </c>
    </row>
    <row r="36">
      <c r="A36" s="22">
        <f>CRITERIOS!B24</f>
        <v/>
      </c>
      <c r="B36" s="22">
        <f>CRITERIOS!C24</f>
        <v/>
      </c>
      <c r="C36" s="8">
        <f>CRITERIOS!D24</f>
        <v/>
      </c>
      <c r="D36" s="22">
        <f>CRITERIOS!E24</f>
        <v/>
      </c>
      <c r="E36" s="22">
        <f>IFERROR(IF(AND(OR(CRITERIOS!F24="Todos",CRITERIOS!F24=$B$4),INDEX(CRITERIOS!H24:J24,MATCH($B$5,VARIABLES!$E$2:$E$4,0))=1),1,0),0)</f>
        <v/>
      </c>
      <c r="F36" s="22">
        <f>IFERROR(IF(E36=1,INDEX(CRITERIOS!K24:M24,MATCH($B$5,VARIABLES!$E$2:$E$4,0)),0),0)</f>
        <v/>
      </c>
      <c r="G36" s="22">
        <f>IF(CRITERIOS!N24="","",CRITERIOS!N24)</f>
        <v/>
      </c>
      <c r="H36" s="22">
        <f>IF(CRITERIOS!O24="","",CRITERIOS!O24)</f>
        <v/>
      </c>
      <c r="I36" s="21" t="n"/>
      <c r="J36" s="22">
        <f>IF(OR($E36=0,I$78=0),0,IF(AND(I36="N/A",$G36&lt;&gt;""),0,$F36+SUMPRODUCT(($G$14:$G$71=$A36)*($E$14:$E$71=1)*(I$14:I$71="N/A")*$F$14:$F$71)))</f>
        <v/>
      </c>
      <c r="K36" s="22">
        <f>IF(I36="SI",J36,0)</f>
        <v/>
      </c>
      <c r="L36" s="21" t="n"/>
      <c r="M36" s="22">
        <f>IF(OR($E36=0,L$78=0),0,IF(AND(L36="N/A",$G36&lt;&gt;""),0,$F36+SUMPRODUCT(($G$14:$G$71=$A36)*($E$14:$E$71=1)*(L$14:L$71="N/A")*$F$14:$F$71)))</f>
        <v/>
      </c>
      <c r="N36" s="22">
        <f>IF(L36="SI",M36,0)</f>
        <v/>
      </c>
      <c r="O36" s="21" t="n"/>
      <c r="P36" s="22">
        <f>IF(OR($E36=0,O$78=0),0,IF(AND(O36="N/A",$G36&lt;&gt;""),0,$F36+SUMPRODUCT(($G$14:$G$71=$A36)*($E$14:$E$71=1)*(O$14:O$71="N/A")*$F$14:$F$71)))</f>
        <v/>
      </c>
      <c r="Q36" s="22">
        <f>IF(O36="SI",P36,0)</f>
        <v/>
      </c>
      <c r="R36" s="21" t="n"/>
      <c r="S36" s="22">
        <f>IF(OR($E36=0,R$78=0),0,IF(AND(R36="N/A",$G36&lt;&gt;""),0,$F36+SUMPRODUCT(($G$14:$G$71=$A36)*($E$14:$E$71=1)*(R$14:R$71="N/A")*$F$14:$F$71)))</f>
        <v/>
      </c>
      <c r="T36" s="22">
        <f>IF(R36="SI",S36,0)</f>
        <v/>
      </c>
      <c r="U36" s="21" t="n"/>
      <c r="V36" s="22">
        <f>IF(OR($E36=0,U$78=0),0,IF(AND(U36="N/A",$G36&lt;&gt;""),0,$F36+SUMPRODUCT(($G$14:$G$71=$A36)*($E$14:$E$71=1)*(U$14:U$71="N/A")*$F$14:$F$71)))</f>
        <v/>
      </c>
      <c r="W36" s="22">
        <f>IF(U36="SI",V36,0)</f>
        <v/>
      </c>
      <c r="X36" s="21" t="n"/>
      <c r="Y36" s="22">
        <f>IF(OR($E36=0,X$78=0),0,IF(AND(X36="N/A",$G36&lt;&gt;""),0,$F36+SUMPRODUCT(($G$14:$G$71=$A36)*($E$14:$E$71=1)*(X$14:X$71="N/A")*$F$14:$F$71)))</f>
        <v/>
      </c>
      <c r="Z36" s="22">
        <f>IF(X36="SI",Y36,0)</f>
        <v/>
      </c>
      <c r="AA36" s="22">
        <f>SUM(J36,M36,P36,S36,V36,Y36)</f>
        <v/>
      </c>
      <c r="AB36" s="22">
        <f>SUM(K36,N36,Q36,T36,W36,Z36)</f>
        <v/>
      </c>
      <c r="AC36" s="23">
        <f>IF(AA36=0,"",AB36/AA36)</f>
        <v/>
      </c>
      <c r="AD36" s="22">
        <f>CRITERIOS!Q24</f>
        <v/>
      </c>
      <c r="AE36" s="22">
        <f>IF(AND(E36=1,H36&lt;&gt;"X",((I36="N/A")+(L36="N/A")+(O36="N/A")+(R36="N/A")+(U36="N/A")+(X36="N/A"))&gt;0),"REVISAR","")</f>
        <v/>
      </c>
    </row>
    <row r="37">
      <c r="A37" s="22">
        <f>CRITERIOS!B25</f>
        <v/>
      </c>
      <c r="B37" s="22">
        <f>CRITERIOS!C25</f>
        <v/>
      </c>
      <c r="C37" s="8">
        <f>CRITERIOS!D25</f>
        <v/>
      </c>
      <c r="D37" s="22">
        <f>CRITERIOS!E25</f>
        <v/>
      </c>
      <c r="E37" s="22">
        <f>IFERROR(IF(AND(OR(CRITERIOS!F25="Todos",CRITERIOS!F25=$B$4),INDEX(CRITERIOS!H25:J25,MATCH($B$5,VARIABLES!$E$2:$E$4,0))=1),1,0),0)</f>
        <v/>
      </c>
      <c r="F37" s="22">
        <f>IFERROR(IF(E37=1,INDEX(CRITERIOS!K25:M25,MATCH($B$5,VARIABLES!$E$2:$E$4,0)),0),0)</f>
        <v/>
      </c>
      <c r="G37" s="22">
        <f>IF(CRITERIOS!N25="","",CRITERIOS!N25)</f>
        <v/>
      </c>
      <c r="H37" s="22">
        <f>IF(CRITERIOS!O25="","",CRITERIOS!O25)</f>
        <v/>
      </c>
      <c r="I37" s="21" t="n"/>
      <c r="J37" s="22">
        <f>IF(OR($E37=0,I$78=0),0,IF(AND(I37="N/A",$G37&lt;&gt;""),0,$F37+SUMPRODUCT(($G$14:$G$71=$A37)*($E$14:$E$71=1)*(I$14:I$71="N/A")*$F$14:$F$71)))</f>
        <v/>
      </c>
      <c r="K37" s="22">
        <f>IF(I37="SI",J37,0)</f>
        <v/>
      </c>
      <c r="L37" s="21" t="n"/>
      <c r="M37" s="22">
        <f>IF(OR($E37=0,L$78=0),0,IF(AND(L37="N/A",$G37&lt;&gt;""),0,$F37+SUMPRODUCT(($G$14:$G$71=$A37)*($E$14:$E$71=1)*(L$14:L$71="N/A")*$F$14:$F$71)))</f>
        <v/>
      </c>
      <c r="N37" s="22">
        <f>IF(L37="SI",M37,0)</f>
        <v/>
      </c>
      <c r="O37" s="21" t="n"/>
      <c r="P37" s="22">
        <f>IF(OR($E37=0,O$78=0),0,IF(AND(O37="N/A",$G37&lt;&gt;""),0,$F37+SUMPRODUCT(($G$14:$G$71=$A37)*($E$14:$E$71=1)*(O$14:O$71="N/A")*$F$14:$F$71)))</f>
        <v/>
      </c>
      <c r="Q37" s="22">
        <f>IF(O37="SI",P37,0)</f>
        <v/>
      </c>
      <c r="R37" s="21" t="n"/>
      <c r="S37" s="22">
        <f>IF(OR($E37=0,R$78=0),0,IF(AND(R37="N/A",$G37&lt;&gt;""),0,$F37+SUMPRODUCT(($G$14:$G$71=$A37)*($E$14:$E$71=1)*(R$14:R$71="N/A")*$F$14:$F$71)))</f>
        <v/>
      </c>
      <c r="T37" s="22">
        <f>IF(R37="SI",S37,0)</f>
        <v/>
      </c>
      <c r="U37" s="21" t="n"/>
      <c r="V37" s="22">
        <f>IF(OR($E37=0,U$78=0),0,IF(AND(U37="N/A",$G37&lt;&gt;""),0,$F37+SUMPRODUCT(($G$14:$G$71=$A37)*($E$14:$E$71=1)*(U$14:U$71="N/A")*$F$14:$F$71)))</f>
        <v/>
      </c>
      <c r="W37" s="22">
        <f>IF(U37="SI",V37,0)</f>
        <v/>
      </c>
      <c r="X37" s="21" t="n"/>
      <c r="Y37" s="22">
        <f>IF(OR($E37=0,X$78=0),0,IF(AND(X37="N/A",$G37&lt;&gt;""),0,$F37+SUMPRODUCT(($G$14:$G$71=$A37)*($E$14:$E$71=1)*(X$14:X$71="N/A")*$F$14:$F$71)))</f>
        <v/>
      </c>
      <c r="Z37" s="22">
        <f>IF(X37="SI",Y37,0)</f>
        <v/>
      </c>
      <c r="AA37" s="22">
        <f>SUM(J37,M37,P37,S37,V37,Y37)</f>
        <v/>
      </c>
      <c r="AB37" s="22">
        <f>SUM(K37,N37,Q37,T37,W37,Z37)</f>
        <v/>
      </c>
      <c r="AC37" s="23">
        <f>IF(AA37=0,"",AB37/AA37)</f>
        <v/>
      </c>
      <c r="AD37" s="22">
        <f>CRITERIOS!Q25</f>
        <v/>
      </c>
      <c r="AE37" s="22">
        <f>IF(AND(E37=1,H37&lt;&gt;"X",((I37="N/A")+(L37="N/A")+(O37="N/A")+(R37="N/A")+(U37="N/A")+(X37="N/A"))&gt;0),"REVISAR","")</f>
        <v/>
      </c>
    </row>
    <row r="38">
      <c r="A38" s="22">
        <f>CRITERIOS!B26</f>
        <v/>
      </c>
      <c r="B38" s="22">
        <f>CRITERIOS!C26</f>
        <v/>
      </c>
      <c r="C38" s="8">
        <f>CRITERIOS!D26</f>
        <v/>
      </c>
      <c r="D38" s="22">
        <f>CRITERIOS!E26</f>
        <v/>
      </c>
      <c r="E38" s="22">
        <f>IFERROR(IF(AND(OR(CRITERIOS!F26="Todos",CRITERIOS!F26=$B$4),INDEX(CRITERIOS!H26:J26,MATCH($B$5,VARIABLES!$E$2:$E$4,0))=1),1,0),0)</f>
        <v/>
      </c>
      <c r="F38" s="22">
        <f>IFERROR(IF(E38=1,INDEX(CRITERIOS!K26:M26,MATCH($B$5,VARIABLES!$E$2:$E$4,0)),0),0)</f>
        <v/>
      </c>
      <c r="G38" s="22">
        <f>IF(CRITERIOS!N26="","",CRITERIOS!N26)</f>
        <v/>
      </c>
      <c r="H38" s="22">
        <f>IF(CRITERIOS!O26="","",CRITERIOS!O26)</f>
        <v/>
      </c>
      <c r="I38" s="21" t="n"/>
      <c r="J38" s="22">
        <f>IF(OR($E38=0,I$78=0),0,IF(AND(I38="N/A",$G38&lt;&gt;""),0,$F38+SUMPRODUCT(($G$14:$G$71=$A38)*($E$14:$E$71=1)*(I$14:I$71="N/A")*$F$14:$F$71)))</f>
        <v/>
      </c>
      <c r="K38" s="22">
        <f>IF(I38="SI",J38,0)</f>
        <v/>
      </c>
      <c r="L38" s="21" t="n"/>
      <c r="M38" s="22">
        <f>IF(OR($E38=0,L$78=0),0,IF(AND(L38="N/A",$G38&lt;&gt;""),0,$F38+SUMPRODUCT(($G$14:$G$71=$A38)*($E$14:$E$71=1)*(L$14:L$71="N/A")*$F$14:$F$71)))</f>
        <v/>
      </c>
      <c r="N38" s="22">
        <f>IF(L38="SI",M38,0)</f>
        <v/>
      </c>
      <c r="O38" s="21" t="n"/>
      <c r="P38" s="22">
        <f>IF(OR($E38=0,O$78=0),0,IF(AND(O38="N/A",$G38&lt;&gt;""),0,$F38+SUMPRODUCT(($G$14:$G$71=$A38)*($E$14:$E$71=1)*(O$14:O$71="N/A")*$F$14:$F$71)))</f>
        <v/>
      </c>
      <c r="Q38" s="22">
        <f>IF(O38="SI",P38,0)</f>
        <v/>
      </c>
      <c r="R38" s="21" t="n"/>
      <c r="S38" s="22">
        <f>IF(OR($E38=0,R$78=0),0,IF(AND(R38="N/A",$G38&lt;&gt;""),0,$F38+SUMPRODUCT(($G$14:$G$71=$A38)*($E$14:$E$71=1)*(R$14:R$71="N/A")*$F$14:$F$71)))</f>
        <v/>
      </c>
      <c r="T38" s="22">
        <f>IF(R38="SI",S38,0)</f>
        <v/>
      </c>
      <c r="U38" s="21" t="n"/>
      <c r="V38" s="22">
        <f>IF(OR($E38=0,U$78=0),0,IF(AND(U38="N/A",$G38&lt;&gt;""),0,$F38+SUMPRODUCT(($G$14:$G$71=$A38)*($E$14:$E$71=1)*(U$14:U$71="N/A")*$F$14:$F$71)))</f>
        <v/>
      </c>
      <c r="W38" s="22">
        <f>IF(U38="SI",V38,0)</f>
        <v/>
      </c>
      <c r="X38" s="21" t="n"/>
      <c r="Y38" s="22">
        <f>IF(OR($E38=0,X$78=0),0,IF(AND(X38="N/A",$G38&lt;&gt;""),0,$F38+SUMPRODUCT(($G$14:$G$71=$A38)*($E$14:$E$71=1)*(X$14:X$71="N/A")*$F$14:$F$71)))</f>
        <v/>
      </c>
      <c r="Z38" s="22">
        <f>IF(X38="SI",Y38,0)</f>
        <v/>
      </c>
      <c r="AA38" s="22">
        <f>SUM(J38,M38,P38,S38,V38,Y38)</f>
        <v/>
      </c>
      <c r="AB38" s="22">
        <f>SUM(K38,N38,Q38,T38,W38,Z38)</f>
        <v/>
      </c>
      <c r="AC38" s="23">
        <f>IF(AA38=0,"",AB38/AA38)</f>
        <v/>
      </c>
      <c r="AD38" s="22">
        <f>CRITERIOS!Q26</f>
        <v/>
      </c>
      <c r="AE38" s="22">
        <f>IF(AND(E38=1,H38&lt;&gt;"X",((I38="N/A")+(L38="N/A")+(O38="N/A")+(R38="N/A")+(U38="N/A")+(X38="N/A"))&gt;0),"REVISAR","")</f>
        <v/>
      </c>
    </row>
    <row r="39">
      <c r="A39" s="22">
        <f>CRITERIOS!B27</f>
        <v/>
      </c>
      <c r="B39" s="22">
        <f>CRITERIOS!C27</f>
        <v/>
      </c>
      <c r="C39" s="8">
        <f>CRITERIOS!D27</f>
        <v/>
      </c>
      <c r="D39" s="22">
        <f>CRITERIOS!E27</f>
        <v/>
      </c>
      <c r="E39" s="22">
        <f>IFERROR(IF(AND(OR(CRITERIOS!F27="Todos",CRITERIOS!F27=$B$4),INDEX(CRITERIOS!H27:J27,MATCH($B$5,VARIABLES!$E$2:$E$4,0))=1),1,0),0)</f>
        <v/>
      </c>
      <c r="F39" s="22">
        <f>IFERROR(IF(E39=1,INDEX(CRITERIOS!K27:M27,MATCH($B$5,VARIABLES!$E$2:$E$4,0)),0),0)</f>
        <v/>
      </c>
      <c r="G39" s="22">
        <f>IF(CRITERIOS!N27="","",CRITERIOS!N27)</f>
        <v/>
      </c>
      <c r="H39" s="22">
        <f>IF(CRITERIOS!O27="","",CRITERIOS!O27)</f>
        <v/>
      </c>
      <c r="I39" s="21" t="n"/>
      <c r="J39" s="22">
        <f>IF(OR($E39=0,I$78=0),0,IF(AND(I39="N/A",$G39&lt;&gt;""),0,$F39+SUMPRODUCT(($G$14:$G$71=$A39)*($E$14:$E$71=1)*(I$14:I$71="N/A")*$F$14:$F$71)))</f>
        <v/>
      </c>
      <c r="K39" s="22">
        <f>IF(I39="SI",J39,0)</f>
        <v/>
      </c>
      <c r="L39" s="21" t="n"/>
      <c r="M39" s="22">
        <f>IF(OR($E39=0,L$78=0),0,IF(AND(L39="N/A",$G39&lt;&gt;""),0,$F39+SUMPRODUCT(($G$14:$G$71=$A39)*($E$14:$E$71=1)*(L$14:L$71="N/A")*$F$14:$F$71)))</f>
        <v/>
      </c>
      <c r="N39" s="22">
        <f>IF(L39="SI",M39,0)</f>
        <v/>
      </c>
      <c r="O39" s="21" t="n"/>
      <c r="P39" s="22">
        <f>IF(OR($E39=0,O$78=0),0,IF(AND(O39="N/A",$G39&lt;&gt;""),0,$F39+SUMPRODUCT(($G$14:$G$71=$A39)*($E$14:$E$71=1)*(O$14:O$71="N/A")*$F$14:$F$71)))</f>
        <v/>
      </c>
      <c r="Q39" s="22">
        <f>IF(O39="SI",P39,0)</f>
        <v/>
      </c>
      <c r="R39" s="21" t="n"/>
      <c r="S39" s="22">
        <f>IF(OR($E39=0,R$78=0),0,IF(AND(R39="N/A",$G39&lt;&gt;""),0,$F39+SUMPRODUCT(($G$14:$G$71=$A39)*($E$14:$E$71=1)*(R$14:R$71="N/A")*$F$14:$F$71)))</f>
        <v/>
      </c>
      <c r="T39" s="22">
        <f>IF(R39="SI",S39,0)</f>
        <v/>
      </c>
      <c r="U39" s="21" t="n"/>
      <c r="V39" s="22">
        <f>IF(OR($E39=0,U$78=0),0,IF(AND(U39="N/A",$G39&lt;&gt;""),0,$F39+SUMPRODUCT(($G$14:$G$71=$A39)*($E$14:$E$71=1)*(U$14:U$71="N/A")*$F$14:$F$71)))</f>
        <v/>
      </c>
      <c r="W39" s="22">
        <f>IF(U39="SI",V39,0)</f>
        <v/>
      </c>
      <c r="X39" s="21" t="n"/>
      <c r="Y39" s="22">
        <f>IF(OR($E39=0,X$78=0),0,IF(AND(X39="N/A",$G39&lt;&gt;""),0,$F39+SUMPRODUCT(($G$14:$G$71=$A39)*($E$14:$E$71=1)*(X$14:X$71="N/A")*$F$14:$F$71)))</f>
        <v/>
      </c>
      <c r="Z39" s="22">
        <f>IF(X39="SI",Y39,0)</f>
        <v/>
      </c>
      <c r="AA39" s="22">
        <f>SUM(J39,M39,P39,S39,V39,Y39)</f>
        <v/>
      </c>
      <c r="AB39" s="22">
        <f>SUM(K39,N39,Q39,T39,W39,Z39)</f>
        <v/>
      </c>
      <c r="AC39" s="23">
        <f>IF(AA39=0,"",AB39/AA39)</f>
        <v/>
      </c>
      <c r="AD39" s="22">
        <f>CRITERIOS!Q27</f>
        <v/>
      </c>
      <c r="AE39" s="22">
        <f>IF(AND(E39=1,H39&lt;&gt;"X",((I39="N/A")+(L39="N/A")+(O39="N/A")+(R39="N/A")+(U39="N/A")+(X39="N/A"))&gt;0),"REVISAR","")</f>
        <v/>
      </c>
    </row>
    <row r="40">
      <c r="A40" s="22">
        <f>CRITERIOS!B28</f>
        <v/>
      </c>
      <c r="B40" s="22">
        <f>CRITERIOS!C28</f>
        <v/>
      </c>
      <c r="C40" s="8">
        <f>CRITERIOS!D28</f>
        <v/>
      </c>
      <c r="D40" s="22">
        <f>CRITERIOS!E28</f>
        <v/>
      </c>
      <c r="E40" s="22">
        <f>IFERROR(IF(AND(OR(CRITERIOS!F28="Todos",CRITERIOS!F28=$B$4),INDEX(CRITERIOS!H28:J28,MATCH($B$5,VARIABLES!$E$2:$E$4,0))=1),1,0),0)</f>
        <v/>
      </c>
      <c r="F40" s="22">
        <f>IFERROR(IF(E40=1,INDEX(CRITERIOS!K28:M28,MATCH($B$5,VARIABLES!$E$2:$E$4,0)),0),0)</f>
        <v/>
      </c>
      <c r="G40" s="22">
        <f>IF(CRITERIOS!N28="","",CRITERIOS!N28)</f>
        <v/>
      </c>
      <c r="H40" s="22">
        <f>IF(CRITERIOS!O28="","",CRITERIOS!O28)</f>
        <v/>
      </c>
      <c r="I40" s="21" t="n"/>
      <c r="J40" s="22">
        <f>IF(OR($E40=0,I$78=0),0,IF(AND(I40="N/A",$G40&lt;&gt;""),0,$F40+SUMPRODUCT(($G$14:$G$71=$A40)*($E$14:$E$71=1)*(I$14:I$71="N/A")*$F$14:$F$71)))</f>
        <v/>
      </c>
      <c r="K40" s="22">
        <f>IF(I40="SI",J40,0)</f>
        <v/>
      </c>
      <c r="L40" s="21" t="n"/>
      <c r="M40" s="22">
        <f>IF(OR($E40=0,L$78=0),0,IF(AND(L40="N/A",$G40&lt;&gt;""),0,$F40+SUMPRODUCT(($G$14:$G$71=$A40)*($E$14:$E$71=1)*(L$14:L$71="N/A")*$F$14:$F$71)))</f>
        <v/>
      </c>
      <c r="N40" s="22">
        <f>IF(L40="SI",M40,0)</f>
        <v/>
      </c>
      <c r="O40" s="21" t="n"/>
      <c r="P40" s="22">
        <f>IF(OR($E40=0,O$78=0),0,IF(AND(O40="N/A",$G40&lt;&gt;""),0,$F40+SUMPRODUCT(($G$14:$G$71=$A40)*($E$14:$E$71=1)*(O$14:O$71="N/A")*$F$14:$F$71)))</f>
        <v/>
      </c>
      <c r="Q40" s="22">
        <f>IF(O40="SI",P40,0)</f>
        <v/>
      </c>
      <c r="R40" s="21" t="n"/>
      <c r="S40" s="22">
        <f>IF(OR($E40=0,R$78=0),0,IF(AND(R40="N/A",$G40&lt;&gt;""),0,$F40+SUMPRODUCT(($G$14:$G$71=$A40)*($E$14:$E$71=1)*(R$14:R$71="N/A")*$F$14:$F$71)))</f>
        <v/>
      </c>
      <c r="T40" s="22">
        <f>IF(R40="SI",S40,0)</f>
        <v/>
      </c>
      <c r="U40" s="21" t="n"/>
      <c r="V40" s="22">
        <f>IF(OR($E40=0,U$78=0),0,IF(AND(U40="N/A",$G40&lt;&gt;""),0,$F40+SUMPRODUCT(($G$14:$G$71=$A40)*($E$14:$E$71=1)*(U$14:U$71="N/A")*$F$14:$F$71)))</f>
        <v/>
      </c>
      <c r="W40" s="22">
        <f>IF(U40="SI",V40,0)</f>
        <v/>
      </c>
      <c r="X40" s="21" t="n"/>
      <c r="Y40" s="22">
        <f>IF(OR($E40=0,X$78=0),0,IF(AND(X40="N/A",$G40&lt;&gt;""),0,$F40+SUMPRODUCT(($G$14:$G$71=$A40)*($E$14:$E$71=1)*(X$14:X$71="N/A")*$F$14:$F$71)))</f>
        <v/>
      </c>
      <c r="Z40" s="22">
        <f>IF(X40="SI",Y40,0)</f>
        <v/>
      </c>
      <c r="AA40" s="22">
        <f>SUM(J40,M40,P40,S40,V40,Y40)</f>
        <v/>
      </c>
      <c r="AB40" s="22">
        <f>SUM(K40,N40,Q40,T40,W40,Z40)</f>
        <v/>
      </c>
      <c r="AC40" s="23">
        <f>IF(AA40=0,"",AB40/AA40)</f>
        <v/>
      </c>
      <c r="AD40" s="22">
        <f>CRITERIOS!Q28</f>
        <v/>
      </c>
      <c r="AE40" s="22">
        <f>IF(AND(E40=1,H40&lt;&gt;"X",((I40="N/A")+(L40="N/A")+(O40="N/A")+(R40="N/A")+(U40="N/A")+(X40="N/A"))&gt;0),"REVISAR","")</f>
        <v/>
      </c>
    </row>
    <row r="41">
      <c r="A41" s="22">
        <f>CRITERIOS!B29</f>
        <v/>
      </c>
      <c r="B41" s="22">
        <f>CRITERIOS!C29</f>
        <v/>
      </c>
      <c r="C41" s="8">
        <f>CRITERIOS!D29</f>
        <v/>
      </c>
      <c r="D41" s="22">
        <f>CRITERIOS!E29</f>
        <v/>
      </c>
      <c r="E41" s="22">
        <f>IFERROR(IF(AND(OR(CRITERIOS!F29="Todos",CRITERIOS!F29=$B$4),INDEX(CRITERIOS!H29:J29,MATCH($B$5,VARIABLES!$E$2:$E$4,0))=1),1,0),0)</f>
        <v/>
      </c>
      <c r="F41" s="22">
        <f>IFERROR(IF(E41=1,INDEX(CRITERIOS!K29:M29,MATCH($B$5,VARIABLES!$E$2:$E$4,0)),0),0)</f>
        <v/>
      </c>
      <c r="G41" s="22">
        <f>IF(CRITERIOS!N29="","",CRITERIOS!N29)</f>
        <v/>
      </c>
      <c r="H41" s="22">
        <f>IF(CRITERIOS!O29="","",CRITERIOS!O29)</f>
        <v/>
      </c>
      <c r="I41" s="21" t="n"/>
      <c r="J41" s="22">
        <f>IF(OR($E41=0,I$78=0),0,IF(AND(I41="N/A",$G41&lt;&gt;""),0,$F41+SUMPRODUCT(($G$14:$G$71=$A41)*($E$14:$E$71=1)*(I$14:I$71="N/A")*$F$14:$F$71)))</f>
        <v/>
      </c>
      <c r="K41" s="22">
        <f>IF(I41="SI",J41,0)</f>
        <v/>
      </c>
      <c r="L41" s="21" t="n"/>
      <c r="M41" s="22">
        <f>IF(OR($E41=0,L$78=0),0,IF(AND(L41="N/A",$G41&lt;&gt;""),0,$F41+SUMPRODUCT(($G$14:$G$71=$A41)*($E$14:$E$71=1)*(L$14:L$71="N/A")*$F$14:$F$71)))</f>
        <v/>
      </c>
      <c r="N41" s="22">
        <f>IF(L41="SI",M41,0)</f>
        <v/>
      </c>
      <c r="O41" s="21" t="n"/>
      <c r="P41" s="22">
        <f>IF(OR($E41=0,O$78=0),0,IF(AND(O41="N/A",$G41&lt;&gt;""),0,$F41+SUMPRODUCT(($G$14:$G$71=$A41)*($E$14:$E$71=1)*(O$14:O$71="N/A")*$F$14:$F$71)))</f>
        <v/>
      </c>
      <c r="Q41" s="22">
        <f>IF(O41="SI",P41,0)</f>
        <v/>
      </c>
      <c r="R41" s="21" t="n"/>
      <c r="S41" s="22">
        <f>IF(OR($E41=0,R$78=0),0,IF(AND(R41="N/A",$G41&lt;&gt;""),0,$F41+SUMPRODUCT(($G$14:$G$71=$A41)*($E$14:$E$71=1)*(R$14:R$71="N/A")*$F$14:$F$71)))</f>
        <v/>
      </c>
      <c r="T41" s="22">
        <f>IF(R41="SI",S41,0)</f>
        <v/>
      </c>
      <c r="U41" s="21" t="n"/>
      <c r="V41" s="22">
        <f>IF(OR($E41=0,U$78=0),0,IF(AND(U41="N/A",$G41&lt;&gt;""),0,$F41+SUMPRODUCT(($G$14:$G$71=$A41)*($E$14:$E$71=1)*(U$14:U$71="N/A")*$F$14:$F$71)))</f>
        <v/>
      </c>
      <c r="W41" s="22">
        <f>IF(U41="SI",V41,0)</f>
        <v/>
      </c>
      <c r="X41" s="21" t="n"/>
      <c r="Y41" s="22">
        <f>IF(OR($E41=0,X$78=0),0,IF(AND(X41="N/A",$G41&lt;&gt;""),0,$F41+SUMPRODUCT(($G$14:$G$71=$A41)*($E$14:$E$71=1)*(X$14:X$71="N/A")*$F$14:$F$71)))</f>
        <v/>
      </c>
      <c r="Z41" s="22">
        <f>IF(X41="SI",Y41,0)</f>
        <v/>
      </c>
      <c r="AA41" s="22">
        <f>SUM(J41,M41,P41,S41,V41,Y41)</f>
        <v/>
      </c>
      <c r="AB41" s="22">
        <f>SUM(K41,N41,Q41,T41,W41,Z41)</f>
        <v/>
      </c>
      <c r="AC41" s="23">
        <f>IF(AA41=0,"",AB41/AA41)</f>
        <v/>
      </c>
      <c r="AD41" s="22">
        <f>CRITERIOS!Q29</f>
        <v/>
      </c>
      <c r="AE41" s="22">
        <f>IF(AND(E41=1,H41&lt;&gt;"X",((I41="N/A")+(L41="N/A")+(O41="N/A")+(R41="N/A")+(U41="N/A")+(X41="N/A"))&gt;0),"REVISAR","")</f>
        <v/>
      </c>
    </row>
    <row r="42">
      <c r="A42" s="24">
        <f>CRITERIOS!B30</f>
        <v/>
      </c>
      <c r="B42" s="24">
        <f>CRITERIOS!C30</f>
        <v/>
      </c>
      <c r="C42" s="25">
        <f>CRITERIOS!D30</f>
        <v/>
      </c>
      <c r="D42" s="24">
        <f>CRITERIOS!E30</f>
        <v/>
      </c>
      <c r="E42" s="24">
        <f>IFERROR(IF(AND(OR(CRITERIOS!F30="Todos",CRITERIOS!F30=$B$4),INDEX(CRITERIOS!H30:J30,MATCH($B$5,VARIABLES!$E$2:$E$4,0))=1),1,0),0)</f>
        <v/>
      </c>
      <c r="F42" s="24">
        <f>IFERROR(IF(E42=1,INDEX(CRITERIOS!K30:M30,MATCH($B$5,VARIABLES!$E$2:$E$4,0)),0),0)</f>
        <v/>
      </c>
      <c r="G42" s="24">
        <f>IF(CRITERIOS!N30="","",CRITERIOS!N30)</f>
        <v/>
      </c>
      <c r="H42" s="24">
        <f>IF(CRITERIOS!O30="","",CRITERIOS!O30)</f>
        <v/>
      </c>
      <c r="I42" s="21" t="n"/>
      <c r="J42" s="22">
        <f>IF(OR($E42=0,I$78=0),0,IF(AND(I42="N/A",$G42&lt;&gt;""),0,$F42+SUMPRODUCT(($G$14:$G$71=$A42)*($E$14:$E$71=1)*(I$14:I$71="N/A")*$F$14:$F$71)))</f>
        <v/>
      </c>
      <c r="K42" s="22">
        <f>IF(I42="SI",J42,0)</f>
        <v/>
      </c>
      <c r="L42" s="21" t="n"/>
      <c r="M42" s="22">
        <f>IF(OR($E42=0,L$78=0),0,IF(AND(L42="N/A",$G42&lt;&gt;""),0,$F42+SUMPRODUCT(($G$14:$G$71=$A42)*($E$14:$E$71=1)*(L$14:L$71="N/A")*$F$14:$F$71)))</f>
        <v/>
      </c>
      <c r="N42" s="22">
        <f>IF(L42="SI",M42,0)</f>
        <v/>
      </c>
      <c r="O42" s="21" t="n"/>
      <c r="P42" s="22">
        <f>IF(OR($E42=0,O$78=0),0,IF(AND(O42="N/A",$G42&lt;&gt;""),0,$F42+SUMPRODUCT(($G$14:$G$71=$A42)*($E$14:$E$71=1)*(O$14:O$71="N/A")*$F$14:$F$71)))</f>
        <v/>
      </c>
      <c r="Q42" s="22">
        <f>IF(O42="SI",P42,0)</f>
        <v/>
      </c>
      <c r="R42" s="21" t="n"/>
      <c r="S42" s="22">
        <f>IF(OR($E42=0,R$78=0),0,IF(AND(R42="N/A",$G42&lt;&gt;""),0,$F42+SUMPRODUCT(($G$14:$G$71=$A42)*($E$14:$E$71=1)*(R$14:R$71="N/A")*$F$14:$F$71)))</f>
        <v/>
      </c>
      <c r="T42" s="22">
        <f>IF(R42="SI",S42,0)</f>
        <v/>
      </c>
      <c r="U42" s="21" t="n"/>
      <c r="V42" s="22">
        <f>IF(OR($E42=0,U$78=0),0,IF(AND(U42="N/A",$G42&lt;&gt;""),0,$F42+SUMPRODUCT(($G$14:$G$71=$A42)*($E$14:$E$71=1)*(U$14:U$71="N/A")*$F$14:$F$71)))</f>
        <v/>
      </c>
      <c r="W42" s="22">
        <f>IF(U42="SI",V42,0)</f>
        <v/>
      </c>
      <c r="X42" s="21" t="n"/>
      <c r="Y42" s="22">
        <f>IF(OR($E42=0,X$78=0),0,IF(AND(X42="N/A",$G42&lt;&gt;""),0,$F42+SUMPRODUCT(($G$14:$G$71=$A42)*($E$14:$E$71=1)*(X$14:X$71="N/A")*$F$14:$F$71)))</f>
        <v/>
      </c>
      <c r="Z42" s="22">
        <f>IF(X42="SI",Y42,0)</f>
        <v/>
      </c>
      <c r="AA42" s="22">
        <f>SUM(J42,M42,P42,S42,V42,Y42)</f>
        <v/>
      </c>
      <c r="AB42" s="22">
        <f>SUM(K42,N42,Q42,T42,W42,Z42)</f>
        <v/>
      </c>
      <c r="AC42" s="23">
        <f>IF(AA42=0,"",AB42/AA42)</f>
        <v/>
      </c>
      <c r="AD42" s="22">
        <f>CRITERIOS!Q30</f>
        <v/>
      </c>
      <c r="AE42" s="22">
        <f>IF(AND(E42=1,H42&lt;&gt;"X",((I42="N/A")+(L42="N/A")+(O42="N/A")+(R42="N/A")+(U42="N/A")+(X42="N/A"))&gt;0),"REVISAR","")</f>
        <v/>
      </c>
    </row>
    <row r="43">
      <c r="A43" s="22">
        <f>CRITERIOS!B31</f>
        <v/>
      </c>
      <c r="B43" s="22">
        <f>CRITERIOS!C31</f>
        <v/>
      </c>
      <c r="C43" s="8">
        <f>CRITERIOS!D31</f>
        <v/>
      </c>
      <c r="D43" s="22">
        <f>CRITERIOS!E31</f>
        <v/>
      </c>
      <c r="E43" s="22">
        <f>IFERROR(IF(AND(OR(CRITERIOS!F31="Todos",CRITERIOS!F31=$B$4),INDEX(CRITERIOS!H31:J31,MATCH($B$5,VARIABLES!$E$2:$E$4,0))=1),1,0),0)</f>
        <v/>
      </c>
      <c r="F43" s="22">
        <f>IFERROR(IF(E43=1,INDEX(CRITERIOS!K31:M31,MATCH($B$5,VARIABLES!$E$2:$E$4,0)),0),0)</f>
        <v/>
      </c>
      <c r="G43" s="22">
        <f>IF(CRITERIOS!N31="","",CRITERIOS!N31)</f>
        <v/>
      </c>
      <c r="H43" s="22">
        <f>IF(CRITERIOS!O31="","",CRITERIOS!O31)</f>
        <v/>
      </c>
      <c r="I43" s="21" t="n"/>
      <c r="J43" s="22">
        <f>IF(OR($E43=0,I$78=0),0,IF(AND(I43="N/A",$G43&lt;&gt;""),0,$F43+SUMPRODUCT(($G$14:$G$71=$A43)*($E$14:$E$71=1)*(I$14:I$71="N/A")*$F$14:$F$71)))</f>
        <v/>
      </c>
      <c r="K43" s="22">
        <f>IF(I43="SI",J43,0)</f>
        <v/>
      </c>
      <c r="L43" s="21" t="n"/>
      <c r="M43" s="22">
        <f>IF(OR($E43=0,L$78=0),0,IF(AND(L43="N/A",$G43&lt;&gt;""),0,$F43+SUMPRODUCT(($G$14:$G$71=$A43)*($E$14:$E$71=1)*(L$14:L$71="N/A")*$F$14:$F$71)))</f>
        <v/>
      </c>
      <c r="N43" s="22">
        <f>IF(L43="SI",M43,0)</f>
        <v/>
      </c>
      <c r="O43" s="21" t="n"/>
      <c r="P43" s="22">
        <f>IF(OR($E43=0,O$78=0),0,IF(AND(O43="N/A",$G43&lt;&gt;""),0,$F43+SUMPRODUCT(($G$14:$G$71=$A43)*($E$14:$E$71=1)*(O$14:O$71="N/A")*$F$14:$F$71)))</f>
        <v/>
      </c>
      <c r="Q43" s="22">
        <f>IF(O43="SI",P43,0)</f>
        <v/>
      </c>
      <c r="R43" s="21" t="n"/>
      <c r="S43" s="22">
        <f>IF(OR($E43=0,R$78=0),0,IF(AND(R43="N/A",$G43&lt;&gt;""),0,$F43+SUMPRODUCT(($G$14:$G$71=$A43)*($E$14:$E$71=1)*(R$14:R$71="N/A")*$F$14:$F$71)))</f>
        <v/>
      </c>
      <c r="T43" s="22">
        <f>IF(R43="SI",S43,0)</f>
        <v/>
      </c>
      <c r="U43" s="21" t="n"/>
      <c r="V43" s="22">
        <f>IF(OR($E43=0,U$78=0),0,IF(AND(U43="N/A",$G43&lt;&gt;""),0,$F43+SUMPRODUCT(($G$14:$G$71=$A43)*($E$14:$E$71=1)*(U$14:U$71="N/A")*$F$14:$F$71)))</f>
        <v/>
      </c>
      <c r="W43" s="22">
        <f>IF(U43="SI",V43,0)</f>
        <v/>
      </c>
      <c r="X43" s="21" t="n"/>
      <c r="Y43" s="22">
        <f>IF(OR($E43=0,X$78=0),0,IF(AND(X43="N/A",$G43&lt;&gt;""),0,$F43+SUMPRODUCT(($G$14:$G$71=$A43)*($E$14:$E$71=1)*(X$14:X$71="N/A")*$F$14:$F$71)))</f>
        <v/>
      </c>
      <c r="Z43" s="22">
        <f>IF(X43="SI",Y43,0)</f>
        <v/>
      </c>
      <c r="AA43" s="22">
        <f>SUM(J43,M43,P43,S43,V43,Y43)</f>
        <v/>
      </c>
      <c r="AB43" s="22">
        <f>SUM(K43,N43,Q43,T43,W43,Z43)</f>
        <v/>
      </c>
      <c r="AC43" s="23">
        <f>IF(AA43=0,"",AB43/AA43)</f>
        <v/>
      </c>
      <c r="AD43" s="22">
        <f>CRITERIOS!Q31</f>
        <v/>
      </c>
      <c r="AE43" s="22">
        <f>IF(AND(E43=1,H43&lt;&gt;"X",((I43="N/A")+(L43="N/A")+(O43="N/A")+(R43="N/A")+(U43="N/A")+(X43="N/A"))&gt;0),"REVISAR","")</f>
        <v/>
      </c>
    </row>
    <row r="44">
      <c r="A44" s="24">
        <f>CRITERIOS!B32</f>
        <v/>
      </c>
      <c r="B44" s="24">
        <f>CRITERIOS!C32</f>
        <v/>
      </c>
      <c r="C44" s="25">
        <f>CRITERIOS!D32</f>
        <v/>
      </c>
      <c r="D44" s="24">
        <f>CRITERIOS!E32</f>
        <v/>
      </c>
      <c r="E44" s="24">
        <f>IFERROR(IF(AND(OR(CRITERIOS!F32="Todos",CRITERIOS!F32=$B$4),INDEX(CRITERIOS!H32:J32,MATCH($B$5,VARIABLES!$E$2:$E$4,0))=1),1,0),0)</f>
        <v/>
      </c>
      <c r="F44" s="24">
        <f>IFERROR(IF(E44=1,INDEX(CRITERIOS!K32:M32,MATCH($B$5,VARIABLES!$E$2:$E$4,0)),0),0)</f>
        <v/>
      </c>
      <c r="G44" s="24">
        <f>IF(CRITERIOS!N32="","",CRITERIOS!N32)</f>
        <v/>
      </c>
      <c r="H44" s="24">
        <f>IF(CRITERIOS!O32="","",CRITERIOS!O32)</f>
        <v/>
      </c>
      <c r="I44" s="21" t="n"/>
      <c r="J44" s="22">
        <f>IF(OR($E44=0,I$78=0),0,IF(AND(I44="N/A",$G44&lt;&gt;""),0,$F44+SUMPRODUCT(($G$14:$G$71=$A44)*($E$14:$E$71=1)*(I$14:I$71="N/A")*$F$14:$F$71)))</f>
        <v/>
      </c>
      <c r="K44" s="22">
        <f>IF(I44="SI",J44,0)</f>
        <v/>
      </c>
      <c r="L44" s="21" t="n"/>
      <c r="M44" s="22">
        <f>IF(OR($E44=0,L$78=0),0,IF(AND(L44="N/A",$G44&lt;&gt;""),0,$F44+SUMPRODUCT(($G$14:$G$71=$A44)*($E$14:$E$71=1)*(L$14:L$71="N/A")*$F$14:$F$71)))</f>
        <v/>
      </c>
      <c r="N44" s="22">
        <f>IF(L44="SI",M44,0)</f>
        <v/>
      </c>
      <c r="O44" s="21" t="n"/>
      <c r="P44" s="22">
        <f>IF(OR($E44=0,O$78=0),0,IF(AND(O44="N/A",$G44&lt;&gt;""),0,$F44+SUMPRODUCT(($G$14:$G$71=$A44)*($E$14:$E$71=1)*(O$14:O$71="N/A")*$F$14:$F$71)))</f>
        <v/>
      </c>
      <c r="Q44" s="22">
        <f>IF(O44="SI",P44,0)</f>
        <v/>
      </c>
      <c r="R44" s="21" t="n"/>
      <c r="S44" s="22">
        <f>IF(OR($E44=0,R$78=0),0,IF(AND(R44="N/A",$G44&lt;&gt;""),0,$F44+SUMPRODUCT(($G$14:$G$71=$A44)*($E$14:$E$71=1)*(R$14:R$71="N/A")*$F$14:$F$71)))</f>
        <v/>
      </c>
      <c r="T44" s="22">
        <f>IF(R44="SI",S44,0)</f>
        <v/>
      </c>
      <c r="U44" s="21" t="n"/>
      <c r="V44" s="22">
        <f>IF(OR($E44=0,U$78=0),0,IF(AND(U44="N/A",$G44&lt;&gt;""),0,$F44+SUMPRODUCT(($G$14:$G$71=$A44)*($E$14:$E$71=1)*(U$14:U$71="N/A")*$F$14:$F$71)))</f>
        <v/>
      </c>
      <c r="W44" s="22">
        <f>IF(U44="SI",V44,0)</f>
        <v/>
      </c>
      <c r="X44" s="21" t="n"/>
      <c r="Y44" s="22">
        <f>IF(OR($E44=0,X$78=0),0,IF(AND(X44="N/A",$G44&lt;&gt;""),0,$F44+SUMPRODUCT(($G$14:$G$71=$A44)*($E$14:$E$71=1)*(X$14:X$71="N/A")*$F$14:$F$71)))</f>
        <v/>
      </c>
      <c r="Z44" s="22">
        <f>IF(X44="SI",Y44,0)</f>
        <v/>
      </c>
      <c r="AA44" s="22">
        <f>SUM(J44,M44,P44,S44,V44,Y44)</f>
        <v/>
      </c>
      <c r="AB44" s="22">
        <f>SUM(K44,N44,Q44,T44,W44,Z44)</f>
        <v/>
      </c>
      <c r="AC44" s="23">
        <f>IF(AA44=0,"",AB44/AA44)</f>
        <v/>
      </c>
      <c r="AD44" s="22">
        <f>CRITERIOS!Q32</f>
        <v/>
      </c>
      <c r="AE44" s="22">
        <f>IF(AND(E44=1,H44&lt;&gt;"X",((I44="N/A")+(L44="N/A")+(O44="N/A")+(R44="N/A")+(U44="N/A")+(X44="N/A"))&gt;0),"REVISAR","")</f>
        <v/>
      </c>
    </row>
    <row r="45">
      <c r="A45" s="22">
        <f>CRITERIOS!B33</f>
        <v/>
      </c>
      <c r="B45" s="22">
        <f>CRITERIOS!C33</f>
        <v/>
      </c>
      <c r="C45" s="8">
        <f>CRITERIOS!D33</f>
        <v/>
      </c>
      <c r="D45" s="22">
        <f>CRITERIOS!E33</f>
        <v/>
      </c>
      <c r="E45" s="22">
        <f>IFERROR(IF(AND(OR(CRITERIOS!F33="Todos",CRITERIOS!F33=$B$4),INDEX(CRITERIOS!H33:J33,MATCH($B$5,VARIABLES!$E$2:$E$4,0))=1),1,0),0)</f>
        <v/>
      </c>
      <c r="F45" s="22">
        <f>IFERROR(IF(E45=1,INDEX(CRITERIOS!K33:M33,MATCH($B$5,VARIABLES!$E$2:$E$4,0)),0),0)</f>
        <v/>
      </c>
      <c r="G45" s="22">
        <f>IF(CRITERIOS!N33="","",CRITERIOS!N33)</f>
        <v/>
      </c>
      <c r="H45" s="22">
        <f>IF(CRITERIOS!O33="","",CRITERIOS!O33)</f>
        <v/>
      </c>
      <c r="I45" s="21" t="n"/>
      <c r="J45" s="22">
        <f>IF(OR($E45=0,I$78=0),0,IF(AND(I45="N/A",$G45&lt;&gt;""),0,$F45+SUMPRODUCT(($G$14:$G$71=$A45)*($E$14:$E$71=1)*(I$14:I$71="N/A")*$F$14:$F$71)))</f>
        <v/>
      </c>
      <c r="K45" s="22">
        <f>IF(I45="SI",J45,0)</f>
        <v/>
      </c>
      <c r="L45" s="21" t="n"/>
      <c r="M45" s="22">
        <f>IF(OR($E45=0,L$78=0),0,IF(AND(L45="N/A",$G45&lt;&gt;""),0,$F45+SUMPRODUCT(($G$14:$G$71=$A45)*($E$14:$E$71=1)*(L$14:L$71="N/A")*$F$14:$F$71)))</f>
        <v/>
      </c>
      <c r="N45" s="22">
        <f>IF(L45="SI",M45,0)</f>
        <v/>
      </c>
      <c r="O45" s="21" t="n"/>
      <c r="P45" s="22">
        <f>IF(OR($E45=0,O$78=0),0,IF(AND(O45="N/A",$G45&lt;&gt;""),0,$F45+SUMPRODUCT(($G$14:$G$71=$A45)*($E$14:$E$71=1)*(O$14:O$71="N/A")*$F$14:$F$71)))</f>
        <v/>
      </c>
      <c r="Q45" s="22">
        <f>IF(O45="SI",P45,0)</f>
        <v/>
      </c>
      <c r="R45" s="21" t="n"/>
      <c r="S45" s="22">
        <f>IF(OR($E45=0,R$78=0),0,IF(AND(R45="N/A",$G45&lt;&gt;""),0,$F45+SUMPRODUCT(($G$14:$G$71=$A45)*($E$14:$E$71=1)*(R$14:R$71="N/A")*$F$14:$F$71)))</f>
        <v/>
      </c>
      <c r="T45" s="22">
        <f>IF(R45="SI",S45,0)</f>
        <v/>
      </c>
      <c r="U45" s="21" t="n"/>
      <c r="V45" s="22">
        <f>IF(OR($E45=0,U$78=0),0,IF(AND(U45="N/A",$G45&lt;&gt;""),0,$F45+SUMPRODUCT(($G$14:$G$71=$A45)*($E$14:$E$71=1)*(U$14:U$71="N/A")*$F$14:$F$71)))</f>
        <v/>
      </c>
      <c r="W45" s="22">
        <f>IF(U45="SI",V45,0)</f>
        <v/>
      </c>
      <c r="X45" s="21" t="n"/>
      <c r="Y45" s="22">
        <f>IF(OR($E45=0,X$78=0),0,IF(AND(X45="N/A",$G45&lt;&gt;""),0,$F45+SUMPRODUCT(($G$14:$G$71=$A45)*($E$14:$E$71=1)*(X$14:X$71="N/A")*$F$14:$F$71)))</f>
        <v/>
      </c>
      <c r="Z45" s="22">
        <f>IF(X45="SI",Y45,0)</f>
        <v/>
      </c>
      <c r="AA45" s="22">
        <f>SUM(J45,M45,P45,S45,V45,Y45)</f>
        <v/>
      </c>
      <c r="AB45" s="22">
        <f>SUM(K45,N45,Q45,T45,W45,Z45)</f>
        <v/>
      </c>
      <c r="AC45" s="23">
        <f>IF(AA45=0,"",AB45/AA45)</f>
        <v/>
      </c>
      <c r="AD45" s="22">
        <f>CRITERIOS!Q33</f>
        <v/>
      </c>
      <c r="AE45" s="22">
        <f>IF(AND(E45=1,H45&lt;&gt;"X",((I45="N/A")+(L45="N/A")+(O45="N/A")+(R45="N/A")+(U45="N/A")+(X45="N/A"))&gt;0),"REVISAR","")</f>
        <v/>
      </c>
    </row>
    <row r="46">
      <c r="A46" s="24">
        <f>CRITERIOS!B34</f>
        <v/>
      </c>
      <c r="B46" s="24">
        <f>CRITERIOS!C34</f>
        <v/>
      </c>
      <c r="C46" s="25">
        <f>CRITERIOS!D34</f>
        <v/>
      </c>
      <c r="D46" s="24">
        <f>CRITERIOS!E34</f>
        <v/>
      </c>
      <c r="E46" s="24">
        <f>IFERROR(IF(AND(OR(CRITERIOS!F34="Todos",CRITERIOS!F34=$B$4),INDEX(CRITERIOS!H34:J34,MATCH($B$5,VARIABLES!$E$2:$E$4,0))=1),1,0),0)</f>
        <v/>
      </c>
      <c r="F46" s="24">
        <f>IFERROR(IF(E46=1,INDEX(CRITERIOS!K34:M34,MATCH($B$5,VARIABLES!$E$2:$E$4,0)),0),0)</f>
        <v/>
      </c>
      <c r="G46" s="24">
        <f>IF(CRITERIOS!N34="","",CRITERIOS!N34)</f>
        <v/>
      </c>
      <c r="H46" s="24">
        <f>IF(CRITERIOS!O34="","",CRITERIOS!O34)</f>
        <v/>
      </c>
      <c r="I46" s="21" t="n"/>
      <c r="J46" s="22">
        <f>IF(OR($E46=0,I$78=0),0,IF(AND(I46="N/A",$G46&lt;&gt;""),0,$F46+SUMPRODUCT(($G$14:$G$71=$A46)*($E$14:$E$71=1)*(I$14:I$71="N/A")*$F$14:$F$71)))</f>
        <v/>
      </c>
      <c r="K46" s="22">
        <f>IF(I46="SI",J46,0)</f>
        <v/>
      </c>
      <c r="L46" s="21" t="n"/>
      <c r="M46" s="22">
        <f>IF(OR($E46=0,L$78=0),0,IF(AND(L46="N/A",$G46&lt;&gt;""),0,$F46+SUMPRODUCT(($G$14:$G$71=$A46)*($E$14:$E$71=1)*(L$14:L$71="N/A")*$F$14:$F$71)))</f>
        <v/>
      </c>
      <c r="N46" s="22">
        <f>IF(L46="SI",M46,0)</f>
        <v/>
      </c>
      <c r="O46" s="21" t="n"/>
      <c r="P46" s="22">
        <f>IF(OR($E46=0,O$78=0),0,IF(AND(O46="N/A",$G46&lt;&gt;""),0,$F46+SUMPRODUCT(($G$14:$G$71=$A46)*($E$14:$E$71=1)*(O$14:O$71="N/A")*$F$14:$F$71)))</f>
        <v/>
      </c>
      <c r="Q46" s="22">
        <f>IF(O46="SI",P46,0)</f>
        <v/>
      </c>
      <c r="R46" s="21" t="n"/>
      <c r="S46" s="22">
        <f>IF(OR($E46=0,R$78=0),0,IF(AND(R46="N/A",$G46&lt;&gt;""),0,$F46+SUMPRODUCT(($G$14:$G$71=$A46)*($E$14:$E$71=1)*(R$14:R$71="N/A")*$F$14:$F$71)))</f>
        <v/>
      </c>
      <c r="T46" s="22">
        <f>IF(R46="SI",S46,0)</f>
        <v/>
      </c>
      <c r="U46" s="21" t="n"/>
      <c r="V46" s="22">
        <f>IF(OR($E46=0,U$78=0),0,IF(AND(U46="N/A",$G46&lt;&gt;""),0,$F46+SUMPRODUCT(($G$14:$G$71=$A46)*($E$14:$E$71=1)*(U$14:U$71="N/A")*$F$14:$F$71)))</f>
        <v/>
      </c>
      <c r="W46" s="22">
        <f>IF(U46="SI",V46,0)</f>
        <v/>
      </c>
      <c r="X46" s="21" t="n"/>
      <c r="Y46" s="22">
        <f>IF(OR($E46=0,X$78=0),0,IF(AND(X46="N/A",$G46&lt;&gt;""),0,$F46+SUMPRODUCT(($G$14:$G$71=$A46)*($E$14:$E$71=1)*(X$14:X$71="N/A")*$F$14:$F$71)))</f>
        <v/>
      </c>
      <c r="Z46" s="22">
        <f>IF(X46="SI",Y46,0)</f>
        <v/>
      </c>
      <c r="AA46" s="22">
        <f>SUM(J46,M46,P46,S46,V46,Y46)</f>
        <v/>
      </c>
      <c r="AB46" s="22">
        <f>SUM(K46,N46,Q46,T46,W46,Z46)</f>
        <v/>
      </c>
      <c r="AC46" s="23">
        <f>IF(AA46=0,"",AB46/AA46)</f>
        <v/>
      </c>
      <c r="AD46" s="22">
        <f>CRITERIOS!Q34</f>
        <v/>
      </c>
      <c r="AE46" s="22">
        <f>IF(AND(E46=1,H46&lt;&gt;"X",((I46="N/A")+(L46="N/A")+(O46="N/A")+(R46="N/A")+(U46="N/A")+(X46="N/A"))&gt;0),"REVISAR","")</f>
        <v/>
      </c>
    </row>
    <row r="47">
      <c r="A47" s="22">
        <f>CRITERIOS!B35</f>
        <v/>
      </c>
      <c r="B47" s="22">
        <f>CRITERIOS!C35</f>
        <v/>
      </c>
      <c r="C47" s="8">
        <f>CRITERIOS!D35</f>
        <v/>
      </c>
      <c r="D47" s="22">
        <f>CRITERIOS!E35</f>
        <v/>
      </c>
      <c r="E47" s="22">
        <f>IFERROR(IF(AND(OR(CRITERIOS!F35="Todos",CRITERIOS!F35=$B$4),INDEX(CRITERIOS!H35:J35,MATCH($B$5,VARIABLES!$E$2:$E$4,0))=1),1,0),0)</f>
        <v/>
      </c>
      <c r="F47" s="22">
        <f>IFERROR(IF(E47=1,INDEX(CRITERIOS!K35:M35,MATCH($B$5,VARIABLES!$E$2:$E$4,0)),0),0)</f>
        <v/>
      </c>
      <c r="G47" s="22">
        <f>IF(CRITERIOS!N35="","",CRITERIOS!N35)</f>
        <v/>
      </c>
      <c r="H47" s="22">
        <f>IF(CRITERIOS!O35="","",CRITERIOS!O35)</f>
        <v/>
      </c>
      <c r="I47" s="21" t="n"/>
      <c r="J47" s="22">
        <f>IF(OR($E47=0,I$78=0),0,IF(AND(I47="N/A",$G47&lt;&gt;""),0,$F47+SUMPRODUCT(($G$14:$G$71=$A47)*($E$14:$E$71=1)*(I$14:I$71="N/A")*$F$14:$F$71)))</f>
        <v/>
      </c>
      <c r="K47" s="22">
        <f>IF(I47="SI",J47,0)</f>
        <v/>
      </c>
      <c r="L47" s="21" t="n"/>
      <c r="M47" s="22">
        <f>IF(OR($E47=0,L$78=0),0,IF(AND(L47="N/A",$G47&lt;&gt;""),0,$F47+SUMPRODUCT(($G$14:$G$71=$A47)*($E$14:$E$71=1)*(L$14:L$71="N/A")*$F$14:$F$71)))</f>
        <v/>
      </c>
      <c r="N47" s="22">
        <f>IF(L47="SI",M47,0)</f>
        <v/>
      </c>
      <c r="O47" s="21" t="n"/>
      <c r="P47" s="22">
        <f>IF(OR($E47=0,O$78=0),0,IF(AND(O47="N/A",$G47&lt;&gt;""),0,$F47+SUMPRODUCT(($G$14:$G$71=$A47)*($E$14:$E$71=1)*(O$14:O$71="N/A")*$F$14:$F$71)))</f>
        <v/>
      </c>
      <c r="Q47" s="22">
        <f>IF(O47="SI",P47,0)</f>
        <v/>
      </c>
      <c r="R47" s="21" t="n"/>
      <c r="S47" s="22">
        <f>IF(OR($E47=0,R$78=0),0,IF(AND(R47="N/A",$G47&lt;&gt;""),0,$F47+SUMPRODUCT(($G$14:$G$71=$A47)*($E$14:$E$71=1)*(R$14:R$71="N/A")*$F$14:$F$71)))</f>
        <v/>
      </c>
      <c r="T47" s="22">
        <f>IF(R47="SI",S47,0)</f>
        <v/>
      </c>
      <c r="U47" s="21" t="n"/>
      <c r="V47" s="22">
        <f>IF(OR($E47=0,U$78=0),0,IF(AND(U47="N/A",$G47&lt;&gt;""),0,$F47+SUMPRODUCT(($G$14:$G$71=$A47)*($E$14:$E$71=1)*(U$14:U$71="N/A")*$F$14:$F$71)))</f>
        <v/>
      </c>
      <c r="W47" s="22">
        <f>IF(U47="SI",V47,0)</f>
        <v/>
      </c>
      <c r="X47" s="21" t="n"/>
      <c r="Y47" s="22">
        <f>IF(OR($E47=0,X$78=0),0,IF(AND(X47="N/A",$G47&lt;&gt;""),0,$F47+SUMPRODUCT(($G$14:$G$71=$A47)*($E$14:$E$71=1)*(X$14:X$71="N/A")*$F$14:$F$71)))</f>
        <v/>
      </c>
      <c r="Z47" s="22">
        <f>IF(X47="SI",Y47,0)</f>
        <v/>
      </c>
      <c r="AA47" s="22">
        <f>SUM(J47,M47,P47,S47,V47,Y47)</f>
        <v/>
      </c>
      <c r="AB47" s="22">
        <f>SUM(K47,N47,Q47,T47,W47,Z47)</f>
        <v/>
      </c>
      <c r="AC47" s="23">
        <f>IF(AA47=0,"",AB47/AA47)</f>
        <v/>
      </c>
      <c r="AD47" s="22">
        <f>CRITERIOS!Q35</f>
        <v/>
      </c>
      <c r="AE47" s="22">
        <f>IF(AND(E47=1,H47&lt;&gt;"X",((I47="N/A")+(L47="N/A")+(O47="N/A")+(R47="N/A")+(U47="N/A")+(X47="N/A"))&gt;0),"REVISAR","")</f>
        <v/>
      </c>
    </row>
    <row r="48">
      <c r="A48" s="24">
        <f>CRITERIOS!B36</f>
        <v/>
      </c>
      <c r="B48" s="24">
        <f>CRITERIOS!C36</f>
        <v/>
      </c>
      <c r="C48" s="25">
        <f>CRITERIOS!D36</f>
        <v/>
      </c>
      <c r="D48" s="24">
        <f>CRITERIOS!E36</f>
        <v/>
      </c>
      <c r="E48" s="24">
        <f>IFERROR(IF(AND(OR(CRITERIOS!F36="Todos",CRITERIOS!F36=$B$4),INDEX(CRITERIOS!H36:J36,MATCH($B$5,VARIABLES!$E$2:$E$4,0))=1),1,0),0)</f>
        <v/>
      </c>
      <c r="F48" s="24">
        <f>IFERROR(IF(E48=1,INDEX(CRITERIOS!K36:M36,MATCH($B$5,VARIABLES!$E$2:$E$4,0)),0),0)</f>
        <v/>
      </c>
      <c r="G48" s="24">
        <f>IF(CRITERIOS!N36="","",CRITERIOS!N36)</f>
        <v/>
      </c>
      <c r="H48" s="24">
        <f>IF(CRITERIOS!O36="","",CRITERIOS!O36)</f>
        <v/>
      </c>
      <c r="I48" s="21" t="n"/>
      <c r="J48" s="22">
        <f>IF(OR($E48=0,I$78=0),0,IF(AND(I48="N/A",$G48&lt;&gt;""),0,$F48+SUMPRODUCT(($G$14:$G$71=$A48)*($E$14:$E$71=1)*(I$14:I$71="N/A")*$F$14:$F$71)))</f>
        <v/>
      </c>
      <c r="K48" s="22">
        <f>IF(I48="SI",J48,0)</f>
        <v/>
      </c>
      <c r="L48" s="21" t="n"/>
      <c r="M48" s="22">
        <f>IF(OR($E48=0,L$78=0),0,IF(AND(L48="N/A",$G48&lt;&gt;""),0,$F48+SUMPRODUCT(($G$14:$G$71=$A48)*($E$14:$E$71=1)*(L$14:L$71="N/A")*$F$14:$F$71)))</f>
        <v/>
      </c>
      <c r="N48" s="22">
        <f>IF(L48="SI",M48,0)</f>
        <v/>
      </c>
      <c r="O48" s="21" t="n"/>
      <c r="P48" s="22">
        <f>IF(OR($E48=0,O$78=0),0,IF(AND(O48="N/A",$G48&lt;&gt;""),0,$F48+SUMPRODUCT(($G$14:$G$71=$A48)*($E$14:$E$71=1)*(O$14:O$71="N/A")*$F$14:$F$71)))</f>
        <v/>
      </c>
      <c r="Q48" s="22">
        <f>IF(O48="SI",P48,0)</f>
        <v/>
      </c>
      <c r="R48" s="21" t="n"/>
      <c r="S48" s="22">
        <f>IF(OR($E48=0,R$78=0),0,IF(AND(R48="N/A",$G48&lt;&gt;""),0,$F48+SUMPRODUCT(($G$14:$G$71=$A48)*($E$14:$E$71=1)*(R$14:R$71="N/A")*$F$14:$F$71)))</f>
        <v/>
      </c>
      <c r="T48" s="22">
        <f>IF(R48="SI",S48,0)</f>
        <v/>
      </c>
      <c r="U48" s="21" t="n"/>
      <c r="V48" s="22">
        <f>IF(OR($E48=0,U$78=0),0,IF(AND(U48="N/A",$G48&lt;&gt;""),0,$F48+SUMPRODUCT(($G$14:$G$71=$A48)*($E$14:$E$71=1)*(U$14:U$71="N/A")*$F$14:$F$71)))</f>
        <v/>
      </c>
      <c r="W48" s="22">
        <f>IF(U48="SI",V48,0)</f>
        <v/>
      </c>
      <c r="X48" s="21" t="n"/>
      <c r="Y48" s="22">
        <f>IF(OR($E48=0,X$78=0),0,IF(AND(X48="N/A",$G48&lt;&gt;""),0,$F48+SUMPRODUCT(($G$14:$G$71=$A48)*($E$14:$E$71=1)*(X$14:X$71="N/A")*$F$14:$F$71)))</f>
        <v/>
      </c>
      <c r="Z48" s="22">
        <f>IF(X48="SI",Y48,0)</f>
        <v/>
      </c>
      <c r="AA48" s="22">
        <f>SUM(J48,M48,P48,S48,V48,Y48)</f>
        <v/>
      </c>
      <c r="AB48" s="22">
        <f>SUM(K48,N48,Q48,T48,W48,Z48)</f>
        <v/>
      </c>
      <c r="AC48" s="23">
        <f>IF(AA48=0,"",AB48/AA48)</f>
        <v/>
      </c>
      <c r="AD48" s="22">
        <f>CRITERIOS!Q36</f>
        <v/>
      </c>
      <c r="AE48" s="22">
        <f>IF(AND(E48=1,H48&lt;&gt;"X",((I48="N/A")+(L48="N/A")+(O48="N/A")+(R48="N/A")+(U48="N/A")+(X48="N/A"))&gt;0),"REVISAR","")</f>
        <v/>
      </c>
    </row>
    <row r="49">
      <c r="A49" s="24">
        <f>CRITERIOS!B37</f>
        <v/>
      </c>
      <c r="B49" s="24">
        <f>CRITERIOS!C37</f>
        <v/>
      </c>
      <c r="C49" s="25">
        <f>CRITERIOS!D37</f>
        <v/>
      </c>
      <c r="D49" s="24">
        <f>CRITERIOS!E37</f>
        <v/>
      </c>
      <c r="E49" s="24">
        <f>IFERROR(IF(AND(OR(CRITERIOS!F37="Todos",CRITERIOS!F37=$B$4),INDEX(CRITERIOS!H37:J37,MATCH($B$5,VARIABLES!$E$2:$E$4,0))=1),1,0),0)</f>
        <v/>
      </c>
      <c r="F49" s="24">
        <f>IFERROR(IF(E49=1,INDEX(CRITERIOS!K37:M37,MATCH($B$5,VARIABLES!$E$2:$E$4,0)),0),0)</f>
        <v/>
      </c>
      <c r="G49" s="24">
        <f>IF(CRITERIOS!N37="","",CRITERIOS!N37)</f>
        <v/>
      </c>
      <c r="H49" s="24">
        <f>IF(CRITERIOS!O37="","",CRITERIOS!O37)</f>
        <v/>
      </c>
      <c r="I49" s="21" t="n"/>
      <c r="J49" s="22">
        <f>IF(OR($E49=0,I$78=0),0,IF(AND(I49="N/A",$G49&lt;&gt;""),0,$F49+SUMPRODUCT(($G$14:$G$71=$A49)*($E$14:$E$71=1)*(I$14:I$71="N/A")*$F$14:$F$71)))</f>
        <v/>
      </c>
      <c r="K49" s="22">
        <f>IF(I49="SI",J49,0)</f>
        <v/>
      </c>
      <c r="L49" s="21" t="n"/>
      <c r="M49" s="22">
        <f>IF(OR($E49=0,L$78=0),0,IF(AND(L49="N/A",$G49&lt;&gt;""),0,$F49+SUMPRODUCT(($G$14:$G$71=$A49)*($E$14:$E$71=1)*(L$14:L$71="N/A")*$F$14:$F$71)))</f>
        <v/>
      </c>
      <c r="N49" s="22">
        <f>IF(L49="SI",M49,0)</f>
        <v/>
      </c>
      <c r="O49" s="21" t="n"/>
      <c r="P49" s="22">
        <f>IF(OR($E49=0,O$78=0),0,IF(AND(O49="N/A",$G49&lt;&gt;""),0,$F49+SUMPRODUCT(($G$14:$G$71=$A49)*($E$14:$E$71=1)*(O$14:O$71="N/A")*$F$14:$F$71)))</f>
        <v/>
      </c>
      <c r="Q49" s="22">
        <f>IF(O49="SI",P49,0)</f>
        <v/>
      </c>
      <c r="R49" s="21" t="n"/>
      <c r="S49" s="22">
        <f>IF(OR($E49=0,R$78=0),0,IF(AND(R49="N/A",$G49&lt;&gt;""),0,$F49+SUMPRODUCT(($G$14:$G$71=$A49)*($E$14:$E$71=1)*(R$14:R$71="N/A")*$F$14:$F$71)))</f>
        <v/>
      </c>
      <c r="T49" s="22">
        <f>IF(R49="SI",S49,0)</f>
        <v/>
      </c>
      <c r="U49" s="21" t="n"/>
      <c r="V49" s="22">
        <f>IF(OR($E49=0,U$78=0),0,IF(AND(U49="N/A",$G49&lt;&gt;""),0,$F49+SUMPRODUCT(($G$14:$G$71=$A49)*($E$14:$E$71=1)*(U$14:U$71="N/A")*$F$14:$F$71)))</f>
        <v/>
      </c>
      <c r="W49" s="22">
        <f>IF(U49="SI",V49,0)</f>
        <v/>
      </c>
      <c r="X49" s="21" t="n"/>
      <c r="Y49" s="22">
        <f>IF(OR($E49=0,X$78=0),0,IF(AND(X49="N/A",$G49&lt;&gt;""),0,$F49+SUMPRODUCT(($G$14:$G$71=$A49)*($E$14:$E$71=1)*(X$14:X$71="N/A")*$F$14:$F$71)))</f>
        <v/>
      </c>
      <c r="Z49" s="22">
        <f>IF(X49="SI",Y49,0)</f>
        <v/>
      </c>
      <c r="AA49" s="22">
        <f>SUM(J49,M49,P49,S49,V49,Y49)</f>
        <v/>
      </c>
      <c r="AB49" s="22">
        <f>SUM(K49,N49,Q49,T49,W49,Z49)</f>
        <v/>
      </c>
      <c r="AC49" s="23">
        <f>IF(AA49=0,"",AB49/AA49)</f>
        <v/>
      </c>
      <c r="AD49" s="22">
        <f>CRITERIOS!Q37</f>
        <v/>
      </c>
      <c r="AE49" s="22">
        <f>IF(AND(E49=1,H49&lt;&gt;"X",((I49="N/A")+(L49="N/A")+(O49="N/A")+(R49="N/A")+(U49="N/A")+(X49="N/A"))&gt;0),"REVISAR","")</f>
        <v/>
      </c>
    </row>
    <row r="50">
      <c r="A50" s="24">
        <f>CRITERIOS!B38</f>
        <v/>
      </c>
      <c r="B50" s="24">
        <f>CRITERIOS!C38</f>
        <v/>
      </c>
      <c r="C50" s="25">
        <f>CRITERIOS!D38</f>
        <v/>
      </c>
      <c r="D50" s="24">
        <f>CRITERIOS!E38</f>
        <v/>
      </c>
      <c r="E50" s="24">
        <f>IFERROR(IF(AND(OR(CRITERIOS!F38="Todos",CRITERIOS!F38=$B$4),INDEX(CRITERIOS!H38:J38,MATCH($B$5,VARIABLES!$E$2:$E$4,0))=1),1,0),0)</f>
        <v/>
      </c>
      <c r="F50" s="24">
        <f>IFERROR(IF(E50=1,INDEX(CRITERIOS!K38:M38,MATCH($B$5,VARIABLES!$E$2:$E$4,0)),0),0)</f>
        <v/>
      </c>
      <c r="G50" s="24">
        <f>IF(CRITERIOS!N38="","",CRITERIOS!N38)</f>
        <v/>
      </c>
      <c r="H50" s="24">
        <f>IF(CRITERIOS!O38="","",CRITERIOS!O38)</f>
        <v/>
      </c>
      <c r="I50" s="21" t="n"/>
      <c r="J50" s="22">
        <f>IF(OR($E50=0,I$78=0),0,IF(AND(I50="N/A",$G50&lt;&gt;""),0,$F50+SUMPRODUCT(($G$14:$G$71=$A50)*($E$14:$E$71=1)*(I$14:I$71="N/A")*$F$14:$F$71)))</f>
        <v/>
      </c>
      <c r="K50" s="22">
        <f>IF(I50="SI",J50,0)</f>
        <v/>
      </c>
      <c r="L50" s="21" t="n"/>
      <c r="M50" s="22">
        <f>IF(OR($E50=0,L$78=0),0,IF(AND(L50="N/A",$G50&lt;&gt;""),0,$F50+SUMPRODUCT(($G$14:$G$71=$A50)*($E$14:$E$71=1)*(L$14:L$71="N/A")*$F$14:$F$71)))</f>
        <v/>
      </c>
      <c r="N50" s="22">
        <f>IF(L50="SI",M50,0)</f>
        <v/>
      </c>
      <c r="O50" s="21" t="n"/>
      <c r="P50" s="22">
        <f>IF(OR($E50=0,O$78=0),0,IF(AND(O50="N/A",$G50&lt;&gt;""),0,$F50+SUMPRODUCT(($G$14:$G$71=$A50)*($E$14:$E$71=1)*(O$14:O$71="N/A")*$F$14:$F$71)))</f>
        <v/>
      </c>
      <c r="Q50" s="22">
        <f>IF(O50="SI",P50,0)</f>
        <v/>
      </c>
      <c r="R50" s="21" t="n"/>
      <c r="S50" s="22">
        <f>IF(OR($E50=0,R$78=0),0,IF(AND(R50="N/A",$G50&lt;&gt;""),0,$F50+SUMPRODUCT(($G$14:$G$71=$A50)*($E$14:$E$71=1)*(R$14:R$71="N/A")*$F$14:$F$71)))</f>
        <v/>
      </c>
      <c r="T50" s="22">
        <f>IF(R50="SI",S50,0)</f>
        <v/>
      </c>
      <c r="U50" s="21" t="n"/>
      <c r="V50" s="22">
        <f>IF(OR($E50=0,U$78=0),0,IF(AND(U50="N/A",$G50&lt;&gt;""),0,$F50+SUMPRODUCT(($G$14:$G$71=$A50)*($E$14:$E$71=1)*(U$14:U$71="N/A")*$F$14:$F$71)))</f>
        <v/>
      </c>
      <c r="W50" s="22">
        <f>IF(U50="SI",V50,0)</f>
        <v/>
      </c>
      <c r="X50" s="21" t="n"/>
      <c r="Y50" s="22">
        <f>IF(OR($E50=0,X$78=0),0,IF(AND(X50="N/A",$G50&lt;&gt;""),0,$F50+SUMPRODUCT(($G$14:$G$71=$A50)*($E$14:$E$71=1)*(X$14:X$71="N/A")*$F$14:$F$71)))</f>
        <v/>
      </c>
      <c r="Z50" s="22">
        <f>IF(X50="SI",Y50,0)</f>
        <v/>
      </c>
      <c r="AA50" s="22">
        <f>SUM(J50,M50,P50,S50,V50,Y50)</f>
        <v/>
      </c>
      <c r="AB50" s="22">
        <f>SUM(K50,N50,Q50,T50,W50,Z50)</f>
        <v/>
      </c>
      <c r="AC50" s="23">
        <f>IF(AA50=0,"",AB50/AA50)</f>
        <v/>
      </c>
      <c r="AD50" s="22">
        <f>CRITERIOS!Q38</f>
        <v/>
      </c>
      <c r="AE50" s="22">
        <f>IF(AND(E50=1,H50&lt;&gt;"X",((I50="N/A")+(L50="N/A")+(O50="N/A")+(R50="N/A")+(U50="N/A")+(X50="N/A"))&gt;0),"REVISAR","")</f>
        <v/>
      </c>
    </row>
    <row r="51">
      <c r="A51" s="24">
        <f>CRITERIOS!B39</f>
        <v/>
      </c>
      <c r="B51" s="24">
        <f>CRITERIOS!C39</f>
        <v/>
      </c>
      <c r="C51" s="25">
        <f>CRITERIOS!D39</f>
        <v/>
      </c>
      <c r="D51" s="24">
        <f>CRITERIOS!E39</f>
        <v/>
      </c>
      <c r="E51" s="24">
        <f>IFERROR(IF(AND(OR(CRITERIOS!F39="Todos",CRITERIOS!F39=$B$4),INDEX(CRITERIOS!H39:J39,MATCH($B$5,VARIABLES!$E$2:$E$4,0))=1),1,0),0)</f>
        <v/>
      </c>
      <c r="F51" s="24">
        <f>IFERROR(IF(E51=1,INDEX(CRITERIOS!K39:M39,MATCH($B$5,VARIABLES!$E$2:$E$4,0)),0),0)</f>
        <v/>
      </c>
      <c r="G51" s="24">
        <f>IF(CRITERIOS!N39="","",CRITERIOS!N39)</f>
        <v/>
      </c>
      <c r="H51" s="24">
        <f>IF(CRITERIOS!O39="","",CRITERIOS!O39)</f>
        <v/>
      </c>
      <c r="I51" s="21" t="n"/>
      <c r="J51" s="22">
        <f>IF(OR($E51=0,I$78=0),0,IF(AND(I51="N/A",$G51&lt;&gt;""),0,$F51+SUMPRODUCT(($G$14:$G$71=$A51)*($E$14:$E$71=1)*(I$14:I$71="N/A")*$F$14:$F$71)))</f>
        <v/>
      </c>
      <c r="K51" s="22">
        <f>IF(I51="SI",J51,0)</f>
        <v/>
      </c>
      <c r="L51" s="21" t="n"/>
      <c r="M51" s="22">
        <f>IF(OR($E51=0,L$78=0),0,IF(AND(L51="N/A",$G51&lt;&gt;""),0,$F51+SUMPRODUCT(($G$14:$G$71=$A51)*($E$14:$E$71=1)*(L$14:L$71="N/A")*$F$14:$F$71)))</f>
        <v/>
      </c>
      <c r="N51" s="22">
        <f>IF(L51="SI",M51,0)</f>
        <v/>
      </c>
      <c r="O51" s="21" t="n"/>
      <c r="P51" s="22">
        <f>IF(OR($E51=0,O$78=0),0,IF(AND(O51="N/A",$G51&lt;&gt;""),0,$F51+SUMPRODUCT(($G$14:$G$71=$A51)*($E$14:$E$71=1)*(O$14:O$71="N/A")*$F$14:$F$71)))</f>
        <v/>
      </c>
      <c r="Q51" s="22">
        <f>IF(O51="SI",P51,0)</f>
        <v/>
      </c>
      <c r="R51" s="21" t="n"/>
      <c r="S51" s="22">
        <f>IF(OR($E51=0,R$78=0),0,IF(AND(R51="N/A",$G51&lt;&gt;""),0,$F51+SUMPRODUCT(($G$14:$G$71=$A51)*($E$14:$E$71=1)*(R$14:R$71="N/A")*$F$14:$F$71)))</f>
        <v/>
      </c>
      <c r="T51" s="22">
        <f>IF(R51="SI",S51,0)</f>
        <v/>
      </c>
      <c r="U51" s="21" t="n"/>
      <c r="V51" s="22">
        <f>IF(OR($E51=0,U$78=0),0,IF(AND(U51="N/A",$G51&lt;&gt;""),0,$F51+SUMPRODUCT(($G$14:$G$71=$A51)*($E$14:$E$71=1)*(U$14:U$71="N/A")*$F$14:$F$71)))</f>
        <v/>
      </c>
      <c r="W51" s="22">
        <f>IF(U51="SI",V51,0)</f>
        <v/>
      </c>
      <c r="X51" s="21" t="n"/>
      <c r="Y51" s="22">
        <f>IF(OR($E51=0,X$78=0),0,IF(AND(X51="N/A",$G51&lt;&gt;""),0,$F51+SUMPRODUCT(($G$14:$G$71=$A51)*($E$14:$E$71=1)*(X$14:X$71="N/A")*$F$14:$F$71)))</f>
        <v/>
      </c>
      <c r="Z51" s="22">
        <f>IF(X51="SI",Y51,0)</f>
        <v/>
      </c>
      <c r="AA51" s="22">
        <f>SUM(J51,M51,P51,S51,V51,Y51)</f>
        <v/>
      </c>
      <c r="AB51" s="22">
        <f>SUM(K51,N51,Q51,T51,W51,Z51)</f>
        <v/>
      </c>
      <c r="AC51" s="23">
        <f>IF(AA51=0,"",AB51/AA51)</f>
        <v/>
      </c>
      <c r="AD51" s="22">
        <f>CRITERIOS!Q39</f>
        <v/>
      </c>
      <c r="AE51" s="22">
        <f>IF(AND(E51=1,H51&lt;&gt;"X",((I51="N/A")+(L51="N/A")+(O51="N/A")+(R51="N/A")+(U51="N/A")+(X51="N/A"))&gt;0),"REVISAR","")</f>
        <v/>
      </c>
    </row>
    <row r="52">
      <c r="A52" s="24">
        <f>CRITERIOS!B40</f>
        <v/>
      </c>
      <c r="B52" s="24">
        <f>CRITERIOS!C40</f>
        <v/>
      </c>
      <c r="C52" s="25">
        <f>CRITERIOS!D40</f>
        <v/>
      </c>
      <c r="D52" s="24">
        <f>CRITERIOS!E40</f>
        <v/>
      </c>
      <c r="E52" s="24">
        <f>IFERROR(IF(AND(OR(CRITERIOS!F40="Todos",CRITERIOS!F40=$B$4),INDEX(CRITERIOS!H40:J40,MATCH($B$5,VARIABLES!$E$2:$E$4,0))=1),1,0),0)</f>
        <v/>
      </c>
      <c r="F52" s="24">
        <f>IFERROR(IF(E52=1,INDEX(CRITERIOS!K40:M40,MATCH($B$5,VARIABLES!$E$2:$E$4,0)),0),0)</f>
        <v/>
      </c>
      <c r="G52" s="24">
        <f>IF(CRITERIOS!N40="","",CRITERIOS!N40)</f>
        <v/>
      </c>
      <c r="H52" s="24">
        <f>IF(CRITERIOS!O40="","",CRITERIOS!O40)</f>
        <v/>
      </c>
      <c r="I52" s="21" t="n"/>
      <c r="J52" s="22">
        <f>IF(OR($E52=0,I$78=0),0,IF(AND(I52="N/A",$G52&lt;&gt;""),0,$F52+SUMPRODUCT(($G$14:$G$71=$A52)*($E$14:$E$71=1)*(I$14:I$71="N/A")*$F$14:$F$71)))</f>
        <v/>
      </c>
      <c r="K52" s="22">
        <f>IF(I52="SI",J52,0)</f>
        <v/>
      </c>
      <c r="L52" s="21" t="n"/>
      <c r="M52" s="22">
        <f>IF(OR($E52=0,L$78=0),0,IF(AND(L52="N/A",$G52&lt;&gt;""),0,$F52+SUMPRODUCT(($G$14:$G$71=$A52)*($E$14:$E$71=1)*(L$14:L$71="N/A")*$F$14:$F$71)))</f>
        <v/>
      </c>
      <c r="N52" s="22">
        <f>IF(L52="SI",M52,0)</f>
        <v/>
      </c>
      <c r="O52" s="21" t="n"/>
      <c r="P52" s="22">
        <f>IF(OR($E52=0,O$78=0),0,IF(AND(O52="N/A",$G52&lt;&gt;""),0,$F52+SUMPRODUCT(($G$14:$G$71=$A52)*($E$14:$E$71=1)*(O$14:O$71="N/A")*$F$14:$F$71)))</f>
        <v/>
      </c>
      <c r="Q52" s="22">
        <f>IF(O52="SI",P52,0)</f>
        <v/>
      </c>
      <c r="R52" s="21" t="n"/>
      <c r="S52" s="22">
        <f>IF(OR($E52=0,R$78=0),0,IF(AND(R52="N/A",$G52&lt;&gt;""),0,$F52+SUMPRODUCT(($G$14:$G$71=$A52)*($E$14:$E$71=1)*(R$14:R$71="N/A")*$F$14:$F$71)))</f>
        <v/>
      </c>
      <c r="T52" s="22">
        <f>IF(R52="SI",S52,0)</f>
        <v/>
      </c>
      <c r="U52" s="21" t="n"/>
      <c r="V52" s="22">
        <f>IF(OR($E52=0,U$78=0),0,IF(AND(U52="N/A",$G52&lt;&gt;""),0,$F52+SUMPRODUCT(($G$14:$G$71=$A52)*($E$14:$E$71=1)*(U$14:U$71="N/A")*$F$14:$F$71)))</f>
        <v/>
      </c>
      <c r="W52" s="22">
        <f>IF(U52="SI",V52,0)</f>
        <v/>
      </c>
      <c r="X52" s="21" t="n"/>
      <c r="Y52" s="22">
        <f>IF(OR($E52=0,X$78=0),0,IF(AND(X52="N/A",$G52&lt;&gt;""),0,$F52+SUMPRODUCT(($G$14:$G$71=$A52)*($E$14:$E$71=1)*(X$14:X$71="N/A")*$F$14:$F$71)))</f>
        <v/>
      </c>
      <c r="Z52" s="22">
        <f>IF(X52="SI",Y52,0)</f>
        <v/>
      </c>
      <c r="AA52" s="22">
        <f>SUM(J52,M52,P52,S52,V52,Y52)</f>
        <v/>
      </c>
      <c r="AB52" s="22">
        <f>SUM(K52,N52,Q52,T52,W52,Z52)</f>
        <v/>
      </c>
      <c r="AC52" s="23">
        <f>IF(AA52=0,"",AB52/AA52)</f>
        <v/>
      </c>
      <c r="AD52" s="22">
        <f>CRITERIOS!Q40</f>
        <v/>
      </c>
      <c r="AE52" s="22">
        <f>IF(AND(E52=1,H52&lt;&gt;"X",((I52="N/A")+(L52="N/A")+(O52="N/A")+(R52="N/A")+(U52="N/A")+(X52="N/A"))&gt;0),"REVISAR","")</f>
        <v/>
      </c>
    </row>
    <row r="53">
      <c r="A53" s="22">
        <f>CRITERIOS!B41</f>
        <v/>
      </c>
      <c r="B53" s="22">
        <f>CRITERIOS!C41</f>
        <v/>
      </c>
      <c r="C53" s="8">
        <f>CRITERIOS!D41</f>
        <v/>
      </c>
      <c r="D53" s="22">
        <f>CRITERIOS!E41</f>
        <v/>
      </c>
      <c r="E53" s="22">
        <f>IFERROR(IF(AND(OR(CRITERIOS!F41="Todos",CRITERIOS!F41=$B$4),INDEX(CRITERIOS!H41:J41,MATCH($B$5,VARIABLES!$E$2:$E$4,0))=1),1,0),0)</f>
        <v/>
      </c>
      <c r="F53" s="22">
        <f>IFERROR(IF(E53=1,INDEX(CRITERIOS!K41:M41,MATCH($B$5,VARIABLES!$E$2:$E$4,0)),0),0)</f>
        <v/>
      </c>
      <c r="G53" s="22">
        <f>IF(CRITERIOS!N41="","",CRITERIOS!N41)</f>
        <v/>
      </c>
      <c r="H53" s="22">
        <f>IF(CRITERIOS!O41="","",CRITERIOS!O41)</f>
        <v/>
      </c>
      <c r="I53" s="21" t="n"/>
      <c r="J53" s="22">
        <f>IF(OR($E53=0,I$78=0),0,IF(AND(I53="N/A",$G53&lt;&gt;""),0,$F53+SUMPRODUCT(($G$14:$G$71=$A53)*($E$14:$E$71=1)*(I$14:I$71="N/A")*$F$14:$F$71)))</f>
        <v/>
      </c>
      <c r="K53" s="22">
        <f>IF(I53="SI",J53,0)</f>
        <v/>
      </c>
      <c r="L53" s="21" t="n"/>
      <c r="M53" s="22">
        <f>IF(OR($E53=0,L$78=0),0,IF(AND(L53="N/A",$G53&lt;&gt;""),0,$F53+SUMPRODUCT(($G$14:$G$71=$A53)*($E$14:$E$71=1)*(L$14:L$71="N/A")*$F$14:$F$71)))</f>
        <v/>
      </c>
      <c r="N53" s="22">
        <f>IF(L53="SI",M53,0)</f>
        <v/>
      </c>
      <c r="O53" s="21" t="n"/>
      <c r="P53" s="22">
        <f>IF(OR($E53=0,O$78=0),0,IF(AND(O53="N/A",$G53&lt;&gt;""),0,$F53+SUMPRODUCT(($G$14:$G$71=$A53)*($E$14:$E$71=1)*(O$14:O$71="N/A")*$F$14:$F$71)))</f>
        <v/>
      </c>
      <c r="Q53" s="22">
        <f>IF(O53="SI",P53,0)</f>
        <v/>
      </c>
      <c r="R53" s="21" t="n"/>
      <c r="S53" s="22">
        <f>IF(OR($E53=0,R$78=0),0,IF(AND(R53="N/A",$G53&lt;&gt;""),0,$F53+SUMPRODUCT(($G$14:$G$71=$A53)*($E$14:$E$71=1)*(R$14:R$71="N/A")*$F$14:$F$71)))</f>
        <v/>
      </c>
      <c r="T53" s="22">
        <f>IF(R53="SI",S53,0)</f>
        <v/>
      </c>
      <c r="U53" s="21" t="n"/>
      <c r="V53" s="22">
        <f>IF(OR($E53=0,U$78=0),0,IF(AND(U53="N/A",$G53&lt;&gt;""),0,$F53+SUMPRODUCT(($G$14:$G$71=$A53)*($E$14:$E$71=1)*(U$14:U$71="N/A")*$F$14:$F$71)))</f>
        <v/>
      </c>
      <c r="W53" s="22">
        <f>IF(U53="SI",V53,0)</f>
        <v/>
      </c>
      <c r="X53" s="21" t="n"/>
      <c r="Y53" s="22">
        <f>IF(OR($E53=0,X$78=0),0,IF(AND(X53="N/A",$G53&lt;&gt;""),0,$F53+SUMPRODUCT(($G$14:$G$71=$A53)*($E$14:$E$71=1)*(X$14:X$71="N/A")*$F$14:$F$71)))</f>
        <v/>
      </c>
      <c r="Z53" s="22">
        <f>IF(X53="SI",Y53,0)</f>
        <v/>
      </c>
      <c r="AA53" s="22">
        <f>SUM(J53,M53,P53,S53,V53,Y53)</f>
        <v/>
      </c>
      <c r="AB53" s="22">
        <f>SUM(K53,N53,Q53,T53,W53,Z53)</f>
        <v/>
      </c>
      <c r="AC53" s="23">
        <f>IF(AA53=0,"",AB53/AA53)</f>
        <v/>
      </c>
      <c r="AD53" s="22">
        <f>CRITERIOS!Q41</f>
        <v/>
      </c>
      <c r="AE53" s="22">
        <f>IF(AND(E53=1,H53&lt;&gt;"X",((I53="N/A")+(L53="N/A")+(O53="N/A")+(R53="N/A")+(U53="N/A")+(X53="N/A"))&gt;0),"REVISAR","")</f>
        <v/>
      </c>
    </row>
    <row r="54">
      <c r="A54" s="22">
        <f>CRITERIOS!B42</f>
        <v/>
      </c>
      <c r="B54" s="22">
        <f>CRITERIOS!C42</f>
        <v/>
      </c>
      <c r="C54" s="8">
        <f>CRITERIOS!D42</f>
        <v/>
      </c>
      <c r="D54" s="22">
        <f>CRITERIOS!E42</f>
        <v/>
      </c>
      <c r="E54" s="22">
        <f>IFERROR(IF(AND(OR(CRITERIOS!F42="Todos",CRITERIOS!F42=$B$4),INDEX(CRITERIOS!H42:J42,MATCH($B$5,VARIABLES!$E$2:$E$4,0))=1),1,0),0)</f>
        <v/>
      </c>
      <c r="F54" s="22">
        <f>IFERROR(IF(E54=1,INDEX(CRITERIOS!K42:M42,MATCH($B$5,VARIABLES!$E$2:$E$4,0)),0),0)</f>
        <v/>
      </c>
      <c r="G54" s="22">
        <f>IF(CRITERIOS!N42="","",CRITERIOS!N42)</f>
        <v/>
      </c>
      <c r="H54" s="22">
        <f>IF(CRITERIOS!O42="","",CRITERIOS!O42)</f>
        <v/>
      </c>
      <c r="I54" s="21" t="n"/>
      <c r="J54" s="22">
        <f>IF(OR($E54=0,I$78=0),0,IF(AND(I54="N/A",$G54&lt;&gt;""),0,$F54+SUMPRODUCT(($G$14:$G$71=$A54)*($E$14:$E$71=1)*(I$14:I$71="N/A")*$F$14:$F$71)))</f>
        <v/>
      </c>
      <c r="K54" s="22">
        <f>IF(I54="SI",J54,0)</f>
        <v/>
      </c>
      <c r="L54" s="21" t="n"/>
      <c r="M54" s="22">
        <f>IF(OR($E54=0,L$78=0),0,IF(AND(L54="N/A",$G54&lt;&gt;""),0,$F54+SUMPRODUCT(($G$14:$G$71=$A54)*($E$14:$E$71=1)*(L$14:L$71="N/A")*$F$14:$F$71)))</f>
        <v/>
      </c>
      <c r="N54" s="22">
        <f>IF(L54="SI",M54,0)</f>
        <v/>
      </c>
      <c r="O54" s="21" t="n"/>
      <c r="P54" s="22">
        <f>IF(OR($E54=0,O$78=0),0,IF(AND(O54="N/A",$G54&lt;&gt;""),0,$F54+SUMPRODUCT(($G$14:$G$71=$A54)*($E$14:$E$71=1)*(O$14:O$71="N/A")*$F$14:$F$71)))</f>
        <v/>
      </c>
      <c r="Q54" s="22">
        <f>IF(O54="SI",P54,0)</f>
        <v/>
      </c>
      <c r="R54" s="21" t="n"/>
      <c r="S54" s="22">
        <f>IF(OR($E54=0,R$78=0),0,IF(AND(R54="N/A",$G54&lt;&gt;""),0,$F54+SUMPRODUCT(($G$14:$G$71=$A54)*($E$14:$E$71=1)*(R$14:R$71="N/A")*$F$14:$F$71)))</f>
        <v/>
      </c>
      <c r="T54" s="22">
        <f>IF(R54="SI",S54,0)</f>
        <v/>
      </c>
      <c r="U54" s="21" t="n"/>
      <c r="V54" s="22">
        <f>IF(OR($E54=0,U$78=0),0,IF(AND(U54="N/A",$G54&lt;&gt;""),0,$F54+SUMPRODUCT(($G$14:$G$71=$A54)*($E$14:$E$71=1)*(U$14:U$71="N/A")*$F$14:$F$71)))</f>
        <v/>
      </c>
      <c r="W54" s="22">
        <f>IF(U54="SI",V54,0)</f>
        <v/>
      </c>
      <c r="X54" s="21" t="n"/>
      <c r="Y54" s="22">
        <f>IF(OR($E54=0,X$78=0),0,IF(AND(X54="N/A",$G54&lt;&gt;""),0,$F54+SUMPRODUCT(($G$14:$G$71=$A54)*($E$14:$E$71=1)*(X$14:X$71="N/A")*$F$14:$F$71)))</f>
        <v/>
      </c>
      <c r="Z54" s="22">
        <f>IF(X54="SI",Y54,0)</f>
        <v/>
      </c>
      <c r="AA54" s="22">
        <f>SUM(J54,M54,P54,S54,V54,Y54)</f>
        <v/>
      </c>
      <c r="AB54" s="22">
        <f>SUM(K54,N54,Q54,T54,W54,Z54)</f>
        <v/>
      </c>
      <c r="AC54" s="23">
        <f>IF(AA54=0,"",AB54/AA54)</f>
        <v/>
      </c>
      <c r="AD54" s="22">
        <f>CRITERIOS!Q42</f>
        <v/>
      </c>
      <c r="AE54" s="22">
        <f>IF(AND(E54=1,H54&lt;&gt;"X",((I54="N/A")+(L54="N/A")+(O54="N/A")+(R54="N/A")+(U54="N/A")+(X54="N/A"))&gt;0),"REVISAR","")</f>
        <v/>
      </c>
    </row>
    <row r="55">
      <c r="A55" s="24">
        <f>CRITERIOS!B43</f>
        <v/>
      </c>
      <c r="B55" s="24">
        <f>CRITERIOS!C43</f>
        <v/>
      </c>
      <c r="C55" s="25">
        <f>CRITERIOS!D43</f>
        <v/>
      </c>
      <c r="D55" s="24">
        <f>CRITERIOS!E43</f>
        <v/>
      </c>
      <c r="E55" s="24">
        <f>IFERROR(IF(AND(OR(CRITERIOS!F43="Todos",CRITERIOS!F43=$B$4),INDEX(CRITERIOS!H43:J43,MATCH($B$5,VARIABLES!$E$2:$E$4,0))=1),1,0),0)</f>
        <v/>
      </c>
      <c r="F55" s="24">
        <f>IFERROR(IF(E55=1,INDEX(CRITERIOS!K43:M43,MATCH($B$5,VARIABLES!$E$2:$E$4,0)),0),0)</f>
        <v/>
      </c>
      <c r="G55" s="24">
        <f>IF(CRITERIOS!N43="","",CRITERIOS!N43)</f>
        <v/>
      </c>
      <c r="H55" s="24">
        <f>IF(CRITERIOS!O43="","",CRITERIOS!O43)</f>
        <v/>
      </c>
      <c r="I55" s="21" t="n"/>
      <c r="J55" s="22">
        <f>IF(OR($E55=0,I$78=0),0,IF(AND(I55="N/A",$G55&lt;&gt;""),0,$F55+SUMPRODUCT(($G$14:$G$71=$A55)*($E$14:$E$71=1)*(I$14:I$71="N/A")*$F$14:$F$71)))</f>
        <v/>
      </c>
      <c r="K55" s="22">
        <f>IF(I55="SI",J55,0)</f>
        <v/>
      </c>
      <c r="L55" s="21" t="n"/>
      <c r="M55" s="22">
        <f>IF(OR($E55=0,L$78=0),0,IF(AND(L55="N/A",$G55&lt;&gt;""),0,$F55+SUMPRODUCT(($G$14:$G$71=$A55)*($E$14:$E$71=1)*(L$14:L$71="N/A")*$F$14:$F$71)))</f>
        <v/>
      </c>
      <c r="N55" s="22">
        <f>IF(L55="SI",M55,0)</f>
        <v/>
      </c>
      <c r="O55" s="21" t="n"/>
      <c r="P55" s="22">
        <f>IF(OR($E55=0,O$78=0),0,IF(AND(O55="N/A",$G55&lt;&gt;""),0,$F55+SUMPRODUCT(($G$14:$G$71=$A55)*($E$14:$E$71=1)*(O$14:O$71="N/A")*$F$14:$F$71)))</f>
        <v/>
      </c>
      <c r="Q55" s="22">
        <f>IF(O55="SI",P55,0)</f>
        <v/>
      </c>
      <c r="R55" s="21" t="n"/>
      <c r="S55" s="22">
        <f>IF(OR($E55=0,R$78=0),0,IF(AND(R55="N/A",$G55&lt;&gt;""),0,$F55+SUMPRODUCT(($G$14:$G$71=$A55)*($E$14:$E$71=1)*(R$14:R$71="N/A")*$F$14:$F$71)))</f>
        <v/>
      </c>
      <c r="T55" s="22">
        <f>IF(R55="SI",S55,0)</f>
        <v/>
      </c>
      <c r="U55" s="21" t="n"/>
      <c r="V55" s="22">
        <f>IF(OR($E55=0,U$78=0),0,IF(AND(U55="N/A",$G55&lt;&gt;""),0,$F55+SUMPRODUCT(($G$14:$G$71=$A55)*($E$14:$E$71=1)*(U$14:U$71="N/A")*$F$14:$F$71)))</f>
        <v/>
      </c>
      <c r="W55" s="22">
        <f>IF(U55="SI",V55,0)</f>
        <v/>
      </c>
      <c r="X55" s="21" t="n"/>
      <c r="Y55" s="22">
        <f>IF(OR($E55=0,X$78=0),0,IF(AND(X55="N/A",$G55&lt;&gt;""),0,$F55+SUMPRODUCT(($G$14:$G$71=$A55)*($E$14:$E$71=1)*(X$14:X$71="N/A")*$F$14:$F$71)))</f>
        <v/>
      </c>
      <c r="Z55" s="22">
        <f>IF(X55="SI",Y55,0)</f>
        <v/>
      </c>
      <c r="AA55" s="22">
        <f>SUM(J55,M55,P55,S55,V55,Y55)</f>
        <v/>
      </c>
      <c r="AB55" s="22">
        <f>SUM(K55,N55,Q55,T55,W55,Z55)</f>
        <v/>
      </c>
      <c r="AC55" s="23">
        <f>IF(AA55=0,"",AB55/AA55)</f>
        <v/>
      </c>
      <c r="AD55" s="22">
        <f>CRITERIOS!Q43</f>
        <v/>
      </c>
      <c r="AE55" s="22">
        <f>IF(AND(E55=1,H55&lt;&gt;"X",((I55="N/A")+(L55="N/A")+(O55="N/A")+(R55="N/A")+(U55="N/A")+(X55="N/A"))&gt;0),"REVISAR","")</f>
        <v/>
      </c>
    </row>
    <row r="56">
      <c r="A56" s="24">
        <f>CRITERIOS!B44</f>
        <v/>
      </c>
      <c r="B56" s="24">
        <f>CRITERIOS!C44</f>
        <v/>
      </c>
      <c r="C56" s="25">
        <f>CRITERIOS!D44</f>
        <v/>
      </c>
      <c r="D56" s="24">
        <f>CRITERIOS!E44</f>
        <v/>
      </c>
      <c r="E56" s="24">
        <f>IFERROR(IF(AND(OR(CRITERIOS!F44="Todos",CRITERIOS!F44=$B$4),INDEX(CRITERIOS!H44:J44,MATCH($B$5,VARIABLES!$E$2:$E$4,0))=1),1,0),0)</f>
        <v/>
      </c>
      <c r="F56" s="24">
        <f>IFERROR(IF(E56=1,INDEX(CRITERIOS!K44:M44,MATCH($B$5,VARIABLES!$E$2:$E$4,0)),0),0)</f>
        <v/>
      </c>
      <c r="G56" s="24">
        <f>IF(CRITERIOS!N44="","",CRITERIOS!N44)</f>
        <v/>
      </c>
      <c r="H56" s="24">
        <f>IF(CRITERIOS!O44="","",CRITERIOS!O44)</f>
        <v/>
      </c>
      <c r="I56" s="21" t="n"/>
      <c r="J56" s="22">
        <f>IF(OR($E56=0,I$78=0),0,IF(AND(I56="N/A",$G56&lt;&gt;""),0,$F56+SUMPRODUCT(($G$14:$G$71=$A56)*($E$14:$E$71=1)*(I$14:I$71="N/A")*$F$14:$F$71)))</f>
        <v/>
      </c>
      <c r="K56" s="22">
        <f>IF(I56="SI",J56,0)</f>
        <v/>
      </c>
      <c r="L56" s="21" t="n"/>
      <c r="M56" s="22">
        <f>IF(OR($E56=0,L$78=0),0,IF(AND(L56="N/A",$G56&lt;&gt;""),0,$F56+SUMPRODUCT(($G$14:$G$71=$A56)*($E$14:$E$71=1)*(L$14:L$71="N/A")*$F$14:$F$71)))</f>
        <v/>
      </c>
      <c r="N56" s="22">
        <f>IF(L56="SI",M56,0)</f>
        <v/>
      </c>
      <c r="O56" s="21" t="n"/>
      <c r="P56" s="22">
        <f>IF(OR($E56=0,O$78=0),0,IF(AND(O56="N/A",$G56&lt;&gt;""),0,$F56+SUMPRODUCT(($G$14:$G$71=$A56)*($E$14:$E$71=1)*(O$14:O$71="N/A")*$F$14:$F$71)))</f>
        <v/>
      </c>
      <c r="Q56" s="22">
        <f>IF(O56="SI",P56,0)</f>
        <v/>
      </c>
      <c r="R56" s="21" t="n"/>
      <c r="S56" s="22">
        <f>IF(OR($E56=0,R$78=0),0,IF(AND(R56="N/A",$G56&lt;&gt;""),0,$F56+SUMPRODUCT(($G$14:$G$71=$A56)*($E$14:$E$71=1)*(R$14:R$71="N/A")*$F$14:$F$71)))</f>
        <v/>
      </c>
      <c r="T56" s="22">
        <f>IF(R56="SI",S56,0)</f>
        <v/>
      </c>
      <c r="U56" s="21" t="n"/>
      <c r="V56" s="22">
        <f>IF(OR($E56=0,U$78=0),0,IF(AND(U56="N/A",$G56&lt;&gt;""),0,$F56+SUMPRODUCT(($G$14:$G$71=$A56)*($E$14:$E$71=1)*(U$14:U$71="N/A")*$F$14:$F$71)))</f>
        <v/>
      </c>
      <c r="W56" s="22">
        <f>IF(U56="SI",V56,0)</f>
        <v/>
      </c>
      <c r="X56" s="21" t="n"/>
      <c r="Y56" s="22">
        <f>IF(OR($E56=0,X$78=0),0,IF(AND(X56="N/A",$G56&lt;&gt;""),0,$F56+SUMPRODUCT(($G$14:$G$71=$A56)*($E$14:$E$71=1)*(X$14:X$71="N/A")*$F$14:$F$71)))</f>
        <v/>
      </c>
      <c r="Z56" s="22">
        <f>IF(X56="SI",Y56,0)</f>
        <v/>
      </c>
      <c r="AA56" s="22">
        <f>SUM(J56,M56,P56,S56,V56,Y56)</f>
        <v/>
      </c>
      <c r="AB56" s="22">
        <f>SUM(K56,N56,Q56,T56,W56,Z56)</f>
        <v/>
      </c>
      <c r="AC56" s="23">
        <f>IF(AA56=0,"",AB56/AA56)</f>
        <v/>
      </c>
      <c r="AD56" s="22">
        <f>CRITERIOS!Q44</f>
        <v/>
      </c>
      <c r="AE56" s="22">
        <f>IF(AND(E56=1,H56&lt;&gt;"X",((I56="N/A")+(L56="N/A")+(O56="N/A")+(R56="N/A")+(U56="N/A")+(X56="N/A"))&gt;0),"REVISAR","")</f>
        <v/>
      </c>
    </row>
    <row r="57">
      <c r="A57" s="24">
        <f>CRITERIOS!B45</f>
        <v/>
      </c>
      <c r="B57" s="24">
        <f>CRITERIOS!C45</f>
        <v/>
      </c>
      <c r="C57" s="25">
        <f>CRITERIOS!D45</f>
        <v/>
      </c>
      <c r="D57" s="24">
        <f>CRITERIOS!E45</f>
        <v/>
      </c>
      <c r="E57" s="24">
        <f>IFERROR(IF(AND(OR(CRITERIOS!F45="Todos",CRITERIOS!F45=$B$4),INDEX(CRITERIOS!H45:J45,MATCH($B$5,VARIABLES!$E$2:$E$4,0))=1),1,0),0)</f>
        <v/>
      </c>
      <c r="F57" s="24">
        <f>IFERROR(IF(E57=1,INDEX(CRITERIOS!K45:M45,MATCH($B$5,VARIABLES!$E$2:$E$4,0)),0),0)</f>
        <v/>
      </c>
      <c r="G57" s="24">
        <f>IF(CRITERIOS!N45="","",CRITERIOS!N45)</f>
        <v/>
      </c>
      <c r="H57" s="24">
        <f>IF(CRITERIOS!O45="","",CRITERIOS!O45)</f>
        <v/>
      </c>
      <c r="I57" s="21" t="n"/>
      <c r="J57" s="22">
        <f>IF(OR($E57=0,I$78=0),0,IF(AND(I57="N/A",$G57&lt;&gt;""),0,$F57+SUMPRODUCT(($G$14:$G$71=$A57)*($E$14:$E$71=1)*(I$14:I$71="N/A")*$F$14:$F$71)))</f>
        <v/>
      </c>
      <c r="K57" s="22">
        <f>IF(I57="SI",J57,0)</f>
        <v/>
      </c>
      <c r="L57" s="21" t="n"/>
      <c r="M57" s="22">
        <f>IF(OR($E57=0,L$78=0),0,IF(AND(L57="N/A",$G57&lt;&gt;""),0,$F57+SUMPRODUCT(($G$14:$G$71=$A57)*($E$14:$E$71=1)*(L$14:L$71="N/A")*$F$14:$F$71)))</f>
        <v/>
      </c>
      <c r="N57" s="22">
        <f>IF(L57="SI",M57,0)</f>
        <v/>
      </c>
      <c r="O57" s="21" t="n"/>
      <c r="P57" s="22">
        <f>IF(OR($E57=0,O$78=0),0,IF(AND(O57="N/A",$G57&lt;&gt;""),0,$F57+SUMPRODUCT(($G$14:$G$71=$A57)*($E$14:$E$71=1)*(O$14:O$71="N/A")*$F$14:$F$71)))</f>
        <v/>
      </c>
      <c r="Q57" s="22">
        <f>IF(O57="SI",P57,0)</f>
        <v/>
      </c>
      <c r="R57" s="21" t="n"/>
      <c r="S57" s="22">
        <f>IF(OR($E57=0,R$78=0),0,IF(AND(R57="N/A",$G57&lt;&gt;""),0,$F57+SUMPRODUCT(($G$14:$G$71=$A57)*($E$14:$E$71=1)*(R$14:R$71="N/A")*$F$14:$F$71)))</f>
        <v/>
      </c>
      <c r="T57" s="22">
        <f>IF(R57="SI",S57,0)</f>
        <v/>
      </c>
      <c r="U57" s="21" t="n"/>
      <c r="V57" s="22">
        <f>IF(OR($E57=0,U$78=0),0,IF(AND(U57="N/A",$G57&lt;&gt;""),0,$F57+SUMPRODUCT(($G$14:$G$71=$A57)*($E$14:$E$71=1)*(U$14:U$71="N/A")*$F$14:$F$71)))</f>
        <v/>
      </c>
      <c r="W57" s="22">
        <f>IF(U57="SI",V57,0)</f>
        <v/>
      </c>
      <c r="X57" s="21" t="n"/>
      <c r="Y57" s="22">
        <f>IF(OR($E57=0,X$78=0),0,IF(AND(X57="N/A",$G57&lt;&gt;""),0,$F57+SUMPRODUCT(($G$14:$G$71=$A57)*($E$14:$E$71=1)*(X$14:X$71="N/A")*$F$14:$F$71)))</f>
        <v/>
      </c>
      <c r="Z57" s="22">
        <f>IF(X57="SI",Y57,0)</f>
        <v/>
      </c>
      <c r="AA57" s="22">
        <f>SUM(J57,M57,P57,S57,V57,Y57)</f>
        <v/>
      </c>
      <c r="AB57" s="22">
        <f>SUM(K57,N57,Q57,T57,W57,Z57)</f>
        <v/>
      </c>
      <c r="AC57" s="23">
        <f>IF(AA57=0,"",AB57/AA57)</f>
        <v/>
      </c>
      <c r="AD57" s="22">
        <f>CRITERIOS!Q45</f>
        <v/>
      </c>
      <c r="AE57" s="22">
        <f>IF(AND(E57=1,H57&lt;&gt;"X",((I57="N/A")+(L57="N/A")+(O57="N/A")+(R57="N/A")+(U57="N/A")+(X57="N/A"))&gt;0),"REVISAR","")</f>
        <v/>
      </c>
    </row>
    <row r="58">
      <c r="A58" s="24">
        <f>CRITERIOS!B46</f>
        <v/>
      </c>
      <c r="B58" s="24">
        <f>CRITERIOS!C46</f>
        <v/>
      </c>
      <c r="C58" s="25">
        <f>CRITERIOS!D46</f>
        <v/>
      </c>
      <c r="D58" s="24">
        <f>CRITERIOS!E46</f>
        <v/>
      </c>
      <c r="E58" s="24">
        <f>IFERROR(IF(AND(OR(CRITERIOS!F46="Todos",CRITERIOS!F46=$B$4),INDEX(CRITERIOS!H46:J46,MATCH($B$5,VARIABLES!$E$2:$E$4,0))=1),1,0),0)</f>
        <v/>
      </c>
      <c r="F58" s="24">
        <f>IFERROR(IF(E58=1,INDEX(CRITERIOS!K46:M46,MATCH($B$5,VARIABLES!$E$2:$E$4,0)),0),0)</f>
        <v/>
      </c>
      <c r="G58" s="24">
        <f>IF(CRITERIOS!N46="","",CRITERIOS!N46)</f>
        <v/>
      </c>
      <c r="H58" s="24">
        <f>IF(CRITERIOS!O46="","",CRITERIOS!O46)</f>
        <v/>
      </c>
      <c r="I58" s="21" t="n"/>
      <c r="J58" s="22">
        <f>IF(OR($E58=0,I$78=0),0,IF(AND(I58="N/A",$G58&lt;&gt;""),0,$F58+SUMPRODUCT(($G$14:$G$71=$A58)*($E$14:$E$71=1)*(I$14:I$71="N/A")*$F$14:$F$71)))</f>
        <v/>
      </c>
      <c r="K58" s="22">
        <f>IF(I58="SI",J58,0)</f>
        <v/>
      </c>
      <c r="L58" s="21" t="n"/>
      <c r="M58" s="22">
        <f>IF(OR($E58=0,L$78=0),0,IF(AND(L58="N/A",$G58&lt;&gt;""),0,$F58+SUMPRODUCT(($G$14:$G$71=$A58)*($E$14:$E$71=1)*(L$14:L$71="N/A")*$F$14:$F$71)))</f>
        <v/>
      </c>
      <c r="N58" s="22">
        <f>IF(L58="SI",M58,0)</f>
        <v/>
      </c>
      <c r="O58" s="21" t="n"/>
      <c r="P58" s="22">
        <f>IF(OR($E58=0,O$78=0),0,IF(AND(O58="N/A",$G58&lt;&gt;""),0,$F58+SUMPRODUCT(($G$14:$G$71=$A58)*($E$14:$E$71=1)*(O$14:O$71="N/A")*$F$14:$F$71)))</f>
        <v/>
      </c>
      <c r="Q58" s="22">
        <f>IF(O58="SI",P58,0)</f>
        <v/>
      </c>
      <c r="R58" s="21" t="n"/>
      <c r="S58" s="22">
        <f>IF(OR($E58=0,R$78=0),0,IF(AND(R58="N/A",$G58&lt;&gt;""),0,$F58+SUMPRODUCT(($G$14:$G$71=$A58)*($E$14:$E$71=1)*(R$14:R$71="N/A")*$F$14:$F$71)))</f>
        <v/>
      </c>
      <c r="T58" s="22">
        <f>IF(R58="SI",S58,0)</f>
        <v/>
      </c>
      <c r="U58" s="21" t="n"/>
      <c r="V58" s="22">
        <f>IF(OR($E58=0,U$78=0),0,IF(AND(U58="N/A",$G58&lt;&gt;""),0,$F58+SUMPRODUCT(($G$14:$G$71=$A58)*($E$14:$E$71=1)*(U$14:U$71="N/A")*$F$14:$F$71)))</f>
        <v/>
      </c>
      <c r="W58" s="22">
        <f>IF(U58="SI",V58,0)</f>
        <v/>
      </c>
      <c r="X58" s="21" t="n"/>
      <c r="Y58" s="22">
        <f>IF(OR($E58=0,X$78=0),0,IF(AND(X58="N/A",$G58&lt;&gt;""),0,$F58+SUMPRODUCT(($G$14:$G$71=$A58)*($E$14:$E$71=1)*(X$14:X$71="N/A")*$F$14:$F$71)))</f>
        <v/>
      </c>
      <c r="Z58" s="22">
        <f>IF(X58="SI",Y58,0)</f>
        <v/>
      </c>
      <c r="AA58" s="22">
        <f>SUM(J58,M58,P58,S58,V58,Y58)</f>
        <v/>
      </c>
      <c r="AB58" s="22">
        <f>SUM(K58,N58,Q58,T58,W58,Z58)</f>
        <v/>
      </c>
      <c r="AC58" s="23">
        <f>IF(AA58=0,"",AB58/AA58)</f>
        <v/>
      </c>
      <c r="AD58" s="22">
        <f>CRITERIOS!Q46</f>
        <v/>
      </c>
      <c r="AE58" s="22">
        <f>IF(AND(E58=1,H58&lt;&gt;"X",((I58="N/A")+(L58="N/A")+(O58="N/A")+(R58="N/A")+(U58="N/A")+(X58="N/A"))&gt;0),"REVISAR","")</f>
        <v/>
      </c>
    </row>
    <row r="59">
      <c r="A59" s="24">
        <f>CRITERIOS!B47</f>
        <v/>
      </c>
      <c r="B59" s="24">
        <f>CRITERIOS!C47</f>
        <v/>
      </c>
      <c r="C59" s="25">
        <f>CRITERIOS!D47</f>
        <v/>
      </c>
      <c r="D59" s="24">
        <f>CRITERIOS!E47</f>
        <v/>
      </c>
      <c r="E59" s="24">
        <f>IFERROR(IF(AND(OR(CRITERIOS!F47="Todos",CRITERIOS!F47=$B$4),INDEX(CRITERIOS!H47:J47,MATCH($B$5,VARIABLES!$E$2:$E$4,0))=1),1,0),0)</f>
        <v/>
      </c>
      <c r="F59" s="24">
        <f>IFERROR(IF(E59=1,INDEX(CRITERIOS!K47:M47,MATCH($B$5,VARIABLES!$E$2:$E$4,0)),0),0)</f>
        <v/>
      </c>
      <c r="G59" s="24">
        <f>IF(CRITERIOS!N47="","",CRITERIOS!N47)</f>
        <v/>
      </c>
      <c r="H59" s="24">
        <f>IF(CRITERIOS!O47="","",CRITERIOS!O47)</f>
        <v/>
      </c>
      <c r="I59" s="21" t="n"/>
      <c r="J59" s="22">
        <f>IF(OR($E59=0,I$78=0),0,IF(AND(I59="N/A",$G59&lt;&gt;""),0,$F59+SUMPRODUCT(($G$14:$G$71=$A59)*($E$14:$E$71=1)*(I$14:I$71="N/A")*$F$14:$F$71)))</f>
        <v/>
      </c>
      <c r="K59" s="22">
        <f>IF(I59="SI",J59,0)</f>
        <v/>
      </c>
      <c r="L59" s="21" t="n"/>
      <c r="M59" s="22">
        <f>IF(OR($E59=0,L$78=0),0,IF(AND(L59="N/A",$G59&lt;&gt;""),0,$F59+SUMPRODUCT(($G$14:$G$71=$A59)*($E$14:$E$71=1)*(L$14:L$71="N/A")*$F$14:$F$71)))</f>
        <v/>
      </c>
      <c r="N59" s="22">
        <f>IF(L59="SI",M59,0)</f>
        <v/>
      </c>
      <c r="O59" s="21" t="n"/>
      <c r="P59" s="22">
        <f>IF(OR($E59=0,O$78=0),0,IF(AND(O59="N/A",$G59&lt;&gt;""),0,$F59+SUMPRODUCT(($G$14:$G$71=$A59)*($E$14:$E$71=1)*(O$14:O$71="N/A")*$F$14:$F$71)))</f>
        <v/>
      </c>
      <c r="Q59" s="22">
        <f>IF(O59="SI",P59,0)</f>
        <v/>
      </c>
      <c r="R59" s="21" t="n"/>
      <c r="S59" s="22">
        <f>IF(OR($E59=0,R$78=0),0,IF(AND(R59="N/A",$G59&lt;&gt;""),0,$F59+SUMPRODUCT(($G$14:$G$71=$A59)*($E$14:$E$71=1)*(R$14:R$71="N/A")*$F$14:$F$71)))</f>
        <v/>
      </c>
      <c r="T59" s="22">
        <f>IF(R59="SI",S59,0)</f>
        <v/>
      </c>
      <c r="U59" s="21" t="n"/>
      <c r="V59" s="22">
        <f>IF(OR($E59=0,U$78=0),0,IF(AND(U59="N/A",$G59&lt;&gt;""),0,$F59+SUMPRODUCT(($G$14:$G$71=$A59)*($E$14:$E$71=1)*(U$14:U$71="N/A")*$F$14:$F$71)))</f>
        <v/>
      </c>
      <c r="W59" s="22">
        <f>IF(U59="SI",V59,0)</f>
        <v/>
      </c>
      <c r="X59" s="21" t="n"/>
      <c r="Y59" s="22">
        <f>IF(OR($E59=0,X$78=0),0,IF(AND(X59="N/A",$G59&lt;&gt;""),0,$F59+SUMPRODUCT(($G$14:$G$71=$A59)*($E$14:$E$71=1)*(X$14:X$71="N/A")*$F$14:$F$71)))</f>
        <v/>
      </c>
      <c r="Z59" s="22">
        <f>IF(X59="SI",Y59,0)</f>
        <v/>
      </c>
      <c r="AA59" s="22">
        <f>SUM(J59,M59,P59,S59,V59,Y59)</f>
        <v/>
      </c>
      <c r="AB59" s="22">
        <f>SUM(K59,N59,Q59,T59,W59,Z59)</f>
        <v/>
      </c>
      <c r="AC59" s="23">
        <f>IF(AA59=0,"",AB59/AA59)</f>
        <v/>
      </c>
      <c r="AD59" s="22">
        <f>CRITERIOS!Q47</f>
        <v/>
      </c>
      <c r="AE59" s="22">
        <f>IF(AND(E59=1,H59&lt;&gt;"X",((I59="N/A")+(L59="N/A")+(O59="N/A")+(R59="N/A")+(U59="N/A")+(X59="N/A"))&gt;0),"REVISAR","")</f>
        <v/>
      </c>
    </row>
    <row r="60">
      <c r="A60" s="24">
        <f>CRITERIOS!B48</f>
        <v/>
      </c>
      <c r="B60" s="24">
        <f>CRITERIOS!C48</f>
        <v/>
      </c>
      <c r="C60" s="25">
        <f>CRITERIOS!D48</f>
        <v/>
      </c>
      <c r="D60" s="24">
        <f>CRITERIOS!E48</f>
        <v/>
      </c>
      <c r="E60" s="24">
        <f>IFERROR(IF(AND(OR(CRITERIOS!F48="Todos",CRITERIOS!F48=$B$4),INDEX(CRITERIOS!H48:J48,MATCH($B$5,VARIABLES!$E$2:$E$4,0))=1),1,0),0)</f>
        <v/>
      </c>
      <c r="F60" s="24">
        <f>IFERROR(IF(E60=1,INDEX(CRITERIOS!K48:M48,MATCH($B$5,VARIABLES!$E$2:$E$4,0)),0),0)</f>
        <v/>
      </c>
      <c r="G60" s="24">
        <f>IF(CRITERIOS!N48="","",CRITERIOS!N48)</f>
        <v/>
      </c>
      <c r="H60" s="24">
        <f>IF(CRITERIOS!O48="","",CRITERIOS!O48)</f>
        <v/>
      </c>
      <c r="I60" s="21" t="n"/>
      <c r="J60" s="22">
        <f>IF(OR($E60=0,I$78=0),0,IF(AND(I60="N/A",$G60&lt;&gt;""),0,$F60+SUMPRODUCT(($G$14:$G$71=$A60)*($E$14:$E$71=1)*(I$14:I$71="N/A")*$F$14:$F$71)))</f>
        <v/>
      </c>
      <c r="K60" s="22">
        <f>IF(I60="SI",J60,0)</f>
        <v/>
      </c>
      <c r="L60" s="21" t="n"/>
      <c r="M60" s="22">
        <f>IF(OR($E60=0,L$78=0),0,IF(AND(L60="N/A",$G60&lt;&gt;""),0,$F60+SUMPRODUCT(($G$14:$G$71=$A60)*($E$14:$E$71=1)*(L$14:L$71="N/A")*$F$14:$F$71)))</f>
        <v/>
      </c>
      <c r="N60" s="22">
        <f>IF(L60="SI",M60,0)</f>
        <v/>
      </c>
      <c r="O60" s="21" t="n"/>
      <c r="P60" s="22">
        <f>IF(OR($E60=0,O$78=0),0,IF(AND(O60="N/A",$G60&lt;&gt;""),0,$F60+SUMPRODUCT(($G$14:$G$71=$A60)*($E$14:$E$71=1)*(O$14:O$71="N/A")*$F$14:$F$71)))</f>
        <v/>
      </c>
      <c r="Q60" s="22">
        <f>IF(O60="SI",P60,0)</f>
        <v/>
      </c>
      <c r="R60" s="21" t="n"/>
      <c r="S60" s="22">
        <f>IF(OR($E60=0,R$78=0),0,IF(AND(R60="N/A",$G60&lt;&gt;""),0,$F60+SUMPRODUCT(($G$14:$G$71=$A60)*($E$14:$E$71=1)*(R$14:R$71="N/A")*$F$14:$F$71)))</f>
        <v/>
      </c>
      <c r="T60" s="22">
        <f>IF(R60="SI",S60,0)</f>
        <v/>
      </c>
      <c r="U60" s="21" t="n"/>
      <c r="V60" s="22">
        <f>IF(OR($E60=0,U$78=0),0,IF(AND(U60="N/A",$G60&lt;&gt;""),0,$F60+SUMPRODUCT(($G$14:$G$71=$A60)*($E$14:$E$71=1)*(U$14:U$71="N/A")*$F$14:$F$71)))</f>
        <v/>
      </c>
      <c r="W60" s="22">
        <f>IF(U60="SI",V60,0)</f>
        <v/>
      </c>
      <c r="X60" s="21" t="n"/>
      <c r="Y60" s="22">
        <f>IF(OR($E60=0,X$78=0),0,IF(AND(X60="N/A",$G60&lt;&gt;""),0,$F60+SUMPRODUCT(($G$14:$G$71=$A60)*($E$14:$E$71=1)*(X$14:X$71="N/A")*$F$14:$F$71)))</f>
        <v/>
      </c>
      <c r="Z60" s="22">
        <f>IF(X60="SI",Y60,0)</f>
        <v/>
      </c>
      <c r="AA60" s="22">
        <f>SUM(J60,M60,P60,S60,V60,Y60)</f>
        <v/>
      </c>
      <c r="AB60" s="22">
        <f>SUM(K60,N60,Q60,T60,W60,Z60)</f>
        <v/>
      </c>
      <c r="AC60" s="23">
        <f>IF(AA60=0,"",AB60/AA60)</f>
        <v/>
      </c>
      <c r="AD60" s="22">
        <f>CRITERIOS!Q48</f>
        <v/>
      </c>
      <c r="AE60" s="22">
        <f>IF(AND(E60=1,H60&lt;&gt;"X",((I60="N/A")+(L60="N/A")+(O60="N/A")+(R60="N/A")+(U60="N/A")+(X60="N/A"))&gt;0),"REVISAR","")</f>
        <v/>
      </c>
    </row>
    <row r="61">
      <c r="A61" s="22">
        <f>CRITERIOS!B49</f>
        <v/>
      </c>
      <c r="B61" s="22">
        <f>CRITERIOS!C49</f>
        <v/>
      </c>
      <c r="C61" s="8">
        <f>CRITERIOS!D49</f>
        <v/>
      </c>
      <c r="D61" s="22">
        <f>CRITERIOS!E49</f>
        <v/>
      </c>
      <c r="E61" s="22">
        <f>IFERROR(IF(AND(OR(CRITERIOS!F49="Todos",CRITERIOS!F49=$B$4),INDEX(CRITERIOS!H49:J49,MATCH($B$5,VARIABLES!$E$2:$E$4,0))=1),1,0),0)</f>
        <v/>
      </c>
      <c r="F61" s="22">
        <f>IFERROR(IF(E61=1,INDEX(CRITERIOS!K49:M49,MATCH($B$5,VARIABLES!$E$2:$E$4,0)),0),0)</f>
        <v/>
      </c>
      <c r="G61" s="22">
        <f>IF(CRITERIOS!N49="","",CRITERIOS!N49)</f>
        <v/>
      </c>
      <c r="H61" s="22">
        <f>IF(CRITERIOS!O49="","",CRITERIOS!O49)</f>
        <v/>
      </c>
      <c r="I61" s="21" t="n"/>
      <c r="J61" s="22">
        <f>IF(OR($E61=0,I$78=0),0,IF(AND(I61="N/A",$G61&lt;&gt;""),0,$F61+SUMPRODUCT(($G$14:$G$71=$A61)*($E$14:$E$71=1)*(I$14:I$71="N/A")*$F$14:$F$71)))</f>
        <v/>
      </c>
      <c r="K61" s="22">
        <f>IF(I61="SI",J61,0)</f>
        <v/>
      </c>
      <c r="L61" s="21" t="n"/>
      <c r="M61" s="22">
        <f>IF(OR($E61=0,L$78=0),0,IF(AND(L61="N/A",$G61&lt;&gt;""),0,$F61+SUMPRODUCT(($G$14:$G$71=$A61)*($E$14:$E$71=1)*(L$14:L$71="N/A")*$F$14:$F$71)))</f>
        <v/>
      </c>
      <c r="N61" s="22">
        <f>IF(L61="SI",M61,0)</f>
        <v/>
      </c>
      <c r="O61" s="21" t="n"/>
      <c r="P61" s="22">
        <f>IF(OR($E61=0,O$78=0),0,IF(AND(O61="N/A",$G61&lt;&gt;""),0,$F61+SUMPRODUCT(($G$14:$G$71=$A61)*($E$14:$E$71=1)*(O$14:O$71="N/A")*$F$14:$F$71)))</f>
        <v/>
      </c>
      <c r="Q61" s="22">
        <f>IF(O61="SI",P61,0)</f>
        <v/>
      </c>
      <c r="R61" s="21" t="n"/>
      <c r="S61" s="22">
        <f>IF(OR($E61=0,R$78=0),0,IF(AND(R61="N/A",$G61&lt;&gt;""),0,$F61+SUMPRODUCT(($G$14:$G$71=$A61)*($E$14:$E$71=1)*(R$14:R$71="N/A")*$F$14:$F$71)))</f>
        <v/>
      </c>
      <c r="T61" s="22">
        <f>IF(R61="SI",S61,0)</f>
        <v/>
      </c>
      <c r="U61" s="21" t="n"/>
      <c r="V61" s="22">
        <f>IF(OR($E61=0,U$78=0),0,IF(AND(U61="N/A",$G61&lt;&gt;""),0,$F61+SUMPRODUCT(($G$14:$G$71=$A61)*($E$14:$E$71=1)*(U$14:U$71="N/A")*$F$14:$F$71)))</f>
        <v/>
      </c>
      <c r="W61" s="22">
        <f>IF(U61="SI",V61,0)</f>
        <v/>
      </c>
      <c r="X61" s="21" t="n"/>
      <c r="Y61" s="22">
        <f>IF(OR($E61=0,X$78=0),0,IF(AND(X61="N/A",$G61&lt;&gt;""),0,$F61+SUMPRODUCT(($G$14:$G$71=$A61)*($E$14:$E$71=1)*(X$14:X$71="N/A")*$F$14:$F$71)))</f>
        <v/>
      </c>
      <c r="Z61" s="22">
        <f>IF(X61="SI",Y61,0)</f>
        <v/>
      </c>
      <c r="AA61" s="22">
        <f>SUM(J61,M61,P61,S61,V61,Y61)</f>
        <v/>
      </c>
      <c r="AB61" s="22">
        <f>SUM(K61,N61,Q61,T61,W61,Z61)</f>
        <v/>
      </c>
      <c r="AC61" s="23">
        <f>IF(AA61=0,"",AB61/AA61)</f>
        <v/>
      </c>
      <c r="AD61" s="22">
        <f>CRITERIOS!Q49</f>
        <v/>
      </c>
      <c r="AE61" s="22">
        <f>IF(AND(E61=1,H61&lt;&gt;"X",((I61="N/A")+(L61="N/A")+(O61="N/A")+(R61="N/A")+(U61="N/A")+(X61="N/A"))&gt;0),"REVISAR","")</f>
        <v/>
      </c>
    </row>
    <row r="62">
      <c r="A62" s="24">
        <f>CRITERIOS!B50</f>
        <v/>
      </c>
      <c r="B62" s="24">
        <f>CRITERIOS!C50</f>
        <v/>
      </c>
      <c r="C62" s="25">
        <f>CRITERIOS!D50</f>
        <v/>
      </c>
      <c r="D62" s="24">
        <f>CRITERIOS!E50</f>
        <v/>
      </c>
      <c r="E62" s="24">
        <f>IFERROR(IF(AND(OR(CRITERIOS!F50="Todos",CRITERIOS!F50=$B$4),INDEX(CRITERIOS!H50:J50,MATCH($B$5,VARIABLES!$E$2:$E$4,0))=1),1,0),0)</f>
        <v/>
      </c>
      <c r="F62" s="24">
        <f>IFERROR(IF(E62=1,INDEX(CRITERIOS!K50:M50,MATCH($B$5,VARIABLES!$E$2:$E$4,0)),0),0)</f>
        <v/>
      </c>
      <c r="G62" s="24">
        <f>IF(CRITERIOS!N50="","",CRITERIOS!N50)</f>
        <v/>
      </c>
      <c r="H62" s="24">
        <f>IF(CRITERIOS!O50="","",CRITERIOS!O50)</f>
        <v/>
      </c>
      <c r="I62" s="21" t="n"/>
      <c r="J62" s="22">
        <f>IF(OR($E62=0,I$78=0),0,IF(AND(I62="N/A",$G62&lt;&gt;""),0,$F62+SUMPRODUCT(($G$14:$G$71=$A62)*($E$14:$E$71=1)*(I$14:I$71="N/A")*$F$14:$F$71)))</f>
        <v/>
      </c>
      <c r="K62" s="22">
        <f>IF(I62="SI",J62,0)</f>
        <v/>
      </c>
      <c r="L62" s="21" t="n"/>
      <c r="M62" s="22">
        <f>IF(OR($E62=0,L$78=0),0,IF(AND(L62="N/A",$G62&lt;&gt;""),0,$F62+SUMPRODUCT(($G$14:$G$71=$A62)*($E$14:$E$71=1)*(L$14:L$71="N/A")*$F$14:$F$71)))</f>
        <v/>
      </c>
      <c r="N62" s="22">
        <f>IF(L62="SI",M62,0)</f>
        <v/>
      </c>
      <c r="O62" s="21" t="n"/>
      <c r="P62" s="22">
        <f>IF(OR($E62=0,O$78=0),0,IF(AND(O62="N/A",$G62&lt;&gt;""),0,$F62+SUMPRODUCT(($G$14:$G$71=$A62)*($E$14:$E$71=1)*(O$14:O$71="N/A")*$F$14:$F$71)))</f>
        <v/>
      </c>
      <c r="Q62" s="22">
        <f>IF(O62="SI",P62,0)</f>
        <v/>
      </c>
      <c r="R62" s="21" t="n"/>
      <c r="S62" s="22">
        <f>IF(OR($E62=0,R$78=0),0,IF(AND(R62="N/A",$G62&lt;&gt;""),0,$F62+SUMPRODUCT(($G$14:$G$71=$A62)*($E$14:$E$71=1)*(R$14:R$71="N/A")*$F$14:$F$71)))</f>
        <v/>
      </c>
      <c r="T62" s="22">
        <f>IF(R62="SI",S62,0)</f>
        <v/>
      </c>
      <c r="U62" s="21" t="n"/>
      <c r="V62" s="22">
        <f>IF(OR($E62=0,U$78=0),0,IF(AND(U62="N/A",$G62&lt;&gt;""),0,$F62+SUMPRODUCT(($G$14:$G$71=$A62)*($E$14:$E$71=1)*(U$14:U$71="N/A")*$F$14:$F$71)))</f>
        <v/>
      </c>
      <c r="W62" s="22">
        <f>IF(U62="SI",V62,0)</f>
        <v/>
      </c>
      <c r="X62" s="21" t="n"/>
      <c r="Y62" s="22">
        <f>IF(OR($E62=0,X$78=0),0,IF(AND(X62="N/A",$G62&lt;&gt;""),0,$F62+SUMPRODUCT(($G$14:$G$71=$A62)*($E$14:$E$71=1)*(X$14:X$71="N/A")*$F$14:$F$71)))</f>
        <v/>
      </c>
      <c r="Z62" s="22">
        <f>IF(X62="SI",Y62,0)</f>
        <v/>
      </c>
      <c r="AA62" s="22">
        <f>SUM(J62,M62,P62,S62,V62,Y62)</f>
        <v/>
      </c>
      <c r="AB62" s="22">
        <f>SUM(K62,N62,Q62,T62,W62,Z62)</f>
        <v/>
      </c>
      <c r="AC62" s="23">
        <f>IF(AA62=0,"",AB62/AA62)</f>
        <v/>
      </c>
      <c r="AD62" s="22">
        <f>CRITERIOS!Q50</f>
        <v/>
      </c>
      <c r="AE62" s="22">
        <f>IF(AND(E62=1,H62&lt;&gt;"X",((I62="N/A")+(L62="N/A")+(O62="N/A")+(R62="N/A")+(U62="N/A")+(X62="N/A"))&gt;0),"REVISAR","")</f>
        <v/>
      </c>
    </row>
    <row r="63">
      <c r="A63" s="24">
        <f>CRITERIOS!B51</f>
        <v/>
      </c>
      <c r="B63" s="24">
        <f>CRITERIOS!C51</f>
        <v/>
      </c>
      <c r="C63" s="25">
        <f>CRITERIOS!D51</f>
        <v/>
      </c>
      <c r="D63" s="24">
        <f>CRITERIOS!E51</f>
        <v/>
      </c>
      <c r="E63" s="24">
        <f>IFERROR(IF(AND(OR(CRITERIOS!F51="Todos",CRITERIOS!F51=$B$4),INDEX(CRITERIOS!H51:J51,MATCH($B$5,VARIABLES!$E$2:$E$4,0))=1),1,0),0)</f>
        <v/>
      </c>
      <c r="F63" s="24">
        <f>IFERROR(IF(E63=1,INDEX(CRITERIOS!K51:M51,MATCH($B$5,VARIABLES!$E$2:$E$4,0)),0),0)</f>
        <v/>
      </c>
      <c r="G63" s="24">
        <f>IF(CRITERIOS!N51="","",CRITERIOS!N51)</f>
        <v/>
      </c>
      <c r="H63" s="24">
        <f>IF(CRITERIOS!O51="","",CRITERIOS!O51)</f>
        <v/>
      </c>
      <c r="I63" s="21" t="n"/>
      <c r="J63" s="22">
        <f>IF(OR($E63=0,I$78=0),0,IF(AND(I63="N/A",$G63&lt;&gt;""),0,$F63+SUMPRODUCT(($G$14:$G$71=$A63)*($E$14:$E$71=1)*(I$14:I$71="N/A")*$F$14:$F$71)))</f>
        <v/>
      </c>
      <c r="K63" s="22">
        <f>IF(I63="SI",J63,0)</f>
        <v/>
      </c>
      <c r="L63" s="21" t="n"/>
      <c r="M63" s="22">
        <f>IF(OR($E63=0,L$78=0),0,IF(AND(L63="N/A",$G63&lt;&gt;""),0,$F63+SUMPRODUCT(($G$14:$G$71=$A63)*($E$14:$E$71=1)*(L$14:L$71="N/A")*$F$14:$F$71)))</f>
        <v/>
      </c>
      <c r="N63" s="22">
        <f>IF(L63="SI",M63,0)</f>
        <v/>
      </c>
      <c r="O63" s="21" t="n"/>
      <c r="P63" s="22">
        <f>IF(OR($E63=0,O$78=0),0,IF(AND(O63="N/A",$G63&lt;&gt;""),0,$F63+SUMPRODUCT(($G$14:$G$71=$A63)*($E$14:$E$71=1)*(O$14:O$71="N/A")*$F$14:$F$71)))</f>
        <v/>
      </c>
      <c r="Q63" s="22">
        <f>IF(O63="SI",P63,0)</f>
        <v/>
      </c>
      <c r="R63" s="21" t="n"/>
      <c r="S63" s="22">
        <f>IF(OR($E63=0,R$78=0),0,IF(AND(R63="N/A",$G63&lt;&gt;""),0,$F63+SUMPRODUCT(($G$14:$G$71=$A63)*($E$14:$E$71=1)*(R$14:R$71="N/A")*$F$14:$F$71)))</f>
        <v/>
      </c>
      <c r="T63" s="22">
        <f>IF(R63="SI",S63,0)</f>
        <v/>
      </c>
      <c r="U63" s="21" t="n"/>
      <c r="V63" s="22">
        <f>IF(OR($E63=0,U$78=0),0,IF(AND(U63="N/A",$G63&lt;&gt;""),0,$F63+SUMPRODUCT(($G$14:$G$71=$A63)*($E$14:$E$71=1)*(U$14:U$71="N/A")*$F$14:$F$71)))</f>
        <v/>
      </c>
      <c r="W63" s="22">
        <f>IF(U63="SI",V63,0)</f>
        <v/>
      </c>
      <c r="X63" s="21" t="n"/>
      <c r="Y63" s="22">
        <f>IF(OR($E63=0,X$78=0),0,IF(AND(X63="N/A",$G63&lt;&gt;""),0,$F63+SUMPRODUCT(($G$14:$G$71=$A63)*($E$14:$E$71=1)*(X$14:X$71="N/A")*$F$14:$F$71)))</f>
        <v/>
      </c>
      <c r="Z63" s="22">
        <f>IF(X63="SI",Y63,0)</f>
        <v/>
      </c>
      <c r="AA63" s="22">
        <f>SUM(J63,M63,P63,S63,V63,Y63)</f>
        <v/>
      </c>
      <c r="AB63" s="22">
        <f>SUM(K63,N63,Q63,T63,W63,Z63)</f>
        <v/>
      </c>
      <c r="AC63" s="23">
        <f>IF(AA63=0,"",AB63/AA63)</f>
        <v/>
      </c>
      <c r="AD63" s="22">
        <f>CRITERIOS!Q51</f>
        <v/>
      </c>
      <c r="AE63" s="22">
        <f>IF(AND(E63=1,H63&lt;&gt;"X",((I63="N/A")+(L63="N/A")+(O63="N/A")+(R63="N/A")+(U63="N/A")+(X63="N/A"))&gt;0),"REVISAR","")</f>
        <v/>
      </c>
    </row>
    <row r="64">
      <c r="A64" s="22">
        <f>CRITERIOS!B52</f>
        <v/>
      </c>
      <c r="B64" s="22">
        <f>CRITERIOS!C52</f>
        <v/>
      </c>
      <c r="C64" s="8">
        <f>CRITERIOS!D52</f>
        <v/>
      </c>
      <c r="D64" s="22">
        <f>CRITERIOS!E52</f>
        <v/>
      </c>
      <c r="E64" s="22">
        <f>IFERROR(IF(AND(OR(CRITERIOS!F52="Todos",CRITERIOS!F52=$B$4),INDEX(CRITERIOS!H52:J52,MATCH($B$5,VARIABLES!$E$2:$E$4,0))=1),1,0),0)</f>
        <v/>
      </c>
      <c r="F64" s="22">
        <f>IFERROR(IF(E64=1,INDEX(CRITERIOS!K52:M52,MATCH($B$5,VARIABLES!$E$2:$E$4,0)),0),0)</f>
        <v/>
      </c>
      <c r="G64" s="22">
        <f>IF(CRITERIOS!N52="","",CRITERIOS!N52)</f>
        <v/>
      </c>
      <c r="H64" s="22">
        <f>IF(CRITERIOS!O52="","",CRITERIOS!O52)</f>
        <v/>
      </c>
      <c r="I64" s="21" t="n"/>
      <c r="J64" s="22">
        <f>IF(OR($E64=0,I$78=0),0,IF(AND(I64="N/A",$G64&lt;&gt;""),0,$F64+SUMPRODUCT(($G$14:$G$71=$A64)*($E$14:$E$71=1)*(I$14:I$71="N/A")*$F$14:$F$71)))</f>
        <v/>
      </c>
      <c r="K64" s="22">
        <f>IF(I64="SI",J64,0)</f>
        <v/>
      </c>
      <c r="L64" s="21" t="n"/>
      <c r="M64" s="22">
        <f>IF(OR($E64=0,L$78=0),0,IF(AND(L64="N/A",$G64&lt;&gt;""),0,$F64+SUMPRODUCT(($G$14:$G$71=$A64)*($E$14:$E$71=1)*(L$14:L$71="N/A")*$F$14:$F$71)))</f>
        <v/>
      </c>
      <c r="N64" s="22">
        <f>IF(L64="SI",M64,0)</f>
        <v/>
      </c>
      <c r="O64" s="21" t="n"/>
      <c r="P64" s="22">
        <f>IF(OR($E64=0,O$78=0),0,IF(AND(O64="N/A",$G64&lt;&gt;""),0,$F64+SUMPRODUCT(($G$14:$G$71=$A64)*($E$14:$E$71=1)*(O$14:O$71="N/A")*$F$14:$F$71)))</f>
        <v/>
      </c>
      <c r="Q64" s="22">
        <f>IF(O64="SI",P64,0)</f>
        <v/>
      </c>
      <c r="R64" s="21" t="n"/>
      <c r="S64" s="22">
        <f>IF(OR($E64=0,R$78=0),0,IF(AND(R64="N/A",$G64&lt;&gt;""),0,$F64+SUMPRODUCT(($G$14:$G$71=$A64)*($E$14:$E$71=1)*(R$14:R$71="N/A")*$F$14:$F$71)))</f>
        <v/>
      </c>
      <c r="T64" s="22">
        <f>IF(R64="SI",S64,0)</f>
        <v/>
      </c>
      <c r="U64" s="21" t="n"/>
      <c r="V64" s="22">
        <f>IF(OR($E64=0,U$78=0),0,IF(AND(U64="N/A",$G64&lt;&gt;""),0,$F64+SUMPRODUCT(($G$14:$G$71=$A64)*($E$14:$E$71=1)*(U$14:U$71="N/A")*$F$14:$F$71)))</f>
        <v/>
      </c>
      <c r="W64" s="22">
        <f>IF(U64="SI",V64,0)</f>
        <v/>
      </c>
      <c r="X64" s="21" t="n"/>
      <c r="Y64" s="22">
        <f>IF(OR($E64=0,X$78=0),0,IF(AND(X64="N/A",$G64&lt;&gt;""),0,$F64+SUMPRODUCT(($G$14:$G$71=$A64)*($E$14:$E$71=1)*(X$14:X$71="N/A")*$F$14:$F$71)))</f>
        <v/>
      </c>
      <c r="Z64" s="22">
        <f>IF(X64="SI",Y64,0)</f>
        <v/>
      </c>
      <c r="AA64" s="22">
        <f>SUM(J64,M64,P64,S64,V64,Y64)</f>
        <v/>
      </c>
      <c r="AB64" s="22">
        <f>SUM(K64,N64,Q64,T64,W64,Z64)</f>
        <v/>
      </c>
      <c r="AC64" s="23">
        <f>IF(AA64=0,"",AB64/AA64)</f>
        <v/>
      </c>
      <c r="AD64" s="22">
        <f>CRITERIOS!Q52</f>
        <v/>
      </c>
      <c r="AE64" s="22">
        <f>IF(AND(E64=1,H64&lt;&gt;"X",((I64="N/A")+(L64="N/A")+(O64="N/A")+(R64="N/A")+(U64="N/A")+(X64="N/A"))&gt;0),"REVISAR","")</f>
        <v/>
      </c>
    </row>
    <row r="65">
      <c r="A65" s="24">
        <f>CRITERIOS!B53</f>
        <v/>
      </c>
      <c r="B65" s="24">
        <f>CRITERIOS!C53</f>
        <v/>
      </c>
      <c r="C65" s="25">
        <f>CRITERIOS!D53</f>
        <v/>
      </c>
      <c r="D65" s="24">
        <f>CRITERIOS!E53</f>
        <v/>
      </c>
      <c r="E65" s="24">
        <f>IFERROR(IF(AND(OR(CRITERIOS!F53="Todos",CRITERIOS!F53=$B$4),INDEX(CRITERIOS!H53:J53,MATCH($B$5,VARIABLES!$E$2:$E$4,0))=1),1,0),0)</f>
        <v/>
      </c>
      <c r="F65" s="24">
        <f>IFERROR(IF(E65=1,INDEX(CRITERIOS!K53:M53,MATCH($B$5,VARIABLES!$E$2:$E$4,0)),0),0)</f>
        <v/>
      </c>
      <c r="G65" s="24">
        <f>IF(CRITERIOS!N53="","",CRITERIOS!N53)</f>
        <v/>
      </c>
      <c r="H65" s="24">
        <f>IF(CRITERIOS!O53="","",CRITERIOS!O53)</f>
        <v/>
      </c>
      <c r="I65" s="21" t="n"/>
      <c r="J65" s="22">
        <f>IF(OR($E65=0,I$78=0),0,IF(AND(I65="N/A",$G65&lt;&gt;""),0,$F65+SUMPRODUCT(($G$14:$G$71=$A65)*($E$14:$E$71=1)*(I$14:I$71="N/A")*$F$14:$F$71)))</f>
        <v/>
      </c>
      <c r="K65" s="22">
        <f>IF(I65="SI",J65,0)</f>
        <v/>
      </c>
      <c r="L65" s="21" t="n"/>
      <c r="M65" s="22">
        <f>IF(OR($E65=0,L$78=0),0,IF(AND(L65="N/A",$G65&lt;&gt;""),0,$F65+SUMPRODUCT(($G$14:$G$71=$A65)*($E$14:$E$71=1)*(L$14:L$71="N/A")*$F$14:$F$71)))</f>
        <v/>
      </c>
      <c r="N65" s="22">
        <f>IF(L65="SI",M65,0)</f>
        <v/>
      </c>
      <c r="O65" s="21" t="n"/>
      <c r="P65" s="22">
        <f>IF(OR($E65=0,O$78=0),0,IF(AND(O65="N/A",$G65&lt;&gt;""),0,$F65+SUMPRODUCT(($G$14:$G$71=$A65)*($E$14:$E$71=1)*(O$14:O$71="N/A")*$F$14:$F$71)))</f>
        <v/>
      </c>
      <c r="Q65" s="22">
        <f>IF(O65="SI",P65,0)</f>
        <v/>
      </c>
      <c r="R65" s="21" t="n"/>
      <c r="S65" s="22">
        <f>IF(OR($E65=0,R$78=0),0,IF(AND(R65="N/A",$G65&lt;&gt;""),0,$F65+SUMPRODUCT(($G$14:$G$71=$A65)*($E$14:$E$71=1)*(R$14:R$71="N/A")*$F$14:$F$71)))</f>
        <v/>
      </c>
      <c r="T65" s="22">
        <f>IF(R65="SI",S65,0)</f>
        <v/>
      </c>
      <c r="U65" s="21" t="n"/>
      <c r="V65" s="22">
        <f>IF(OR($E65=0,U$78=0),0,IF(AND(U65="N/A",$G65&lt;&gt;""),0,$F65+SUMPRODUCT(($G$14:$G$71=$A65)*($E$14:$E$71=1)*(U$14:U$71="N/A")*$F$14:$F$71)))</f>
        <v/>
      </c>
      <c r="W65" s="22">
        <f>IF(U65="SI",V65,0)</f>
        <v/>
      </c>
      <c r="X65" s="21" t="n"/>
      <c r="Y65" s="22">
        <f>IF(OR($E65=0,X$78=0),0,IF(AND(X65="N/A",$G65&lt;&gt;""),0,$F65+SUMPRODUCT(($G$14:$G$71=$A65)*($E$14:$E$71=1)*(X$14:X$71="N/A")*$F$14:$F$71)))</f>
        <v/>
      </c>
      <c r="Z65" s="22">
        <f>IF(X65="SI",Y65,0)</f>
        <v/>
      </c>
      <c r="AA65" s="22">
        <f>SUM(J65,M65,P65,S65,V65,Y65)</f>
        <v/>
      </c>
      <c r="AB65" s="22">
        <f>SUM(K65,N65,Q65,T65,W65,Z65)</f>
        <v/>
      </c>
      <c r="AC65" s="23">
        <f>IF(AA65=0,"",AB65/AA65)</f>
        <v/>
      </c>
      <c r="AD65" s="22">
        <f>CRITERIOS!Q53</f>
        <v/>
      </c>
      <c r="AE65" s="22">
        <f>IF(AND(E65=1,H65&lt;&gt;"X",((I65="N/A")+(L65="N/A")+(O65="N/A")+(R65="N/A")+(U65="N/A")+(X65="N/A"))&gt;0),"REVISAR","")</f>
        <v/>
      </c>
    </row>
    <row r="66">
      <c r="A66" s="24">
        <f>CRITERIOS!B54</f>
        <v/>
      </c>
      <c r="B66" s="24">
        <f>CRITERIOS!C54</f>
        <v/>
      </c>
      <c r="C66" s="25">
        <f>CRITERIOS!D54</f>
        <v/>
      </c>
      <c r="D66" s="24">
        <f>CRITERIOS!E54</f>
        <v/>
      </c>
      <c r="E66" s="24">
        <f>IFERROR(IF(AND(OR(CRITERIOS!F54="Todos",CRITERIOS!F54=$B$4),INDEX(CRITERIOS!H54:J54,MATCH($B$5,VARIABLES!$E$2:$E$4,0))=1),1,0),0)</f>
        <v/>
      </c>
      <c r="F66" s="24">
        <f>IFERROR(IF(E66=1,INDEX(CRITERIOS!K54:M54,MATCH($B$5,VARIABLES!$E$2:$E$4,0)),0),0)</f>
        <v/>
      </c>
      <c r="G66" s="24">
        <f>IF(CRITERIOS!N54="","",CRITERIOS!N54)</f>
        <v/>
      </c>
      <c r="H66" s="24">
        <f>IF(CRITERIOS!O54="","",CRITERIOS!O54)</f>
        <v/>
      </c>
      <c r="I66" s="21" t="n"/>
      <c r="J66" s="22">
        <f>IF(OR($E66=0,I$78=0),0,IF(AND(I66="N/A",$G66&lt;&gt;""),0,$F66+SUMPRODUCT(($G$14:$G$71=$A66)*($E$14:$E$71=1)*(I$14:I$71="N/A")*$F$14:$F$71)))</f>
        <v/>
      </c>
      <c r="K66" s="22">
        <f>IF(I66="SI",J66,0)</f>
        <v/>
      </c>
      <c r="L66" s="21" t="n"/>
      <c r="M66" s="22">
        <f>IF(OR($E66=0,L$78=0),0,IF(AND(L66="N/A",$G66&lt;&gt;""),0,$F66+SUMPRODUCT(($G$14:$G$71=$A66)*($E$14:$E$71=1)*(L$14:L$71="N/A")*$F$14:$F$71)))</f>
        <v/>
      </c>
      <c r="N66" s="22">
        <f>IF(L66="SI",M66,0)</f>
        <v/>
      </c>
      <c r="O66" s="21" t="n"/>
      <c r="P66" s="22">
        <f>IF(OR($E66=0,O$78=0),0,IF(AND(O66="N/A",$G66&lt;&gt;""),0,$F66+SUMPRODUCT(($G$14:$G$71=$A66)*($E$14:$E$71=1)*(O$14:O$71="N/A")*$F$14:$F$71)))</f>
        <v/>
      </c>
      <c r="Q66" s="22">
        <f>IF(O66="SI",P66,0)</f>
        <v/>
      </c>
      <c r="R66" s="21" t="n"/>
      <c r="S66" s="22">
        <f>IF(OR($E66=0,R$78=0),0,IF(AND(R66="N/A",$G66&lt;&gt;""),0,$F66+SUMPRODUCT(($G$14:$G$71=$A66)*($E$14:$E$71=1)*(R$14:R$71="N/A")*$F$14:$F$71)))</f>
        <v/>
      </c>
      <c r="T66" s="22">
        <f>IF(R66="SI",S66,0)</f>
        <v/>
      </c>
      <c r="U66" s="21" t="n"/>
      <c r="V66" s="22">
        <f>IF(OR($E66=0,U$78=0),0,IF(AND(U66="N/A",$G66&lt;&gt;""),0,$F66+SUMPRODUCT(($G$14:$G$71=$A66)*($E$14:$E$71=1)*(U$14:U$71="N/A")*$F$14:$F$71)))</f>
        <v/>
      </c>
      <c r="W66" s="22">
        <f>IF(U66="SI",V66,0)</f>
        <v/>
      </c>
      <c r="X66" s="21" t="n"/>
      <c r="Y66" s="22">
        <f>IF(OR($E66=0,X$78=0),0,IF(AND(X66="N/A",$G66&lt;&gt;""),0,$F66+SUMPRODUCT(($G$14:$G$71=$A66)*($E$14:$E$71=1)*(X$14:X$71="N/A")*$F$14:$F$71)))</f>
        <v/>
      </c>
      <c r="Z66" s="22">
        <f>IF(X66="SI",Y66,0)</f>
        <v/>
      </c>
      <c r="AA66" s="22">
        <f>SUM(J66,M66,P66,S66,V66,Y66)</f>
        <v/>
      </c>
      <c r="AB66" s="22">
        <f>SUM(K66,N66,Q66,T66,W66,Z66)</f>
        <v/>
      </c>
      <c r="AC66" s="23">
        <f>IF(AA66=0,"",AB66/AA66)</f>
        <v/>
      </c>
      <c r="AD66" s="22">
        <f>CRITERIOS!Q54</f>
        <v/>
      </c>
      <c r="AE66" s="22">
        <f>IF(AND(E66=1,H66&lt;&gt;"X",((I66="N/A")+(L66="N/A")+(O66="N/A")+(R66="N/A")+(U66="N/A")+(X66="N/A"))&gt;0),"REVISAR","")</f>
        <v/>
      </c>
    </row>
    <row r="67">
      <c r="A67" s="24">
        <f>CRITERIOS!B55</f>
        <v/>
      </c>
      <c r="B67" s="24">
        <f>CRITERIOS!C55</f>
        <v/>
      </c>
      <c r="C67" s="25">
        <f>CRITERIOS!D55</f>
        <v/>
      </c>
      <c r="D67" s="24">
        <f>CRITERIOS!E55</f>
        <v/>
      </c>
      <c r="E67" s="24">
        <f>IFERROR(IF(AND(OR(CRITERIOS!F55="Todos",CRITERIOS!F55=$B$4),INDEX(CRITERIOS!H55:J55,MATCH($B$5,VARIABLES!$E$2:$E$4,0))=1),1,0),0)</f>
        <v/>
      </c>
      <c r="F67" s="24">
        <f>IFERROR(IF(E67=1,INDEX(CRITERIOS!K55:M55,MATCH($B$5,VARIABLES!$E$2:$E$4,0)),0),0)</f>
        <v/>
      </c>
      <c r="G67" s="24">
        <f>IF(CRITERIOS!N55="","",CRITERIOS!N55)</f>
        <v/>
      </c>
      <c r="H67" s="24">
        <f>IF(CRITERIOS!O55="","",CRITERIOS!O55)</f>
        <v/>
      </c>
      <c r="I67" s="21" t="n"/>
      <c r="J67" s="22">
        <f>IF(OR($E67=0,I$78=0),0,IF(AND(I67="N/A",$G67&lt;&gt;""),0,$F67+SUMPRODUCT(($G$14:$G$71=$A67)*($E$14:$E$71=1)*(I$14:I$71="N/A")*$F$14:$F$71)))</f>
        <v/>
      </c>
      <c r="K67" s="22">
        <f>IF(I67="SI",J67,0)</f>
        <v/>
      </c>
      <c r="L67" s="21" t="n"/>
      <c r="M67" s="22">
        <f>IF(OR($E67=0,L$78=0),0,IF(AND(L67="N/A",$G67&lt;&gt;""),0,$F67+SUMPRODUCT(($G$14:$G$71=$A67)*($E$14:$E$71=1)*(L$14:L$71="N/A")*$F$14:$F$71)))</f>
        <v/>
      </c>
      <c r="N67" s="22">
        <f>IF(L67="SI",M67,0)</f>
        <v/>
      </c>
      <c r="O67" s="21" t="n"/>
      <c r="P67" s="22">
        <f>IF(OR($E67=0,O$78=0),0,IF(AND(O67="N/A",$G67&lt;&gt;""),0,$F67+SUMPRODUCT(($G$14:$G$71=$A67)*($E$14:$E$71=1)*(O$14:O$71="N/A")*$F$14:$F$71)))</f>
        <v/>
      </c>
      <c r="Q67" s="22">
        <f>IF(O67="SI",P67,0)</f>
        <v/>
      </c>
      <c r="R67" s="21" t="n"/>
      <c r="S67" s="22">
        <f>IF(OR($E67=0,R$78=0),0,IF(AND(R67="N/A",$G67&lt;&gt;""),0,$F67+SUMPRODUCT(($G$14:$G$71=$A67)*($E$14:$E$71=1)*(R$14:R$71="N/A")*$F$14:$F$71)))</f>
        <v/>
      </c>
      <c r="T67" s="22">
        <f>IF(R67="SI",S67,0)</f>
        <v/>
      </c>
      <c r="U67" s="21" t="n"/>
      <c r="V67" s="22">
        <f>IF(OR($E67=0,U$78=0),0,IF(AND(U67="N/A",$G67&lt;&gt;""),0,$F67+SUMPRODUCT(($G$14:$G$71=$A67)*($E$14:$E$71=1)*(U$14:U$71="N/A")*$F$14:$F$71)))</f>
        <v/>
      </c>
      <c r="W67" s="22">
        <f>IF(U67="SI",V67,0)</f>
        <v/>
      </c>
      <c r="X67" s="21" t="n"/>
      <c r="Y67" s="22">
        <f>IF(OR($E67=0,X$78=0),0,IF(AND(X67="N/A",$G67&lt;&gt;""),0,$F67+SUMPRODUCT(($G$14:$G$71=$A67)*($E$14:$E$71=1)*(X$14:X$71="N/A")*$F$14:$F$71)))</f>
        <v/>
      </c>
      <c r="Z67" s="22">
        <f>IF(X67="SI",Y67,0)</f>
        <v/>
      </c>
      <c r="AA67" s="22">
        <f>SUM(J67,M67,P67,S67,V67,Y67)</f>
        <v/>
      </c>
      <c r="AB67" s="22">
        <f>SUM(K67,N67,Q67,T67,W67,Z67)</f>
        <v/>
      </c>
      <c r="AC67" s="23">
        <f>IF(AA67=0,"",AB67/AA67)</f>
        <v/>
      </c>
      <c r="AD67" s="22">
        <f>CRITERIOS!Q55</f>
        <v/>
      </c>
      <c r="AE67" s="22">
        <f>IF(AND(E67=1,H67&lt;&gt;"X",((I67="N/A")+(L67="N/A")+(O67="N/A")+(R67="N/A")+(U67="N/A")+(X67="N/A"))&gt;0),"REVISAR","")</f>
        <v/>
      </c>
    </row>
    <row r="68">
      <c r="A68" s="24">
        <f>CRITERIOS!B56</f>
        <v/>
      </c>
      <c r="B68" s="24">
        <f>CRITERIOS!C56</f>
        <v/>
      </c>
      <c r="C68" s="25">
        <f>CRITERIOS!D56</f>
        <v/>
      </c>
      <c r="D68" s="24">
        <f>CRITERIOS!E56</f>
        <v/>
      </c>
      <c r="E68" s="24">
        <f>IFERROR(IF(AND(OR(CRITERIOS!F56="Todos",CRITERIOS!F56=$B$4),INDEX(CRITERIOS!H56:J56,MATCH($B$5,VARIABLES!$E$2:$E$4,0))=1),1,0),0)</f>
        <v/>
      </c>
      <c r="F68" s="24">
        <f>IFERROR(IF(E68=1,INDEX(CRITERIOS!K56:M56,MATCH($B$5,VARIABLES!$E$2:$E$4,0)),0),0)</f>
        <v/>
      </c>
      <c r="G68" s="24">
        <f>IF(CRITERIOS!N56="","",CRITERIOS!N56)</f>
        <v/>
      </c>
      <c r="H68" s="24">
        <f>IF(CRITERIOS!O56="","",CRITERIOS!O56)</f>
        <v/>
      </c>
      <c r="I68" s="21" t="n"/>
      <c r="J68" s="22">
        <f>IF(OR($E68=0,I$78=0),0,IF(AND(I68="N/A",$G68&lt;&gt;""),0,$F68+SUMPRODUCT(($G$14:$G$71=$A68)*($E$14:$E$71=1)*(I$14:I$71="N/A")*$F$14:$F$71)))</f>
        <v/>
      </c>
      <c r="K68" s="22">
        <f>IF(I68="SI",J68,0)</f>
        <v/>
      </c>
      <c r="L68" s="21" t="n"/>
      <c r="M68" s="22">
        <f>IF(OR($E68=0,L$78=0),0,IF(AND(L68="N/A",$G68&lt;&gt;""),0,$F68+SUMPRODUCT(($G$14:$G$71=$A68)*($E$14:$E$71=1)*(L$14:L$71="N/A")*$F$14:$F$71)))</f>
        <v/>
      </c>
      <c r="N68" s="22">
        <f>IF(L68="SI",M68,0)</f>
        <v/>
      </c>
      <c r="O68" s="21" t="n"/>
      <c r="P68" s="22">
        <f>IF(OR($E68=0,O$78=0),0,IF(AND(O68="N/A",$G68&lt;&gt;""),0,$F68+SUMPRODUCT(($G$14:$G$71=$A68)*($E$14:$E$71=1)*(O$14:O$71="N/A")*$F$14:$F$71)))</f>
        <v/>
      </c>
      <c r="Q68" s="22">
        <f>IF(O68="SI",P68,0)</f>
        <v/>
      </c>
      <c r="R68" s="21" t="n"/>
      <c r="S68" s="22">
        <f>IF(OR($E68=0,R$78=0),0,IF(AND(R68="N/A",$G68&lt;&gt;""),0,$F68+SUMPRODUCT(($G$14:$G$71=$A68)*($E$14:$E$71=1)*(R$14:R$71="N/A")*$F$14:$F$71)))</f>
        <v/>
      </c>
      <c r="T68" s="22">
        <f>IF(R68="SI",S68,0)</f>
        <v/>
      </c>
      <c r="U68" s="21" t="n"/>
      <c r="V68" s="22">
        <f>IF(OR($E68=0,U$78=0),0,IF(AND(U68="N/A",$G68&lt;&gt;""),0,$F68+SUMPRODUCT(($G$14:$G$71=$A68)*($E$14:$E$71=1)*(U$14:U$71="N/A")*$F$14:$F$71)))</f>
        <v/>
      </c>
      <c r="W68" s="22">
        <f>IF(U68="SI",V68,0)</f>
        <v/>
      </c>
      <c r="X68" s="21" t="n"/>
      <c r="Y68" s="22">
        <f>IF(OR($E68=0,X$78=0),0,IF(AND(X68="N/A",$G68&lt;&gt;""),0,$F68+SUMPRODUCT(($G$14:$G$71=$A68)*($E$14:$E$71=1)*(X$14:X$71="N/A")*$F$14:$F$71)))</f>
        <v/>
      </c>
      <c r="Z68" s="22">
        <f>IF(X68="SI",Y68,0)</f>
        <v/>
      </c>
      <c r="AA68" s="22">
        <f>SUM(J68,M68,P68,S68,V68,Y68)</f>
        <v/>
      </c>
      <c r="AB68" s="22">
        <f>SUM(K68,N68,Q68,T68,W68,Z68)</f>
        <v/>
      </c>
      <c r="AC68" s="23">
        <f>IF(AA68=0,"",AB68/AA68)</f>
        <v/>
      </c>
      <c r="AD68" s="22">
        <f>CRITERIOS!Q56</f>
        <v/>
      </c>
      <c r="AE68" s="22">
        <f>IF(AND(E68=1,H68&lt;&gt;"X",((I68="N/A")+(L68="N/A")+(O68="N/A")+(R68="N/A")+(U68="N/A")+(X68="N/A"))&gt;0),"REVISAR","")</f>
        <v/>
      </c>
    </row>
    <row r="69">
      <c r="A69" s="22">
        <f>CRITERIOS!B57</f>
        <v/>
      </c>
      <c r="B69" s="22">
        <f>CRITERIOS!C57</f>
        <v/>
      </c>
      <c r="C69" s="8">
        <f>CRITERIOS!D57</f>
        <v/>
      </c>
      <c r="D69" s="22">
        <f>CRITERIOS!E57</f>
        <v/>
      </c>
      <c r="E69" s="22">
        <f>IFERROR(IF(AND(OR(CRITERIOS!F57="Todos",CRITERIOS!F57=$B$4),INDEX(CRITERIOS!H57:J57,MATCH($B$5,VARIABLES!$E$2:$E$4,0))=1),1,0),0)</f>
        <v/>
      </c>
      <c r="F69" s="22">
        <f>IFERROR(IF(E69=1,INDEX(CRITERIOS!K57:M57,MATCH($B$5,VARIABLES!$E$2:$E$4,0)),0),0)</f>
        <v/>
      </c>
      <c r="G69" s="22">
        <f>IF(CRITERIOS!N57="","",CRITERIOS!N57)</f>
        <v/>
      </c>
      <c r="H69" s="22">
        <f>IF(CRITERIOS!O57="","",CRITERIOS!O57)</f>
        <v/>
      </c>
      <c r="I69" s="21" t="n"/>
      <c r="J69" s="22">
        <f>IF(OR($E69=0,I$78=0),0,IF(AND(I69="N/A",$G69&lt;&gt;""),0,$F69+SUMPRODUCT(($G$14:$G$71=$A69)*($E$14:$E$71=1)*(I$14:I$71="N/A")*$F$14:$F$71)))</f>
        <v/>
      </c>
      <c r="K69" s="22">
        <f>IF(I69="SI",J69,0)</f>
        <v/>
      </c>
      <c r="L69" s="21" t="n"/>
      <c r="M69" s="22">
        <f>IF(OR($E69=0,L$78=0),0,IF(AND(L69="N/A",$G69&lt;&gt;""),0,$F69+SUMPRODUCT(($G$14:$G$71=$A69)*($E$14:$E$71=1)*(L$14:L$71="N/A")*$F$14:$F$71)))</f>
        <v/>
      </c>
      <c r="N69" s="22">
        <f>IF(L69="SI",M69,0)</f>
        <v/>
      </c>
      <c r="O69" s="21" t="n"/>
      <c r="P69" s="22">
        <f>IF(OR($E69=0,O$78=0),0,IF(AND(O69="N/A",$G69&lt;&gt;""),0,$F69+SUMPRODUCT(($G$14:$G$71=$A69)*($E$14:$E$71=1)*(O$14:O$71="N/A")*$F$14:$F$71)))</f>
        <v/>
      </c>
      <c r="Q69" s="22">
        <f>IF(O69="SI",P69,0)</f>
        <v/>
      </c>
      <c r="R69" s="21" t="n"/>
      <c r="S69" s="22">
        <f>IF(OR($E69=0,R$78=0),0,IF(AND(R69="N/A",$G69&lt;&gt;""),0,$F69+SUMPRODUCT(($G$14:$G$71=$A69)*($E$14:$E$71=1)*(R$14:R$71="N/A")*$F$14:$F$71)))</f>
        <v/>
      </c>
      <c r="T69" s="22">
        <f>IF(R69="SI",S69,0)</f>
        <v/>
      </c>
      <c r="U69" s="21" t="n"/>
      <c r="V69" s="22">
        <f>IF(OR($E69=0,U$78=0),0,IF(AND(U69="N/A",$G69&lt;&gt;""),0,$F69+SUMPRODUCT(($G$14:$G$71=$A69)*($E$14:$E$71=1)*(U$14:U$71="N/A")*$F$14:$F$71)))</f>
        <v/>
      </c>
      <c r="W69" s="22">
        <f>IF(U69="SI",V69,0)</f>
        <v/>
      </c>
      <c r="X69" s="21" t="n"/>
      <c r="Y69" s="22">
        <f>IF(OR($E69=0,X$78=0),0,IF(AND(X69="N/A",$G69&lt;&gt;""),0,$F69+SUMPRODUCT(($G$14:$G$71=$A69)*($E$14:$E$71=1)*(X$14:X$71="N/A")*$F$14:$F$71)))</f>
        <v/>
      </c>
      <c r="Z69" s="22">
        <f>IF(X69="SI",Y69,0)</f>
        <v/>
      </c>
      <c r="AA69" s="22">
        <f>SUM(J69,M69,P69,S69,V69,Y69)</f>
        <v/>
      </c>
      <c r="AB69" s="22">
        <f>SUM(K69,N69,Q69,T69,W69,Z69)</f>
        <v/>
      </c>
      <c r="AC69" s="23">
        <f>IF(AA69=0,"",AB69/AA69)</f>
        <v/>
      </c>
      <c r="AD69" s="22">
        <f>CRITERIOS!Q57</f>
        <v/>
      </c>
      <c r="AE69" s="22">
        <f>IF(AND(E69=1,H69&lt;&gt;"X",((I69="N/A")+(L69="N/A")+(O69="N/A")+(R69="N/A")+(U69="N/A")+(X69="N/A"))&gt;0),"REVISAR","")</f>
        <v/>
      </c>
    </row>
    <row r="70">
      <c r="A70" s="22">
        <f>CRITERIOS!B58</f>
        <v/>
      </c>
      <c r="B70" s="22">
        <f>CRITERIOS!C58</f>
        <v/>
      </c>
      <c r="C70" s="8">
        <f>CRITERIOS!D58</f>
        <v/>
      </c>
      <c r="D70" s="22">
        <f>CRITERIOS!E58</f>
        <v/>
      </c>
      <c r="E70" s="22">
        <f>IFERROR(IF(AND(OR(CRITERIOS!F58="Todos",CRITERIOS!F58=$B$4),INDEX(CRITERIOS!H58:J58,MATCH($B$5,VARIABLES!$E$2:$E$4,0))=1),1,0),0)</f>
        <v/>
      </c>
      <c r="F70" s="22">
        <f>IFERROR(IF(E70=1,INDEX(CRITERIOS!K58:M58,MATCH($B$5,VARIABLES!$E$2:$E$4,0)),0),0)</f>
        <v/>
      </c>
      <c r="G70" s="22">
        <f>IF(CRITERIOS!N58="","",CRITERIOS!N58)</f>
        <v/>
      </c>
      <c r="H70" s="22">
        <f>IF(CRITERIOS!O58="","",CRITERIOS!O58)</f>
        <v/>
      </c>
      <c r="I70" s="21" t="n"/>
      <c r="J70" s="22">
        <f>IF(OR($E70=0,I$78=0),0,IF(AND(I70="N/A",$G70&lt;&gt;""),0,$F70+SUMPRODUCT(($G$14:$G$71=$A70)*($E$14:$E$71=1)*(I$14:I$71="N/A")*$F$14:$F$71)))</f>
        <v/>
      </c>
      <c r="K70" s="22">
        <f>IF(I70="SI",J70,0)</f>
        <v/>
      </c>
      <c r="L70" s="21" t="n"/>
      <c r="M70" s="22">
        <f>IF(OR($E70=0,L$78=0),0,IF(AND(L70="N/A",$G70&lt;&gt;""),0,$F70+SUMPRODUCT(($G$14:$G$71=$A70)*($E$14:$E$71=1)*(L$14:L$71="N/A")*$F$14:$F$71)))</f>
        <v/>
      </c>
      <c r="N70" s="22">
        <f>IF(L70="SI",M70,0)</f>
        <v/>
      </c>
      <c r="O70" s="21" t="n"/>
      <c r="P70" s="22">
        <f>IF(OR($E70=0,O$78=0),0,IF(AND(O70="N/A",$G70&lt;&gt;""),0,$F70+SUMPRODUCT(($G$14:$G$71=$A70)*($E$14:$E$71=1)*(O$14:O$71="N/A")*$F$14:$F$71)))</f>
        <v/>
      </c>
      <c r="Q70" s="22">
        <f>IF(O70="SI",P70,0)</f>
        <v/>
      </c>
      <c r="R70" s="21" t="n"/>
      <c r="S70" s="22">
        <f>IF(OR($E70=0,R$78=0),0,IF(AND(R70="N/A",$G70&lt;&gt;""),0,$F70+SUMPRODUCT(($G$14:$G$71=$A70)*($E$14:$E$71=1)*(R$14:R$71="N/A")*$F$14:$F$71)))</f>
        <v/>
      </c>
      <c r="T70" s="22">
        <f>IF(R70="SI",S70,0)</f>
        <v/>
      </c>
      <c r="U70" s="21" t="n"/>
      <c r="V70" s="22">
        <f>IF(OR($E70=0,U$78=0),0,IF(AND(U70="N/A",$G70&lt;&gt;""),0,$F70+SUMPRODUCT(($G$14:$G$71=$A70)*($E$14:$E$71=1)*(U$14:U$71="N/A")*$F$14:$F$71)))</f>
        <v/>
      </c>
      <c r="W70" s="22">
        <f>IF(U70="SI",V70,0)</f>
        <v/>
      </c>
      <c r="X70" s="21" t="n"/>
      <c r="Y70" s="22">
        <f>IF(OR($E70=0,X$78=0),0,IF(AND(X70="N/A",$G70&lt;&gt;""),0,$F70+SUMPRODUCT(($G$14:$G$71=$A70)*($E$14:$E$71=1)*(X$14:X$71="N/A")*$F$14:$F$71)))</f>
        <v/>
      </c>
      <c r="Z70" s="22">
        <f>IF(X70="SI",Y70,0)</f>
        <v/>
      </c>
      <c r="AA70" s="22">
        <f>SUM(J70,M70,P70,S70,V70,Y70)</f>
        <v/>
      </c>
      <c r="AB70" s="22">
        <f>SUM(K70,N70,Q70,T70,W70,Z70)</f>
        <v/>
      </c>
      <c r="AC70" s="23">
        <f>IF(AA70=0,"",AB70/AA70)</f>
        <v/>
      </c>
      <c r="AD70" s="22">
        <f>CRITERIOS!Q58</f>
        <v/>
      </c>
      <c r="AE70" s="22">
        <f>IF(AND(E70=1,H70&lt;&gt;"X",((I70="N/A")+(L70="N/A")+(O70="N/A")+(R70="N/A")+(U70="N/A")+(X70="N/A"))&gt;0),"REVISAR","")</f>
        <v/>
      </c>
    </row>
    <row r="71">
      <c r="A71" s="24">
        <f>CRITERIOS!B59</f>
        <v/>
      </c>
      <c r="B71" s="24">
        <f>CRITERIOS!C59</f>
        <v/>
      </c>
      <c r="C71" s="25">
        <f>CRITERIOS!D59</f>
        <v/>
      </c>
      <c r="D71" s="24">
        <f>CRITERIOS!E59</f>
        <v/>
      </c>
      <c r="E71" s="24">
        <f>IFERROR(IF(AND(OR(CRITERIOS!F59="Todos",CRITERIOS!F59=$B$4),INDEX(CRITERIOS!H59:J59,MATCH($B$5,VARIABLES!$E$2:$E$4,0))=1),1,0),0)</f>
        <v/>
      </c>
      <c r="F71" s="24">
        <f>IFERROR(IF(E71=1,INDEX(CRITERIOS!K59:M59,MATCH($B$5,VARIABLES!$E$2:$E$4,0)),0),0)</f>
        <v/>
      </c>
      <c r="G71" s="24">
        <f>IF(CRITERIOS!N59="","",CRITERIOS!N59)</f>
        <v/>
      </c>
      <c r="H71" s="24">
        <f>IF(CRITERIOS!O59="","",CRITERIOS!O59)</f>
        <v/>
      </c>
      <c r="I71" s="21" t="n"/>
      <c r="J71" s="22">
        <f>IF(OR($E71=0,I$78=0),0,IF(AND(I71="N/A",$G71&lt;&gt;""),0,$F71+SUMPRODUCT(($G$14:$G$71=$A71)*($E$14:$E$71=1)*(I$14:I$71="N/A")*$F$14:$F$71)))</f>
        <v/>
      </c>
      <c r="K71" s="22">
        <f>IF(I71="SI",J71,0)</f>
        <v/>
      </c>
      <c r="L71" s="21" t="n"/>
      <c r="M71" s="22">
        <f>IF(OR($E71=0,L$78=0),0,IF(AND(L71="N/A",$G71&lt;&gt;""),0,$F71+SUMPRODUCT(($G$14:$G$71=$A71)*($E$14:$E$71=1)*(L$14:L$71="N/A")*$F$14:$F$71)))</f>
        <v/>
      </c>
      <c r="N71" s="22">
        <f>IF(L71="SI",M71,0)</f>
        <v/>
      </c>
      <c r="O71" s="21" t="n"/>
      <c r="P71" s="22">
        <f>IF(OR($E71=0,O$78=0),0,IF(AND(O71="N/A",$G71&lt;&gt;""),0,$F71+SUMPRODUCT(($G$14:$G$71=$A71)*($E$14:$E$71=1)*(O$14:O$71="N/A")*$F$14:$F$71)))</f>
        <v/>
      </c>
      <c r="Q71" s="22">
        <f>IF(O71="SI",P71,0)</f>
        <v/>
      </c>
      <c r="R71" s="21" t="n"/>
      <c r="S71" s="22">
        <f>IF(OR($E71=0,R$78=0),0,IF(AND(R71="N/A",$G71&lt;&gt;""),0,$F71+SUMPRODUCT(($G$14:$G$71=$A71)*($E$14:$E$71=1)*(R$14:R$71="N/A")*$F$14:$F$71)))</f>
        <v/>
      </c>
      <c r="T71" s="22">
        <f>IF(R71="SI",S71,0)</f>
        <v/>
      </c>
      <c r="U71" s="21" t="n"/>
      <c r="V71" s="22">
        <f>IF(OR($E71=0,U$78=0),0,IF(AND(U71="N/A",$G71&lt;&gt;""),0,$F71+SUMPRODUCT(($G$14:$G$71=$A71)*($E$14:$E$71=1)*(U$14:U$71="N/A")*$F$14:$F$71)))</f>
        <v/>
      </c>
      <c r="W71" s="22">
        <f>IF(U71="SI",V71,0)</f>
        <v/>
      </c>
      <c r="X71" s="21" t="n"/>
      <c r="Y71" s="22">
        <f>IF(OR($E71=0,X$78=0),0,IF(AND(X71="N/A",$G71&lt;&gt;""),0,$F71+SUMPRODUCT(($G$14:$G$71=$A71)*($E$14:$E$71=1)*(X$14:X$71="N/A")*$F$14:$F$71)))</f>
        <v/>
      </c>
      <c r="Z71" s="22">
        <f>IF(X71="SI",Y71,0)</f>
        <v/>
      </c>
      <c r="AA71" s="22">
        <f>SUM(J71,M71,P71,S71,V71,Y71)</f>
        <v/>
      </c>
      <c r="AB71" s="22">
        <f>SUM(K71,N71,Q71,T71,W71,Z71)</f>
        <v/>
      </c>
      <c r="AC71" s="23">
        <f>IF(AA71=0,"",AB71/AA71)</f>
        <v/>
      </c>
      <c r="AD71" s="22">
        <f>CRITERIOS!Q59</f>
        <v/>
      </c>
      <c r="AE71" s="22">
        <f>IF(AND(E71=1,H71&lt;&gt;"X",((I71="N/A")+(L71="N/A")+(O71="N/A")+(R71="N/A")+(U71="N/A")+(X71="N/A"))&gt;0),"REVISAR","")</f>
        <v/>
      </c>
    </row>
    <row r="73">
      <c r="C73" s="4" t="inlineStr">
        <is>
          <t>Puntaje de la conversación (/100)</t>
        </is>
      </c>
      <c r="K73" s="26">
        <f>IF(I78=1,SUM(K14:K71),"")</f>
        <v/>
      </c>
      <c r="N73" s="26">
        <f>IF(L78=1,SUM(N14:N71),"")</f>
        <v/>
      </c>
      <c r="Q73" s="26">
        <f>IF(O78=1,SUM(Q14:Q71),"")</f>
        <v/>
      </c>
      <c r="T73" s="26">
        <f>IF(R78=1,SUM(T14:T71),"")</f>
        <v/>
      </c>
      <c r="W73" s="26">
        <f>IF(U78=1,SUM(W14:W71),"")</f>
        <v/>
      </c>
      <c r="Z73" s="26">
        <f>IF(X78=1,SUM(Z14:Z71),"")</f>
        <v/>
      </c>
    </row>
    <row r="74">
      <c r="C74" s="4" t="inlineStr">
        <is>
          <t>Fase I: HD con NO (1 = reprueba)</t>
        </is>
      </c>
      <c r="I74">
        <f>IF(I78=1,IF(COUNTIFS($D$14:$D$71,"Control HD",I14:I71,"NO")&gt;0,1,0),0)</f>
        <v/>
      </c>
      <c r="L74">
        <f>IF(L78=1,IF(COUNTIFS($D$14:$D$71,"Control HD",L14:L71,"NO")&gt;0,1,0),0)</f>
        <v/>
      </c>
      <c r="O74">
        <f>IF(O78=1,IF(COUNTIFS($D$14:$D$71,"Control HD",O14:O71,"NO")&gt;0,1,0),0)</f>
        <v/>
      </c>
      <c r="R74">
        <f>IF(R78=1,IF(COUNTIFS($D$14:$D$71,"Control HD",R14:R71,"NO")&gt;0,1,0),0)</f>
        <v/>
      </c>
      <c r="U74">
        <f>IF(U78=1,IF(COUNTIFS($D$14:$D$71,"Control HD",U14:U71,"NO")&gt;0,1,0),0)</f>
        <v/>
      </c>
      <c r="X74">
        <f>IF(X78=1,IF(COUNTIFS($D$14:$D$71,"Control HD",X14:X71,"NO")&gt;0,1,0),0)</f>
        <v/>
      </c>
    </row>
    <row r="75">
      <c r="C75" s="4" t="inlineStr">
        <is>
          <t>ECU con error (1 = sí)</t>
        </is>
      </c>
      <c r="I75">
        <f>IF(I78=1,IF(COUNTIFS($D$14:$D$71,"ECU",I14:I71,"NO")&gt;0,1,0),0)</f>
        <v/>
      </c>
      <c r="L75">
        <f>IF(L78=1,IF(COUNTIFS($D$14:$D$71,"ECU",L14:L71,"NO")&gt;0,1,0),0)</f>
        <v/>
      </c>
      <c r="O75">
        <f>IF(O78=1,IF(COUNTIFS($D$14:$D$71,"ECU",O14:O71,"NO")&gt;0,1,0),0)</f>
        <v/>
      </c>
      <c r="R75">
        <f>IF(R78=1,IF(COUNTIFS($D$14:$D$71,"ECU",R14:R71,"NO")&gt;0,1,0),0)</f>
        <v/>
      </c>
      <c r="U75">
        <f>IF(U78=1,IF(COUNTIFS($D$14:$D$71,"ECU",U14:U71,"NO")&gt;0,1,0),0)</f>
        <v/>
      </c>
      <c r="X75">
        <f>IF(X78=1,IF(COUNTIFS($D$14:$D$71,"ECU",X14:X71,"NO")&gt;0,1,0),0)</f>
        <v/>
      </c>
    </row>
    <row r="76">
      <c r="C76" s="4" t="inlineStr">
        <is>
          <t>ECN con error (1 = sí)</t>
        </is>
      </c>
      <c r="I76">
        <f>IF(I78=1,IF(COUNTIFS($D$14:$D$71,"ECN",I14:I71,"NO")&gt;0,1,0),0)</f>
        <v/>
      </c>
      <c r="L76">
        <f>IF(L78=1,IF(COUNTIFS($D$14:$D$71,"ECN",L14:L71,"NO")&gt;0,1,0),0)</f>
        <v/>
      </c>
      <c r="O76">
        <f>IF(O78=1,IF(COUNTIFS($D$14:$D$71,"ECN",O14:O71,"NO")&gt;0,1,0),0)</f>
        <v/>
      </c>
      <c r="R76">
        <f>IF(R78=1,IF(COUNTIFS($D$14:$D$71,"ECN",R14:R71,"NO")&gt;0,1,0),0)</f>
        <v/>
      </c>
      <c r="U76">
        <f>IF(U78=1,IF(COUNTIFS($D$14:$D$71,"ECN",U14:U71,"NO")&gt;0,1,0),0)</f>
        <v/>
      </c>
      <c r="X76">
        <f>IF(X78=1,IF(COUNTIFS($D$14:$D$71,"ECN",X14:X71,"NO")&gt;0,1,0),0)</f>
        <v/>
      </c>
    </row>
    <row r="77">
      <c r="C77" s="4" t="inlineStr">
        <is>
          <t>ECC con error (1 = sí)</t>
        </is>
      </c>
      <c r="I77">
        <f>IF(I78=1,IF(COUNTIFS($D$14:$D$71,"ECC",I14:I71,"NO")&gt;0,1,0),0)</f>
        <v/>
      </c>
      <c r="L77">
        <f>IF(L78=1,IF(COUNTIFS($D$14:$D$71,"ECC",L14:L71,"NO")&gt;0,1,0),0)</f>
        <v/>
      </c>
      <c r="O77">
        <f>IF(O78=1,IF(COUNTIFS($D$14:$D$71,"ECC",O14:O71,"NO")&gt;0,1,0),0)</f>
        <v/>
      </c>
      <c r="R77">
        <f>IF(R78=1,IF(COUNTIFS($D$14:$D$71,"ECC",R14:R71,"NO")&gt;0,1,0),0)</f>
        <v/>
      </c>
      <c r="U77">
        <f>IF(U78=1,IF(COUNTIFS($D$14:$D$71,"ECC",U14:U71,"NO")&gt;0,1,0),0)</f>
        <v/>
      </c>
      <c r="X77">
        <f>IF(X78=1,IF(COUNTIFS($D$14:$D$71,"ECC",X14:X71,"NO")&gt;0,1,0),0)</f>
        <v/>
      </c>
    </row>
    <row r="78">
      <c r="C78" s="4" t="inlineStr">
        <is>
          <t>Conversación evaluada (1 = sí)</t>
        </is>
      </c>
      <c r="I78">
        <f>IF(COUNTA(I14:I71)&gt;0,1,0)</f>
        <v/>
      </c>
      <c r="L78">
        <f>IF(COUNTA(L14:L71)&gt;0,1,0)</f>
        <v/>
      </c>
      <c r="O78">
        <f>IF(COUNTA(O14:O71)&gt;0,1,0)</f>
        <v/>
      </c>
      <c r="R78">
        <f>IF(COUNTA(R14:R71)&gt;0,1,0)</f>
        <v/>
      </c>
      <c r="U78">
        <f>IF(COUNTA(U14:U71)&gt;0,1,0)</f>
        <v/>
      </c>
      <c r="X78">
        <f>IF(COUNTA(X14:X71)&gt;0,1,0)</f>
        <v/>
      </c>
    </row>
    <row r="79">
      <c r="C79" s="4" t="inlineStr">
        <is>
          <t>Casillas aplicables sin diligenciar</t>
        </is>
      </c>
      <c r="I79">
        <f>IF(I78=1,SUMPRODUCT(($E$14:$E$71=1)*(I14:I71="")),0)</f>
        <v/>
      </c>
      <c r="L79">
        <f>IF(L78=1,SUMPRODUCT(($E$14:$E$71=1)*(L14:L71="")),0)</f>
        <v/>
      </c>
      <c r="O79">
        <f>IF(O78=1,SUMPRODUCT(($E$14:$E$71=1)*(O14:O71="")),0)</f>
        <v/>
      </c>
      <c r="R79">
        <f>IF(R78=1,SUMPRODUCT(($E$14:$E$71=1)*(R14:R71="")),0)</f>
        <v/>
      </c>
      <c r="U79">
        <f>IF(U78=1,SUMPRODUCT(($E$14:$E$71=1)*(U14:U71="")),0)</f>
        <v/>
      </c>
      <c r="X79">
        <f>IF(X78=1,SUMPRODUCT(($E$14:$E$71=1)*(X14:X71="")),0)</f>
        <v/>
      </c>
    </row>
  </sheetData>
  <mergeCells count="18">
    <mergeCell ref="X10:Z10"/>
    <mergeCell ref="I11:K11"/>
    <mergeCell ref="X11:Z11"/>
    <mergeCell ref="I10:K10"/>
    <mergeCell ref="L11:N11"/>
    <mergeCell ref="L10:N10"/>
    <mergeCell ref="R11:T11"/>
    <mergeCell ref="R10:T10"/>
    <mergeCell ref="X9:Z9"/>
    <mergeCell ref="U10:W10"/>
    <mergeCell ref="I9:K9"/>
    <mergeCell ref="O9:Q9"/>
    <mergeCell ref="L9:N9"/>
    <mergeCell ref="R9:T9"/>
    <mergeCell ref="U9:W9"/>
    <mergeCell ref="U11:W11"/>
    <mergeCell ref="O10:Q10"/>
    <mergeCell ref="O11:Q11"/>
  </mergeCells>
  <dataValidations count="5">
    <dataValidation sqref="I14:I71 L14:L71 O14:O71 R14:R71 U14:U71 X14:X71" showDropDown="0" showInputMessage="0" showErrorMessage="0" allowBlank="1" type="list">
      <formula1>"SI,NO,N/A"</formula1>
    </dataValidation>
    <dataValidation sqref="B4" showDropDown="0" showInputMessage="0" showErrorMessage="0" allowBlank="1" type="list">
      <formula1>VARIABLES!$D$2:$D$5</formula1>
    </dataValidation>
    <dataValidation sqref="B5" showDropDown="0" showInputMessage="0" showErrorMessage="0" allowBlank="1" type="list">
      <formula1>VARIABLES!$E$2:$E$4</formula1>
    </dataValidation>
    <dataValidation sqref="I11 L11 O11 R11 U11 X11" showDropDown="0" showInputMessage="0" showErrorMessage="0" allowBlank="1" type="list">
      <formula1>VARIABLES!$B$2:$B$3</formula1>
    </dataValidation>
    <dataValidation sqref="B6" showDropDown="0" showInputMessage="0" showErrorMessage="0" allowBlank="1" type="list">
      <formula1>VARIABLES!$C$2:$C$13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79"/>
  <sheetViews>
    <sheetView workbookViewId="0">
      <pane xSplit="3" ySplit="13" topLeftCell="D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60" customWidth="1" min="3" max="3"/>
    <col width="11" customWidth="1" min="4" max="4"/>
    <col outlineLevel="1" width="7" customWidth="1" min="5" max="5"/>
    <col outlineLevel="1" width="7" customWidth="1" min="6" max="6"/>
    <col outlineLevel="1" width="9" customWidth="1" min="7" max="7"/>
    <col outlineLevel="1" width="8" customWidth="1" min="8" max="8"/>
    <col width="11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11" customWidth="1" min="15" max="15"/>
    <col width="8" customWidth="1" min="16" max="16"/>
    <col width="8" customWidth="1" min="17" max="17"/>
    <col width="11" customWidth="1" min="18" max="18"/>
    <col width="8" customWidth="1" min="19" max="19"/>
    <col width="8" customWidth="1" min="20" max="20"/>
    <col width="11" customWidth="1" min="21" max="21"/>
    <col width="8" customWidth="1" min="22" max="22"/>
    <col width="8" customWidth="1" min="23" max="23"/>
    <col width="11" customWidth="1" min="24" max="24"/>
    <col width="8" customWidth="1" min="25" max="25"/>
    <col width="8" customWidth="1" min="26" max="26"/>
    <col outlineLevel="1" width="10" customWidth="1" min="27" max="27"/>
    <col outlineLevel="1" width="10" customWidth="1" min="28" max="28"/>
    <col width="10" customWidth="1" min="29" max="29"/>
    <col outlineLevel="1" width="10" customWidth="1" min="30" max="30"/>
    <col width="10" customWidth="1" min="31" max="31"/>
  </cols>
  <sheetData>
    <row r="1">
      <c r="A1" s="3" t="inlineStr">
        <is>
          <t>FORMATO DE MONITOREO COMERCIAL · PREVENTA Y VENTA</t>
        </is>
      </c>
    </row>
    <row r="3">
      <c r="A3" s="4" t="inlineStr">
        <is>
          <t>Asesor</t>
        </is>
      </c>
      <c r="B3" s="5" t="n"/>
      <c r="I3" s="4" t="inlineStr">
        <is>
          <t>Fase I (Habeas Data)</t>
        </is>
      </c>
      <c r="P3" s="16">
        <f>IF($B$7=0,"",IF(SUM(I74,L74,O74,R74,U74,X74)&gt;0,"Reprobada","Aprobada"))</f>
        <v/>
      </c>
      <c r="S3" s="4" t="inlineStr">
        <is>
          <t>ECU · % sin error</t>
        </is>
      </c>
      <c r="Z3" s="17">
        <f>IF($B$7=0,"",1-SUM(I75,L75,O75,R75,U75,X75)/$B$7)</f>
        <v/>
      </c>
    </row>
    <row r="4">
      <c r="A4" s="4" t="inlineStr">
        <is>
          <t>Canal</t>
        </is>
      </c>
      <c r="B4" s="5" t="n"/>
      <c r="I4" s="4" t="inlineStr">
        <is>
          <t>Nota /100</t>
        </is>
      </c>
      <c r="P4" s="18">
        <f>IF($B$7=0,"",IF(P3="Reprobada",0,AVERAGE(K73,N73,Q73,T73,W73,Z73)*1))</f>
        <v/>
      </c>
      <c r="S4" s="4" t="inlineStr">
        <is>
          <t>ECN · % sin error</t>
        </is>
      </c>
      <c r="Z4" s="17">
        <f>IF($B$7=0,"",1-SUM(I76,L76,O76,R76,U76,X76)/$B$7)</f>
        <v/>
      </c>
    </row>
    <row r="5">
      <c r="A5" s="4" t="inlineStr">
        <is>
          <t>Gestión</t>
        </is>
      </c>
      <c r="B5" s="5" t="n"/>
      <c r="I5" s="4" t="inlineStr">
        <is>
          <t>Nota /300</t>
        </is>
      </c>
      <c r="P5" s="18">
        <f>IF(P4="","",P4*3)</f>
        <v/>
      </c>
      <c r="S5" s="4" t="inlineStr">
        <is>
          <t>ECC · % sin error</t>
        </is>
      </c>
      <c r="Z5" s="17">
        <f>IF($B$7=0,"",1-SUM(I77,L77,O77,R77,U77,X77)/$B$7)</f>
        <v/>
      </c>
    </row>
    <row r="6">
      <c r="A6" s="4" t="inlineStr">
        <is>
          <t>Mes</t>
        </is>
      </c>
      <c r="B6" s="5" t="n"/>
      <c r="I6" s="4" t="inlineStr">
        <is>
          <t>Nivel</t>
        </is>
      </c>
      <c r="P6" s="16">
        <f>IF(P4="","",IF(P3="Reprobada","Crítico",LOOKUP(P4/100,'TABLA GENERAL'!$I$7:$I$10,'TABLA GENERAL'!$F$7:$F$10)))</f>
        <v/>
      </c>
      <c r="S6" s="4" t="inlineStr">
        <is>
          <t>Alerta Dirección</t>
        </is>
      </c>
      <c r="Z6" s="16">
        <f>IF($B$7=0,"",IF(SUMPRODUCT($AD$14:$AD$71*((I14:I71="NO")+(L14:L71="NO")+(O14:O71="NO")+(R14:R71="NO")+(U14:U71="NO")+(X14:X71="NO")))&gt;0,"SÍ - reportar","No"))</f>
        <v/>
      </c>
    </row>
    <row r="7">
      <c r="A7" s="4" t="inlineStr">
        <is>
          <t>Conversaciones evaluadas</t>
        </is>
      </c>
      <c r="B7">
        <f>SUM(I78,L78,O78,R78,U78,X78)</f>
        <v/>
      </c>
      <c r="I7" s="4" t="inlineStr">
        <is>
          <t>Estado</t>
        </is>
      </c>
      <c r="P7" s="16">
        <f>IF(P4="","",IF(P3="Reprobada","Reprobado",IF(P4/100&gt;='TABLA GENERAL'!$C$21,"Aprobado","Plan de acción")))</f>
        <v/>
      </c>
      <c r="S7" s="4" t="inlineStr">
        <is>
          <t>Casillas por revisar</t>
        </is>
      </c>
      <c r="Z7" s="16">
        <f>SUM(I79,L79,O79,R79,U79,X79)+COUNTIF(AE14:AE71,"REVISAR")</f>
        <v/>
      </c>
    </row>
    <row r="9">
      <c r="I9" s="6" t="inlineStr">
        <is>
          <t>Conversación 1</t>
        </is>
      </c>
      <c r="L9" s="6" t="inlineStr">
        <is>
          <t>Conversación 2</t>
        </is>
      </c>
      <c r="O9" s="6" t="inlineStr">
        <is>
          <t>Conversación 3</t>
        </is>
      </c>
      <c r="R9" s="6" t="inlineStr">
        <is>
          <t>Conversación 4</t>
        </is>
      </c>
      <c r="U9" s="6" t="inlineStr">
        <is>
          <t>Conversación 5</t>
        </is>
      </c>
      <c r="X9" s="6" t="inlineStr">
        <is>
          <t>Conversación 6</t>
        </is>
      </c>
    </row>
    <row r="10">
      <c r="C10" s="4" t="inlineStr">
        <is>
          <t>Fecha / ID de la conversación</t>
        </is>
      </c>
      <c r="I10" s="5" t="n"/>
      <c r="L10" s="5" t="n"/>
      <c r="O10" s="5" t="n"/>
      <c r="R10" s="5" t="n"/>
      <c r="U10" s="5" t="n"/>
      <c r="X10" s="5" t="n"/>
    </row>
    <row r="11">
      <c r="C11" s="4" t="inlineStr">
        <is>
          <t>Modalidad</t>
        </is>
      </c>
      <c r="I11" s="5" t="n"/>
      <c r="L11" s="5" t="n"/>
      <c r="O11" s="5" t="n"/>
      <c r="R11" s="5" t="n"/>
      <c r="U11" s="5" t="n"/>
      <c r="X11" s="5" t="n"/>
    </row>
    <row r="13" ht="32" customHeight="1">
      <c r="A13" s="6" t="inlineStr">
        <is>
          <t>Código</t>
        </is>
      </c>
      <c r="B13" s="6" t="inlineStr">
        <is>
          <t>Dimensión</t>
        </is>
      </c>
      <c r="C13" s="6" t="inlineStr">
        <is>
          <t>Descripción</t>
        </is>
      </c>
      <c r="D13" s="6" t="inlineStr">
        <is>
          <t>Tipo</t>
        </is>
      </c>
      <c r="E13" s="6" t="inlineStr">
        <is>
          <t>Aplica</t>
        </is>
      </c>
      <c r="F13" s="6" t="inlineStr">
        <is>
          <t>Peso base</t>
        </is>
      </c>
      <c r="G13" s="6" t="inlineStr">
        <is>
          <t>Receptor N/A</t>
        </is>
      </c>
      <c r="H13" s="6" t="inlineStr">
        <is>
          <t>Admite N/A</t>
        </is>
      </c>
      <c r="I13" s="6" t="inlineStr">
        <is>
          <t>Resultado</t>
        </is>
      </c>
      <c r="J13" s="6" t="inlineStr">
        <is>
          <t>Peso estab.</t>
        </is>
      </c>
      <c r="K13" s="6" t="inlineStr">
        <is>
          <t>Peso logrado</t>
        </is>
      </c>
      <c r="L13" s="6" t="inlineStr">
        <is>
          <t>Resultado</t>
        </is>
      </c>
      <c r="M13" s="6" t="inlineStr">
        <is>
          <t>Peso estab.</t>
        </is>
      </c>
      <c r="N13" s="6" t="inlineStr">
        <is>
          <t>Peso logrado</t>
        </is>
      </c>
      <c r="O13" s="6" t="inlineStr">
        <is>
          <t>Resultado</t>
        </is>
      </c>
      <c r="P13" s="6" t="inlineStr">
        <is>
          <t>Peso estab.</t>
        </is>
      </c>
      <c r="Q13" s="6" t="inlineStr">
        <is>
          <t>Peso logrado</t>
        </is>
      </c>
      <c r="R13" s="6" t="inlineStr">
        <is>
          <t>Resultado</t>
        </is>
      </c>
      <c r="S13" s="6" t="inlineStr">
        <is>
          <t>Peso estab.</t>
        </is>
      </c>
      <c r="T13" s="6" t="inlineStr">
        <is>
          <t>Peso logrado</t>
        </is>
      </c>
      <c r="U13" s="6" t="inlineStr">
        <is>
          <t>Resultado</t>
        </is>
      </c>
      <c r="V13" s="6" t="inlineStr">
        <is>
          <t>Peso estab.</t>
        </is>
      </c>
      <c r="W13" s="6" t="inlineStr">
        <is>
          <t>Peso logrado</t>
        </is>
      </c>
      <c r="X13" s="6" t="inlineStr">
        <is>
          <t>Resultado</t>
        </is>
      </c>
      <c r="Y13" s="6" t="inlineStr">
        <is>
          <t>Peso estab.</t>
        </is>
      </c>
      <c r="Z13" s="6" t="inlineStr">
        <is>
          <t>Peso logrado</t>
        </is>
      </c>
      <c r="AA13" s="6" t="inlineStr">
        <is>
          <t>Σ peso estab.</t>
        </is>
      </c>
      <c r="AB13" s="6" t="inlineStr">
        <is>
          <t>Σ peso logrado</t>
        </is>
      </c>
      <c r="AC13" s="6" t="inlineStr">
        <is>
          <t>% cumplimiento</t>
        </is>
      </c>
      <c r="AD13" s="6" t="inlineStr">
        <is>
          <t>Alerta</t>
        </is>
      </c>
      <c r="AE13" s="6" t="inlineStr">
        <is>
          <t>Validación</t>
        </is>
      </c>
    </row>
    <row r="14">
      <c r="A14" s="19">
        <f>CRITERIOS!B2</f>
        <v/>
      </c>
      <c r="B14" s="19">
        <f>CRITERIOS!C2</f>
        <v/>
      </c>
      <c r="C14" s="20">
        <f>CRITERIOS!D2</f>
        <v/>
      </c>
      <c r="D14" s="19">
        <f>CRITERIOS!E2</f>
        <v/>
      </c>
      <c r="E14" s="19">
        <f>IFERROR(IF(AND(OR(CRITERIOS!F2="Todos",CRITERIOS!F2=$B$4),INDEX(CRITERIOS!H2:J2,MATCH($B$5,VARIABLES!$E$2:$E$4,0))=1),1,0),0)</f>
        <v/>
      </c>
      <c r="F14" s="19">
        <f>IFERROR(IF(E14=1,INDEX(CRITERIOS!K2:M2,MATCH($B$5,VARIABLES!$E$2:$E$4,0)),0),0)</f>
        <v/>
      </c>
      <c r="G14" s="19">
        <f>IF(CRITERIOS!N2="","",CRITERIOS!N2)</f>
        <v/>
      </c>
      <c r="H14" s="19">
        <f>IF(CRITERIOS!O2="","",CRITERIOS!O2)</f>
        <v/>
      </c>
      <c r="I14" s="21" t="n"/>
      <c r="J14" s="22">
        <f>IF(OR($E14=0,I$78=0),0,IF(AND(I14="N/A",$G14&lt;&gt;""),0,$F14+SUMPRODUCT(($G$14:$G$71=$A14)*($E$14:$E$71=1)*(I$14:I$71="N/A")*$F$14:$F$71)))</f>
        <v/>
      </c>
      <c r="K14" s="22">
        <f>IF(I14="SI",J14,0)</f>
        <v/>
      </c>
      <c r="L14" s="21" t="n"/>
      <c r="M14" s="22">
        <f>IF(OR($E14=0,L$78=0),0,IF(AND(L14="N/A",$G14&lt;&gt;""),0,$F14+SUMPRODUCT(($G$14:$G$71=$A14)*($E$14:$E$71=1)*(L$14:L$71="N/A")*$F$14:$F$71)))</f>
        <v/>
      </c>
      <c r="N14" s="22">
        <f>IF(L14="SI",M14,0)</f>
        <v/>
      </c>
      <c r="O14" s="21" t="n"/>
      <c r="P14" s="22">
        <f>IF(OR($E14=0,O$78=0),0,IF(AND(O14="N/A",$G14&lt;&gt;""),0,$F14+SUMPRODUCT(($G$14:$G$71=$A14)*($E$14:$E$71=1)*(O$14:O$71="N/A")*$F$14:$F$71)))</f>
        <v/>
      </c>
      <c r="Q14" s="22">
        <f>IF(O14="SI",P14,0)</f>
        <v/>
      </c>
      <c r="R14" s="21" t="n"/>
      <c r="S14" s="22">
        <f>IF(OR($E14=0,R$78=0),0,IF(AND(R14="N/A",$G14&lt;&gt;""),0,$F14+SUMPRODUCT(($G$14:$G$71=$A14)*($E$14:$E$71=1)*(R$14:R$71="N/A")*$F$14:$F$71)))</f>
        <v/>
      </c>
      <c r="T14" s="22">
        <f>IF(R14="SI",S14,0)</f>
        <v/>
      </c>
      <c r="U14" s="21" t="n"/>
      <c r="V14" s="22">
        <f>IF(OR($E14=0,U$78=0),0,IF(AND(U14="N/A",$G14&lt;&gt;""),0,$F14+SUMPRODUCT(($G$14:$G$71=$A14)*($E$14:$E$71=1)*(U$14:U$71="N/A")*$F$14:$F$71)))</f>
        <v/>
      </c>
      <c r="W14" s="22">
        <f>IF(U14="SI",V14,0)</f>
        <v/>
      </c>
      <c r="X14" s="21" t="n"/>
      <c r="Y14" s="22">
        <f>IF(OR($E14=0,X$78=0),0,IF(AND(X14="N/A",$G14&lt;&gt;""),0,$F14+SUMPRODUCT(($G$14:$G$71=$A14)*($E$14:$E$71=1)*(X$14:X$71="N/A")*$F$14:$F$71)))</f>
        <v/>
      </c>
      <c r="Z14" s="22">
        <f>IF(X14="SI",Y14,0)</f>
        <v/>
      </c>
      <c r="AA14" s="22">
        <f>SUM(J14,M14,P14,S14,V14,Y14)</f>
        <v/>
      </c>
      <c r="AB14" s="22">
        <f>SUM(K14,N14,Q14,T14,W14,Z14)</f>
        <v/>
      </c>
      <c r="AC14" s="23">
        <f>IF(AA14=0,"",AB14/AA14)</f>
        <v/>
      </c>
      <c r="AD14" s="22">
        <f>CRITERIOS!Q2</f>
        <v/>
      </c>
      <c r="AE14" s="22">
        <f>IF(AND(E14=1,H14&lt;&gt;"X",((I14="N/A")+(L14="N/A")+(O14="N/A")+(R14="N/A")+(U14="N/A")+(X14="N/A"))&gt;0),"REVISAR","")</f>
        <v/>
      </c>
    </row>
    <row r="15">
      <c r="A15" s="19">
        <f>CRITERIOS!B3</f>
        <v/>
      </c>
      <c r="B15" s="19">
        <f>CRITERIOS!C3</f>
        <v/>
      </c>
      <c r="C15" s="20">
        <f>CRITERIOS!D3</f>
        <v/>
      </c>
      <c r="D15" s="19">
        <f>CRITERIOS!E3</f>
        <v/>
      </c>
      <c r="E15" s="19">
        <f>IFERROR(IF(AND(OR(CRITERIOS!F3="Todos",CRITERIOS!F3=$B$4),INDEX(CRITERIOS!H3:J3,MATCH($B$5,VARIABLES!$E$2:$E$4,0))=1),1,0),0)</f>
        <v/>
      </c>
      <c r="F15" s="19">
        <f>IFERROR(IF(E15=1,INDEX(CRITERIOS!K3:M3,MATCH($B$5,VARIABLES!$E$2:$E$4,0)),0),0)</f>
        <v/>
      </c>
      <c r="G15" s="19">
        <f>IF(CRITERIOS!N3="","",CRITERIOS!N3)</f>
        <v/>
      </c>
      <c r="H15" s="19">
        <f>IF(CRITERIOS!O3="","",CRITERIOS!O3)</f>
        <v/>
      </c>
      <c r="I15" s="21" t="n"/>
      <c r="J15" s="22">
        <f>IF(OR($E15=0,I$78=0),0,IF(AND(I15="N/A",$G15&lt;&gt;""),0,$F15+SUMPRODUCT(($G$14:$G$71=$A15)*($E$14:$E$71=1)*(I$14:I$71="N/A")*$F$14:$F$71)))</f>
        <v/>
      </c>
      <c r="K15" s="22">
        <f>IF(I15="SI",J15,0)</f>
        <v/>
      </c>
      <c r="L15" s="21" t="n"/>
      <c r="M15" s="22">
        <f>IF(OR($E15=0,L$78=0),0,IF(AND(L15="N/A",$G15&lt;&gt;""),0,$F15+SUMPRODUCT(($G$14:$G$71=$A15)*($E$14:$E$71=1)*(L$14:L$71="N/A")*$F$14:$F$71)))</f>
        <v/>
      </c>
      <c r="N15" s="22">
        <f>IF(L15="SI",M15,0)</f>
        <v/>
      </c>
      <c r="O15" s="21" t="n"/>
      <c r="P15" s="22">
        <f>IF(OR($E15=0,O$78=0),0,IF(AND(O15="N/A",$G15&lt;&gt;""),0,$F15+SUMPRODUCT(($G$14:$G$71=$A15)*($E$14:$E$71=1)*(O$14:O$71="N/A")*$F$14:$F$71)))</f>
        <v/>
      </c>
      <c r="Q15" s="22">
        <f>IF(O15="SI",P15,0)</f>
        <v/>
      </c>
      <c r="R15" s="21" t="n"/>
      <c r="S15" s="22">
        <f>IF(OR($E15=0,R$78=0),0,IF(AND(R15="N/A",$G15&lt;&gt;""),0,$F15+SUMPRODUCT(($G$14:$G$71=$A15)*($E$14:$E$71=1)*(R$14:R$71="N/A")*$F$14:$F$71)))</f>
        <v/>
      </c>
      <c r="T15" s="22">
        <f>IF(R15="SI",S15,0)</f>
        <v/>
      </c>
      <c r="U15" s="21" t="n"/>
      <c r="V15" s="22">
        <f>IF(OR($E15=0,U$78=0),0,IF(AND(U15="N/A",$G15&lt;&gt;""),0,$F15+SUMPRODUCT(($G$14:$G$71=$A15)*($E$14:$E$71=1)*(U$14:U$71="N/A")*$F$14:$F$71)))</f>
        <v/>
      </c>
      <c r="W15" s="22">
        <f>IF(U15="SI",V15,0)</f>
        <v/>
      </c>
      <c r="X15" s="21" t="n"/>
      <c r="Y15" s="22">
        <f>IF(OR($E15=0,X$78=0),0,IF(AND(X15="N/A",$G15&lt;&gt;""),0,$F15+SUMPRODUCT(($G$14:$G$71=$A15)*($E$14:$E$71=1)*(X$14:X$71="N/A")*$F$14:$F$71)))</f>
        <v/>
      </c>
      <c r="Z15" s="22">
        <f>IF(X15="SI",Y15,0)</f>
        <v/>
      </c>
      <c r="AA15" s="22">
        <f>SUM(J15,M15,P15,S15,V15,Y15)</f>
        <v/>
      </c>
      <c r="AB15" s="22">
        <f>SUM(K15,N15,Q15,T15,W15,Z15)</f>
        <v/>
      </c>
      <c r="AC15" s="23">
        <f>IF(AA15=0,"",AB15/AA15)</f>
        <v/>
      </c>
      <c r="AD15" s="22">
        <f>CRITERIOS!Q3</f>
        <v/>
      </c>
      <c r="AE15" s="22">
        <f>IF(AND(E15=1,H15&lt;&gt;"X",((I15="N/A")+(L15="N/A")+(O15="N/A")+(R15="N/A")+(U15="N/A")+(X15="N/A"))&gt;0),"REVISAR","")</f>
        <v/>
      </c>
    </row>
    <row r="16">
      <c r="A16" s="19">
        <f>CRITERIOS!B4</f>
        <v/>
      </c>
      <c r="B16" s="19">
        <f>CRITERIOS!C4</f>
        <v/>
      </c>
      <c r="C16" s="20">
        <f>CRITERIOS!D4</f>
        <v/>
      </c>
      <c r="D16" s="19">
        <f>CRITERIOS!E4</f>
        <v/>
      </c>
      <c r="E16" s="19">
        <f>IFERROR(IF(AND(OR(CRITERIOS!F4="Todos",CRITERIOS!F4=$B$4),INDEX(CRITERIOS!H4:J4,MATCH($B$5,VARIABLES!$E$2:$E$4,0))=1),1,0),0)</f>
        <v/>
      </c>
      <c r="F16" s="19">
        <f>IFERROR(IF(E16=1,INDEX(CRITERIOS!K4:M4,MATCH($B$5,VARIABLES!$E$2:$E$4,0)),0),0)</f>
        <v/>
      </c>
      <c r="G16" s="19">
        <f>IF(CRITERIOS!N4="","",CRITERIOS!N4)</f>
        <v/>
      </c>
      <c r="H16" s="19">
        <f>IF(CRITERIOS!O4="","",CRITERIOS!O4)</f>
        <v/>
      </c>
      <c r="I16" s="21" t="n"/>
      <c r="J16" s="22">
        <f>IF(OR($E16=0,I$78=0),0,IF(AND(I16="N/A",$G16&lt;&gt;""),0,$F16+SUMPRODUCT(($G$14:$G$71=$A16)*($E$14:$E$71=1)*(I$14:I$71="N/A")*$F$14:$F$71)))</f>
        <v/>
      </c>
      <c r="K16" s="22">
        <f>IF(I16="SI",J16,0)</f>
        <v/>
      </c>
      <c r="L16" s="21" t="n"/>
      <c r="M16" s="22">
        <f>IF(OR($E16=0,L$78=0),0,IF(AND(L16="N/A",$G16&lt;&gt;""),0,$F16+SUMPRODUCT(($G$14:$G$71=$A16)*($E$14:$E$71=1)*(L$14:L$71="N/A")*$F$14:$F$71)))</f>
        <v/>
      </c>
      <c r="N16" s="22">
        <f>IF(L16="SI",M16,0)</f>
        <v/>
      </c>
      <c r="O16" s="21" t="n"/>
      <c r="P16" s="22">
        <f>IF(OR($E16=0,O$78=0),0,IF(AND(O16="N/A",$G16&lt;&gt;""),0,$F16+SUMPRODUCT(($G$14:$G$71=$A16)*($E$14:$E$71=1)*(O$14:O$71="N/A")*$F$14:$F$71)))</f>
        <v/>
      </c>
      <c r="Q16" s="22">
        <f>IF(O16="SI",P16,0)</f>
        <v/>
      </c>
      <c r="R16" s="21" t="n"/>
      <c r="S16" s="22">
        <f>IF(OR($E16=0,R$78=0),0,IF(AND(R16="N/A",$G16&lt;&gt;""),0,$F16+SUMPRODUCT(($G$14:$G$71=$A16)*($E$14:$E$71=1)*(R$14:R$71="N/A")*$F$14:$F$71)))</f>
        <v/>
      </c>
      <c r="T16" s="22">
        <f>IF(R16="SI",S16,0)</f>
        <v/>
      </c>
      <c r="U16" s="21" t="n"/>
      <c r="V16" s="22">
        <f>IF(OR($E16=0,U$78=0),0,IF(AND(U16="N/A",$G16&lt;&gt;""),0,$F16+SUMPRODUCT(($G$14:$G$71=$A16)*($E$14:$E$71=1)*(U$14:U$71="N/A")*$F$14:$F$71)))</f>
        <v/>
      </c>
      <c r="W16" s="22">
        <f>IF(U16="SI",V16,0)</f>
        <v/>
      </c>
      <c r="X16" s="21" t="n"/>
      <c r="Y16" s="22">
        <f>IF(OR($E16=0,X$78=0),0,IF(AND(X16="N/A",$G16&lt;&gt;""),0,$F16+SUMPRODUCT(($G$14:$G$71=$A16)*($E$14:$E$71=1)*(X$14:X$71="N/A")*$F$14:$F$71)))</f>
        <v/>
      </c>
      <c r="Z16" s="22">
        <f>IF(X16="SI",Y16,0)</f>
        <v/>
      </c>
      <c r="AA16" s="22">
        <f>SUM(J16,M16,P16,S16,V16,Y16)</f>
        <v/>
      </c>
      <c r="AB16" s="22">
        <f>SUM(K16,N16,Q16,T16,W16,Z16)</f>
        <v/>
      </c>
      <c r="AC16" s="23">
        <f>IF(AA16=0,"",AB16/AA16)</f>
        <v/>
      </c>
      <c r="AD16" s="22">
        <f>CRITERIOS!Q4</f>
        <v/>
      </c>
      <c r="AE16" s="22">
        <f>IF(AND(E16=1,H16&lt;&gt;"X",((I16="N/A")+(L16="N/A")+(O16="N/A")+(R16="N/A")+(U16="N/A")+(X16="N/A"))&gt;0),"REVISAR","")</f>
        <v/>
      </c>
    </row>
    <row r="17">
      <c r="A17" s="19">
        <f>CRITERIOS!B5</f>
        <v/>
      </c>
      <c r="B17" s="19">
        <f>CRITERIOS!C5</f>
        <v/>
      </c>
      <c r="C17" s="20">
        <f>CRITERIOS!D5</f>
        <v/>
      </c>
      <c r="D17" s="19">
        <f>CRITERIOS!E5</f>
        <v/>
      </c>
      <c r="E17" s="19">
        <f>IFERROR(IF(AND(OR(CRITERIOS!F5="Todos",CRITERIOS!F5=$B$4),INDEX(CRITERIOS!H5:J5,MATCH($B$5,VARIABLES!$E$2:$E$4,0))=1),1,0),0)</f>
        <v/>
      </c>
      <c r="F17" s="19">
        <f>IFERROR(IF(E17=1,INDEX(CRITERIOS!K5:M5,MATCH($B$5,VARIABLES!$E$2:$E$4,0)),0),0)</f>
        <v/>
      </c>
      <c r="G17" s="19">
        <f>IF(CRITERIOS!N5="","",CRITERIOS!N5)</f>
        <v/>
      </c>
      <c r="H17" s="19">
        <f>IF(CRITERIOS!O5="","",CRITERIOS!O5)</f>
        <v/>
      </c>
      <c r="I17" s="21" t="n"/>
      <c r="J17" s="22">
        <f>IF(OR($E17=0,I$78=0),0,IF(AND(I17="N/A",$G17&lt;&gt;""),0,$F17+SUMPRODUCT(($G$14:$G$71=$A17)*($E$14:$E$71=1)*(I$14:I$71="N/A")*$F$14:$F$71)))</f>
        <v/>
      </c>
      <c r="K17" s="22">
        <f>IF(I17="SI",J17,0)</f>
        <v/>
      </c>
      <c r="L17" s="21" t="n"/>
      <c r="M17" s="22">
        <f>IF(OR($E17=0,L$78=0),0,IF(AND(L17="N/A",$G17&lt;&gt;""),0,$F17+SUMPRODUCT(($G$14:$G$71=$A17)*($E$14:$E$71=1)*(L$14:L$71="N/A")*$F$14:$F$71)))</f>
        <v/>
      </c>
      <c r="N17" s="22">
        <f>IF(L17="SI",M17,0)</f>
        <v/>
      </c>
      <c r="O17" s="21" t="n"/>
      <c r="P17" s="22">
        <f>IF(OR($E17=0,O$78=0),0,IF(AND(O17="N/A",$G17&lt;&gt;""),0,$F17+SUMPRODUCT(($G$14:$G$71=$A17)*($E$14:$E$71=1)*(O$14:O$71="N/A")*$F$14:$F$71)))</f>
        <v/>
      </c>
      <c r="Q17" s="22">
        <f>IF(O17="SI",P17,0)</f>
        <v/>
      </c>
      <c r="R17" s="21" t="n"/>
      <c r="S17" s="22">
        <f>IF(OR($E17=0,R$78=0),0,IF(AND(R17="N/A",$G17&lt;&gt;""),0,$F17+SUMPRODUCT(($G$14:$G$71=$A17)*($E$14:$E$71=1)*(R$14:R$71="N/A")*$F$14:$F$71)))</f>
        <v/>
      </c>
      <c r="T17" s="22">
        <f>IF(R17="SI",S17,0)</f>
        <v/>
      </c>
      <c r="U17" s="21" t="n"/>
      <c r="V17" s="22">
        <f>IF(OR($E17=0,U$78=0),0,IF(AND(U17="N/A",$G17&lt;&gt;""),0,$F17+SUMPRODUCT(($G$14:$G$71=$A17)*($E$14:$E$71=1)*(U$14:U$71="N/A")*$F$14:$F$71)))</f>
        <v/>
      </c>
      <c r="W17" s="22">
        <f>IF(U17="SI",V17,0)</f>
        <v/>
      </c>
      <c r="X17" s="21" t="n"/>
      <c r="Y17" s="22">
        <f>IF(OR($E17=0,X$78=0),0,IF(AND(X17="N/A",$G17&lt;&gt;""),0,$F17+SUMPRODUCT(($G$14:$G$71=$A17)*($E$14:$E$71=1)*(X$14:X$71="N/A")*$F$14:$F$71)))</f>
        <v/>
      </c>
      <c r="Z17" s="22">
        <f>IF(X17="SI",Y17,0)</f>
        <v/>
      </c>
      <c r="AA17" s="22">
        <f>SUM(J17,M17,P17,S17,V17,Y17)</f>
        <v/>
      </c>
      <c r="AB17" s="22">
        <f>SUM(K17,N17,Q17,T17,W17,Z17)</f>
        <v/>
      </c>
      <c r="AC17" s="23">
        <f>IF(AA17=0,"",AB17/AA17)</f>
        <v/>
      </c>
      <c r="AD17" s="22">
        <f>CRITERIOS!Q5</f>
        <v/>
      </c>
      <c r="AE17" s="22">
        <f>IF(AND(E17=1,H17&lt;&gt;"X",((I17="N/A")+(L17="N/A")+(O17="N/A")+(R17="N/A")+(U17="N/A")+(X17="N/A"))&gt;0),"REVISAR","")</f>
        <v/>
      </c>
    </row>
    <row r="18">
      <c r="A18" s="19">
        <f>CRITERIOS!B6</f>
        <v/>
      </c>
      <c r="B18" s="19">
        <f>CRITERIOS!C6</f>
        <v/>
      </c>
      <c r="C18" s="20">
        <f>CRITERIOS!D6</f>
        <v/>
      </c>
      <c r="D18" s="19">
        <f>CRITERIOS!E6</f>
        <v/>
      </c>
      <c r="E18" s="19">
        <f>IFERROR(IF(AND(OR(CRITERIOS!F6="Todos",CRITERIOS!F6=$B$4),INDEX(CRITERIOS!H6:J6,MATCH($B$5,VARIABLES!$E$2:$E$4,0))=1),1,0),0)</f>
        <v/>
      </c>
      <c r="F18" s="19">
        <f>IFERROR(IF(E18=1,INDEX(CRITERIOS!K6:M6,MATCH($B$5,VARIABLES!$E$2:$E$4,0)),0),0)</f>
        <v/>
      </c>
      <c r="G18" s="19">
        <f>IF(CRITERIOS!N6="","",CRITERIOS!N6)</f>
        <v/>
      </c>
      <c r="H18" s="19">
        <f>IF(CRITERIOS!O6="","",CRITERIOS!O6)</f>
        <v/>
      </c>
      <c r="I18" s="21" t="n"/>
      <c r="J18" s="22">
        <f>IF(OR($E18=0,I$78=0),0,IF(AND(I18="N/A",$G18&lt;&gt;""),0,$F18+SUMPRODUCT(($G$14:$G$71=$A18)*($E$14:$E$71=1)*(I$14:I$71="N/A")*$F$14:$F$71)))</f>
        <v/>
      </c>
      <c r="K18" s="22">
        <f>IF(I18="SI",J18,0)</f>
        <v/>
      </c>
      <c r="L18" s="21" t="n"/>
      <c r="M18" s="22">
        <f>IF(OR($E18=0,L$78=0),0,IF(AND(L18="N/A",$G18&lt;&gt;""),0,$F18+SUMPRODUCT(($G$14:$G$71=$A18)*($E$14:$E$71=1)*(L$14:L$71="N/A")*$F$14:$F$71)))</f>
        <v/>
      </c>
      <c r="N18" s="22">
        <f>IF(L18="SI",M18,0)</f>
        <v/>
      </c>
      <c r="O18" s="21" t="n"/>
      <c r="P18" s="22">
        <f>IF(OR($E18=0,O$78=0),0,IF(AND(O18="N/A",$G18&lt;&gt;""),0,$F18+SUMPRODUCT(($G$14:$G$71=$A18)*($E$14:$E$71=1)*(O$14:O$71="N/A")*$F$14:$F$71)))</f>
        <v/>
      </c>
      <c r="Q18" s="22">
        <f>IF(O18="SI",P18,0)</f>
        <v/>
      </c>
      <c r="R18" s="21" t="n"/>
      <c r="S18" s="22">
        <f>IF(OR($E18=0,R$78=0),0,IF(AND(R18="N/A",$G18&lt;&gt;""),0,$F18+SUMPRODUCT(($G$14:$G$71=$A18)*($E$14:$E$71=1)*(R$14:R$71="N/A")*$F$14:$F$71)))</f>
        <v/>
      </c>
      <c r="T18" s="22">
        <f>IF(R18="SI",S18,0)</f>
        <v/>
      </c>
      <c r="U18" s="21" t="n"/>
      <c r="V18" s="22">
        <f>IF(OR($E18=0,U$78=0),0,IF(AND(U18="N/A",$G18&lt;&gt;""),0,$F18+SUMPRODUCT(($G$14:$G$71=$A18)*($E$14:$E$71=1)*(U$14:U$71="N/A")*$F$14:$F$71)))</f>
        <v/>
      </c>
      <c r="W18" s="22">
        <f>IF(U18="SI",V18,0)</f>
        <v/>
      </c>
      <c r="X18" s="21" t="n"/>
      <c r="Y18" s="22">
        <f>IF(OR($E18=0,X$78=0),0,IF(AND(X18="N/A",$G18&lt;&gt;""),0,$F18+SUMPRODUCT(($G$14:$G$71=$A18)*($E$14:$E$71=1)*(X$14:X$71="N/A")*$F$14:$F$71)))</f>
        <v/>
      </c>
      <c r="Z18" s="22">
        <f>IF(X18="SI",Y18,0)</f>
        <v/>
      </c>
      <c r="AA18" s="22">
        <f>SUM(J18,M18,P18,S18,V18,Y18)</f>
        <v/>
      </c>
      <c r="AB18" s="22">
        <f>SUM(K18,N18,Q18,T18,W18,Z18)</f>
        <v/>
      </c>
      <c r="AC18" s="23">
        <f>IF(AA18=0,"",AB18/AA18)</f>
        <v/>
      </c>
      <c r="AD18" s="22">
        <f>CRITERIOS!Q6</f>
        <v/>
      </c>
      <c r="AE18" s="22">
        <f>IF(AND(E18=1,H18&lt;&gt;"X",((I18="N/A")+(L18="N/A")+(O18="N/A")+(R18="N/A")+(U18="N/A")+(X18="N/A"))&gt;0),"REVISAR","")</f>
        <v/>
      </c>
    </row>
    <row r="19">
      <c r="A19" s="19">
        <f>CRITERIOS!B7</f>
        <v/>
      </c>
      <c r="B19" s="19">
        <f>CRITERIOS!C7</f>
        <v/>
      </c>
      <c r="C19" s="20">
        <f>CRITERIOS!D7</f>
        <v/>
      </c>
      <c r="D19" s="19">
        <f>CRITERIOS!E7</f>
        <v/>
      </c>
      <c r="E19" s="19">
        <f>IFERROR(IF(AND(OR(CRITERIOS!F7="Todos",CRITERIOS!F7=$B$4),INDEX(CRITERIOS!H7:J7,MATCH($B$5,VARIABLES!$E$2:$E$4,0))=1),1,0),0)</f>
        <v/>
      </c>
      <c r="F19" s="19">
        <f>IFERROR(IF(E19=1,INDEX(CRITERIOS!K7:M7,MATCH($B$5,VARIABLES!$E$2:$E$4,0)),0),0)</f>
        <v/>
      </c>
      <c r="G19" s="19">
        <f>IF(CRITERIOS!N7="","",CRITERIOS!N7)</f>
        <v/>
      </c>
      <c r="H19" s="19">
        <f>IF(CRITERIOS!O7="","",CRITERIOS!O7)</f>
        <v/>
      </c>
      <c r="I19" s="21" t="n"/>
      <c r="J19" s="22">
        <f>IF(OR($E19=0,I$78=0),0,IF(AND(I19="N/A",$G19&lt;&gt;""),0,$F19+SUMPRODUCT(($G$14:$G$71=$A19)*($E$14:$E$71=1)*(I$14:I$71="N/A")*$F$14:$F$71)))</f>
        <v/>
      </c>
      <c r="K19" s="22">
        <f>IF(I19="SI",J19,0)</f>
        <v/>
      </c>
      <c r="L19" s="21" t="n"/>
      <c r="M19" s="22">
        <f>IF(OR($E19=0,L$78=0),0,IF(AND(L19="N/A",$G19&lt;&gt;""),0,$F19+SUMPRODUCT(($G$14:$G$71=$A19)*($E$14:$E$71=1)*(L$14:L$71="N/A")*$F$14:$F$71)))</f>
        <v/>
      </c>
      <c r="N19" s="22">
        <f>IF(L19="SI",M19,0)</f>
        <v/>
      </c>
      <c r="O19" s="21" t="n"/>
      <c r="P19" s="22">
        <f>IF(OR($E19=0,O$78=0),0,IF(AND(O19="N/A",$G19&lt;&gt;""),0,$F19+SUMPRODUCT(($G$14:$G$71=$A19)*($E$14:$E$71=1)*(O$14:O$71="N/A")*$F$14:$F$71)))</f>
        <v/>
      </c>
      <c r="Q19" s="22">
        <f>IF(O19="SI",P19,0)</f>
        <v/>
      </c>
      <c r="R19" s="21" t="n"/>
      <c r="S19" s="22">
        <f>IF(OR($E19=0,R$78=0),0,IF(AND(R19="N/A",$G19&lt;&gt;""),0,$F19+SUMPRODUCT(($G$14:$G$71=$A19)*($E$14:$E$71=1)*(R$14:R$71="N/A")*$F$14:$F$71)))</f>
        <v/>
      </c>
      <c r="T19" s="22">
        <f>IF(R19="SI",S19,0)</f>
        <v/>
      </c>
      <c r="U19" s="21" t="n"/>
      <c r="V19" s="22">
        <f>IF(OR($E19=0,U$78=0),0,IF(AND(U19="N/A",$G19&lt;&gt;""),0,$F19+SUMPRODUCT(($G$14:$G$71=$A19)*($E$14:$E$71=1)*(U$14:U$71="N/A")*$F$14:$F$71)))</f>
        <v/>
      </c>
      <c r="W19" s="22">
        <f>IF(U19="SI",V19,0)</f>
        <v/>
      </c>
      <c r="X19" s="21" t="n"/>
      <c r="Y19" s="22">
        <f>IF(OR($E19=0,X$78=0),0,IF(AND(X19="N/A",$G19&lt;&gt;""),0,$F19+SUMPRODUCT(($G$14:$G$71=$A19)*($E$14:$E$71=1)*(X$14:X$71="N/A")*$F$14:$F$71)))</f>
        <v/>
      </c>
      <c r="Z19" s="22">
        <f>IF(X19="SI",Y19,0)</f>
        <v/>
      </c>
      <c r="AA19" s="22">
        <f>SUM(J19,M19,P19,S19,V19,Y19)</f>
        <v/>
      </c>
      <c r="AB19" s="22">
        <f>SUM(K19,N19,Q19,T19,W19,Z19)</f>
        <v/>
      </c>
      <c r="AC19" s="23">
        <f>IF(AA19=0,"",AB19/AA19)</f>
        <v/>
      </c>
      <c r="AD19" s="22">
        <f>CRITERIOS!Q7</f>
        <v/>
      </c>
      <c r="AE19" s="22">
        <f>IF(AND(E19=1,H19&lt;&gt;"X",((I19="N/A")+(L19="N/A")+(O19="N/A")+(R19="N/A")+(U19="N/A")+(X19="N/A"))&gt;0),"REVISAR","")</f>
        <v/>
      </c>
    </row>
    <row r="20">
      <c r="A20" s="19">
        <f>CRITERIOS!B8</f>
        <v/>
      </c>
      <c r="B20" s="19">
        <f>CRITERIOS!C8</f>
        <v/>
      </c>
      <c r="C20" s="20">
        <f>CRITERIOS!D8</f>
        <v/>
      </c>
      <c r="D20" s="19">
        <f>CRITERIOS!E8</f>
        <v/>
      </c>
      <c r="E20" s="19">
        <f>IFERROR(IF(AND(OR(CRITERIOS!F8="Todos",CRITERIOS!F8=$B$4),INDEX(CRITERIOS!H8:J8,MATCH($B$5,VARIABLES!$E$2:$E$4,0))=1),1,0),0)</f>
        <v/>
      </c>
      <c r="F20" s="19">
        <f>IFERROR(IF(E20=1,INDEX(CRITERIOS!K8:M8,MATCH($B$5,VARIABLES!$E$2:$E$4,0)),0),0)</f>
        <v/>
      </c>
      <c r="G20" s="19">
        <f>IF(CRITERIOS!N8="","",CRITERIOS!N8)</f>
        <v/>
      </c>
      <c r="H20" s="19">
        <f>IF(CRITERIOS!O8="","",CRITERIOS!O8)</f>
        <v/>
      </c>
      <c r="I20" s="21" t="n"/>
      <c r="J20" s="22">
        <f>IF(OR($E20=0,I$78=0),0,IF(AND(I20="N/A",$G20&lt;&gt;""),0,$F20+SUMPRODUCT(($G$14:$G$71=$A20)*($E$14:$E$71=1)*(I$14:I$71="N/A")*$F$14:$F$71)))</f>
        <v/>
      </c>
      <c r="K20" s="22">
        <f>IF(I20="SI",J20,0)</f>
        <v/>
      </c>
      <c r="L20" s="21" t="n"/>
      <c r="M20" s="22">
        <f>IF(OR($E20=0,L$78=0),0,IF(AND(L20="N/A",$G20&lt;&gt;""),0,$F20+SUMPRODUCT(($G$14:$G$71=$A20)*($E$14:$E$71=1)*(L$14:L$71="N/A")*$F$14:$F$71)))</f>
        <v/>
      </c>
      <c r="N20" s="22">
        <f>IF(L20="SI",M20,0)</f>
        <v/>
      </c>
      <c r="O20" s="21" t="n"/>
      <c r="P20" s="22">
        <f>IF(OR($E20=0,O$78=0),0,IF(AND(O20="N/A",$G20&lt;&gt;""),0,$F20+SUMPRODUCT(($G$14:$G$71=$A20)*($E$14:$E$71=1)*(O$14:O$71="N/A")*$F$14:$F$71)))</f>
        <v/>
      </c>
      <c r="Q20" s="22">
        <f>IF(O20="SI",P20,0)</f>
        <v/>
      </c>
      <c r="R20" s="21" t="n"/>
      <c r="S20" s="22">
        <f>IF(OR($E20=0,R$78=0),0,IF(AND(R20="N/A",$G20&lt;&gt;""),0,$F20+SUMPRODUCT(($G$14:$G$71=$A20)*($E$14:$E$71=1)*(R$14:R$71="N/A")*$F$14:$F$71)))</f>
        <v/>
      </c>
      <c r="T20" s="22">
        <f>IF(R20="SI",S20,0)</f>
        <v/>
      </c>
      <c r="U20" s="21" t="n"/>
      <c r="V20" s="22">
        <f>IF(OR($E20=0,U$78=0),0,IF(AND(U20="N/A",$G20&lt;&gt;""),0,$F20+SUMPRODUCT(($G$14:$G$71=$A20)*($E$14:$E$71=1)*(U$14:U$71="N/A")*$F$14:$F$71)))</f>
        <v/>
      </c>
      <c r="W20" s="22">
        <f>IF(U20="SI",V20,0)</f>
        <v/>
      </c>
      <c r="X20" s="21" t="n"/>
      <c r="Y20" s="22">
        <f>IF(OR($E20=0,X$78=0),0,IF(AND(X20="N/A",$G20&lt;&gt;""),0,$F20+SUMPRODUCT(($G$14:$G$71=$A20)*($E$14:$E$71=1)*(X$14:X$71="N/A")*$F$14:$F$71)))</f>
        <v/>
      </c>
      <c r="Z20" s="22">
        <f>IF(X20="SI",Y20,0)</f>
        <v/>
      </c>
      <c r="AA20" s="22">
        <f>SUM(J20,M20,P20,S20,V20,Y20)</f>
        <v/>
      </c>
      <c r="AB20" s="22">
        <f>SUM(K20,N20,Q20,T20,W20,Z20)</f>
        <v/>
      </c>
      <c r="AC20" s="23">
        <f>IF(AA20=0,"",AB20/AA20)</f>
        <v/>
      </c>
      <c r="AD20" s="22">
        <f>CRITERIOS!Q8</f>
        <v/>
      </c>
      <c r="AE20" s="22">
        <f>IF(AND(E20=1,H20&lt;&gt;"X",((I20="N/A")+(L20="N/A")+(O20="N/A")+(R20="N/A")+(U20="N/A")+(X20="N/A"))&gt;0),"REVISAR","")</f>
        <v/>
      </c>
    </row>
    <row r="21">
      <c r="A21" s="19">
        <f>CRITERIOS!B9</f>
        <v/>
      </c>
      <c r="B21" s="19">
        <f>CRITERIOS!C9</f>
        <v/>
      </c>
      <c r="C21" s="20">
        <f>CRITERIOS!D9</f>
        <v/>
      </c>
      <c r="D21" s="19">
        <f>CRITERIOS!E9</f>
        <v/>
      </c>
      <c r="E21" s="19">
        <f>IFERROR(IF(AND(OR(CRITERIOS!F9="Todos",CRITERIOS!F9=$B$4),INDEX(CRITERIOS!H9:J9,MATCH($B$5,VARIABLES!$E$2:$E$4,0))=1),1,0),0)</f>
        <v/>
      </c>
      <c r="F21" s="19">
        <f>IFERROR(IF(E21=1,INDEX(CRITERIOS!K9:M9,MATCH($B$5,VARIABLES!$E$2:$E$4,0)),0),0)</f>
        <v/>
      </c>
      <c r="G21" s="19">
        <f>IF(CRITERIOS!N9="","",CRITERIOS!N9)</f>
        <v/>
      </c>
      <c r="H21" s="19">
        <f>IF(CRITERIOS!O9="","",CRITERIOS!O9)</f>
        <v/>
      </c>
      <c r="I21" s="21" t="n"/>
      <c r="J21" s="22">
        <f>IF(OR($E21=0,I$78=0),0,IF(AND(I21="N/A",$G21&lt;&gt;""),0,$F21+SUMPRODUCT(($G$14:$G$71=$A21)*($E$14:$E$71=1)*(I$14:I$71="N/A")*$F$14:$F$71)))</f>
        <v/>
      </c>
      <c r="K21" s="22">
        <f>IF(I21="SI",J21,0)</f>
        <v/>
      </c>
      <c r="L21" s="21" t="n"/>
      <c r="M21" s="22">
        <f>IF(OR($E21=0,L$78=0),0,IF(AND(L21="N/A",$G21&lt;&gt;""),0,$F21+SUMPRODUCT(($G$14:$G$71=$A21)*($E$14:$E$71=1)*(L$14:L$71="N/A")*$F$14:$F$71)))</f>
        <v/>
      </c>
      <c r="N21" s="22">
        <f>IF(L21="SI",M21,0)</f>
        <v/>
      </c>
      <c r="O21" s="21" t="n"/>
      <c r="P21" s="22">
        <f>IF(OR($E21=0,O$78=0),0,IF(AND(O21="N/A",$G21&lt;&gt;""),0,$F21+SUMPRODUCT(($G$14:$G$71=$A21)*($E$14:$E$71=1)*(O$14:O$71="N/A")*$F$14:$F$71)))</f>
        <v/>
      </c>
      <c r="Q21" s="22">
        <f>IF(O21="SI",P21,0)</f>
        <v/>
      </c>
      <c r="R21" s="21" t="n"/>
      <c r="S21" s="22">
        <f>IF(OR($E21=0,R$78=0),0,IF(AND(R21="N/A",$G21&lt;&gt;""),0,$F21+SUMPRODUCT(($G$14:$G$71=$A21)*($E$14:$E$71=1)*(R$14:R$71="N/A")*$F$14:$F$71)))</f>
        <v/>
      </c>
      <c r="T21" s="22">
        <f>IF(R21="SI",S21,0)</f>
        <v/>
      </c>
      <c r="U21" s="21" t="n"/>
      <c r="V21" s="22">
        <f>IF(OR($E21=0,U$78=0),0,IF(AND(U21="N/A",$G21&lt;&gt;""),0,$F21+SUMPRODUCT(($G$14:$G$71=$A21)*($E$14:$E$71=1)*(U$14:U$71="N/A")*$F$14:$F$71)))</f>
        <v/>
      </c>
      <c r="W21" s="22">
        <f>IF(U21="SI",V21,0)</f>
        <v/>
      </c>
      <c r="X21" s="21" t="n"/>
      <c r="Y21" s="22">
        <f>IF(OR($E21=0,X$78=0),0,IF(AND(X21="N/A",$G21&lt;&gt;""),0,$F21+SUMPRODUCT(($G$14:$G$71=$A21)*($E$14:$E$71=1)*(X$14:X$71="N/A")*$F$14:$F$71)))</f>
        <v/>
      </c>
      <c r="Z21" s="22">
        <f>IF(X21="SI",Y21,0)</f>
        <v/>
      </c>
      <c r="AA21" s="22">
        <f>SUM(J21,M21,P21,S21,V21,Y21)</f>
        <v/>
      </c>
      <c r="AB21" s="22">
        <f>SUM(K21,N21,Q21,T21,W21,Z21)</f>
        <v/>
      </c>
      <c r="AC21" s="23">
        <f>IF(AA21=0,"",AB21/AA21)</f>
        <v/>
      </c>
      <c r="AD21" s="22">
        <f>CRITERIOS!Q9</f>
        <v/>
      </c>
      <c r="AE21" s="22">
        <f>IF(AND(E21=1,H21&lt;&gt;"X",((I21="N/A")+(L21="N/A")+(O21="N/A")+(R21="N/A")+(U21="N/A")+(X21="N/A"))&gt;0),"REVISAR","")</f>
        <v/>
      </c>
    </row>
    <row r="22">
      <c r="A22" s="19">
        <f>CRITERIOS!B10</f>
        <v/>
      </c>
      <c r="B22" s="19">
        <f>CRITERIOS!C10</f>
        <v/>
      </c>
      <c r="C22" s="20">
        <f>CRITERIOS!D10</f>
        <v/>
      </c>
      <c r="D22" s="19">
        <f>CRITERIOS!E10</f>
        <v/>
      </c>
      <c r="E22" s="19">
        <f>IFERROR(IF(AND(OR(CRITERIOS!F10="Todos",CRITERIOS!F10=$B$4),INDEX(CRITERIOS!H10:J10,MATCH($B$5,VARIABLES!$E$2:$E$4,0))=1),1,0),0)</f>
        <v/>
      </c>
      <c r="F22" s="19">
        <f>IFERROR(IF(E22=1,INDEX(CRITERIOS!K10:M10,MATCH($B$5,VARIABLES!$E$2:$E$4,0)),0),0)</f>
        <v/>
      </c>
      <c r="G22" s="19">
        <f>IF(CRITERIOS!N10="","",CRITERIOS!N10)</f>
        <v/>
      </c>
      <c r="H22" s="19">
        <f>IF(CRITERIOS!O10="","",CRITERIOS!O10)</f>
        <v/>
      </c>
      <c r="I22" s="21" t="n"/>
      <c r="J22" s="22">
        <f>IF(OR($E22=0,I$78=0),0,IF(AND(I22="N/A",$G22&lt;&gt;""),0,$F22+SUMPRODUCT(($G$14:$G$71=$A22)*($E$14:$E$71=1)*(I$14:I$71="N/A")*$F$14:$F$71)))</f>
        <v/>
      </c>
      <c r="K22" s="22">
        <f>IF(I22="SI",J22,0)</f>
        <v/>
      </c>
      <c r="L22" s="21" t="n"/>
      <c r="M22" s="22">
        <f>IF(OR($E22=0,L$78=0),0,IF(AND(L22="N/A",$G22&lt;&gt;""),0,$F22+SUMPRODUCT(($G$14:$G$71=$A22)*($E$14:$E$71=1)*(L$14:L$71="N/A")*$F$14:$F$71)))</f>
        <v/>
      </c>
      <c r="N22" s="22">
        <f>IF(L22="SI",M22,0)</f>
        <v/>
      </c>
      <c r="O22" s="21" t="n"/>
      <c r="P22" s="22">
        <f>IF(OR($E22=0,O$78=0),0,IF(AND(O22="N/A",$G22&lt;&gt;""),0,$F22+SUMPRODUCT(($G$14:$G$71=$A22)*($E$14:$E$71=1)*(O$14:O$71="N/A")*$F$14:$F$71)))</f>
        <v/>
      </c>
      <c r="Q22" s="22">
        <f>IF(O22="SI",P22,0)</f>
        <v/>
      </c>
      <c r="R22" s="21" t="n"/>
      <c r="S22" s="22">
        <f>IF(OR($E22=0,R$78=0),0,IF(AND(R22="N/A",$G22&lt;&gt;""),0,$F22+SUMPRODUCT(($G$14:$G$71=$A22)*($E$14:$E$71=1)*(R$14:R$71="N/A")*$F$14:$F$71)))</f>
        <v/>
      </c>
      <c r="T22" s="22">
        <f>IF(R22="SI",S22,0)</f>
        <v/>
      </c>
      <c r="U22" s="21" t="n"/>
      <c r="V22" s="22">
        <f>IF(OR($E22=0,U$78=0),0,IF(AND(U22="N/A",$G22&lt;&gt;""),0,$F22+SUMPRODUCT(($G$14:$G$71=$A22)*($E$14:$E$71=1)*(U$14:U$71="N/A")*$F$14:$F$71)))</f>
        <v/>
      </c>
      <c r="W22" s="22">
        <f>IF(U22="SI",V22,0)</f>
        <v/>
      </c>
      <c r="X22" s="21" t="n"/>
      <c r="Y22" s="22">
        <f>IF(OR($E22=0,X$78=0),0,IF(AND(X22="N/A",$G22&lt;&gt;""),0,$F22+SUMPRODUCT(($G$14:$G$71=$A22)*($E$14:$E$71=1)*(X$14:X$71="N/A")*$F$14:$F$71)))</f>
        <v/>
      </c>
      <c r="Z22" s="22">
        <f>IF(X22="SI",Y22,0)</f>
        <v/>
      </c>
      <c r="AA22" s="22">
        <f>SUM(J22,M22,P22,S22,V22,Y22)</f>
        <v/>
      </c>
      <c r="AB22" s="22">
        <f>SUM(K22,N22,Q22,T22,W22,Z22)</f>
        <v/>
      </c>
      <c r="AC22" s="23">
        <f>IF(AA22=0,"",AB22/AA22)</f>
        <v/>
      </c>
      <c r="AD22" s="22">
        <f>CRITERIOS!Q10</f>
        <v/>
      </c>
      <c r="AE22" s="22">
        <f>IF(AND(E22=1,H22&lt;&gt;"X",((I22="N/A")+(L22="N/A")+(O22="N/A")+(R22="N/A")+(U22="N/A")+(X22="N/A"))&gt;0),"REVISAR","")</f>
        <v/>
      </c>
    </row>
    <row r="23">
      <c r="A23" s="19">
        <f>CRITERIOS!B11</f>
        <v/>
      </c>
      <c r="B23" s="19">
        <f>CRITERIOS!C11</f>
        <v/>
      </c>
      <c r="C23" s="20">
        <f>CRITERIOS!D11</f>
        <v/>
      </c>
      <c r="D23" s="19">
        <f>CRITERIOS!E11</f>
        <v/>
      </c>
      <c r="E23" s="19">
        <f>IFERROR(IF(AND(OR(CRITERIOS!F11="Todos",CRITERIOS!F11=$B$4),INDEX(CRITERIOS!H11:J11,MATCH($B$5,VARIABLES!$E$2:$E$4,0))=1),1,0),0)</f>
        <v/>
      </c>
      <c r="F23" s="19">
        <f>IFERROR(IF(E23=1,INDEX(CRITERIOS!K11:M11,MATCH($B$5,VARIABLES!$E$2:$E$4,0)),0),0)</f>
        <v/>
      </c>
      <c r="G23" s="19">
        <f>IF(CRITERIOS!N11="","",CRITERIOS!N11)</f>
        <v/>
      </c>
      <c r="H23" s="19">
        <f>IF(CRITERIOS!O11="","",CRITERIOS!O11)</f>
        <v/>
      </c>
      <c r="I23" s="21" t="n"/>
      <c r="J23" s="22">
        <f>IF(OR($E23=0,I$78=0),0,IF(AND(I23="N/A",$G23&lt;&gt;""),0,$F23+SUMPRODUCT(($G$14:$G$71=$A23)*($E$14:$E$71=1)*(I$14:I$71="N/A")*$F$14:$F$71)))</f>
        <v/>
      </c>
      <c r="K23" s="22">
        <f>IF(I23="SI",J23,0)</f>
        <v/>
      </c>
      <c r="L23" s="21" t="n"/>
      <c r="M23" s="22">
        <f>IF(OR($E23=0,L$78=0),0,IF(AND(L23="N/A",$G23&lt;&gt;""),0,$F23+SUMPRODUCT(($G$14:$G$71=$A23)*($E$14:$E$71=1)*(L$14:L$71="N/A")*$F$14:$F$71)))</f>
        <v/>
      </c>
      <c r="N23" s="22">
        <f>IF(L23="SI",M23,0)</f>
        <v/>
      </c>
      <c r="O23" s="21" t="n"/>
      <c r="P23" s="22">
        <f>IF(OR($E23=0,O$78=0),0,IF(AND(O23="N/A",$G23&lt;&gt;""),0,$F23+SUMPRODUCT(($G$14:$G$71=$A23)*($E$14:$E$71=1)*(O$14:O$71="N/A")*$F$14:$F$71)))</f>
        <v/>
      </c>
      <c r="Q23" s="22">
        <f>IF(O23="SI",P23,0)</f>
        <v/>
      </c>
      <c r="R23" s="21" t="n"/>
      <c r="S23" s="22">
        <f>IF(OR($E23=0,R$78=0),0,IF(AND(R23="N/A",$G23&lt;&gt;""),0,$F23+SUMPRODUCT(($G$14:$G$71=$A23)*($E$14:$E$71=1)*(R$14:R$71="N/A")*$F$14:$F$71)))</f>
        <v/>
      </c>
      <c r="T23" s="22">
        <f>IF(R23="SI",S23,0)</f>
        <v/>
      </c>
      <c r="U23" s="21" t="n"/>
      <c r="V23" s="22">
        <f>IF(OR($E23=0,U$78=0),0,IF(AND(U23="N/A",$G23&lt;&gt;""),0,$F23+SUMPRODUCT(($G$14:$G$71=$A23)*($E$14:$E$71=1)*(U$14:U$71="N/A")*$F$14:$F$71)))</f>
        <v/>
      </c>
      <c r="W23" s="22">
        <f>IF(U23="SI",V23,0)</f>
        <v/>
      </c>
      <c r="X23" s="21" t="n"/>
      <c r="Y23" s="22">
        <f>IF(OR($E23=0,X$78=0),0,IF(AND(X23="N/A",$G23&lt;&gt;""),0,$F23+SUMPRODUCT(($G$14:$G$71=$A23)*($E$14:$E$71=1)*(X$14:X$71="N/A")*$F$14:$F$71)))</f>
        <v/>
      </c>
      <c r="Z23" s="22">
        <f>IF(X23="SI",Y23,0)</f>
        <v/>
      </c>
      <c r="AA23" s="22">
        <f>SUM(J23,M23,P23,S23,V23,Y23)</f>
        <v/>
      </c>
      <c r="AB23" s="22">
        <f>SUM(K23,N23,Q23,T23,W23,Z23)</f>
        <v/>
      </c>
      <c r="AC23" s="23">
        <f>IF(AA23=0,"",AB23/AA23)</f>
        <v/>
      </c>
      <c r="AD23" s="22">
        <f>CRITERIOS!Q11</f>
        <v/>
      </c>
      <c r="AE23" s="22">
        <f>IF(AND(E23=1,H23&lt;&gt;"X",((I23="N/A")+(L23="N/A")+(O23="N/A")+(R23="N/A")+(U23="N/A")+(X23="N/A"))&gt;0),"REVISAR","")</f>
        <v/>
      </c>
    </row>
    <row r="24">
      <c r="A24" s="19">
        <f>CRITERIOS!B12</f>
        <v/>
      </c>
      <c r="B24" s="19">
        <f>CRITERIOS!C12</f>
        <v/>
      </c>
      <c r="C24" s="20">
        <f>CRITERIOS!D12</f>
        <v/>
      </c>
      <c r="D24" s="19">
        <f>CRITERIOS!E12</f>
        <v/>
      </c>
      <c r="E24" s="19">
        <f>IFERROR(IF(AND(OR(CRITERIOS!F12="Todos",CRITERIOS!F12=$B$4),INDEX(CRITERIOS!H12:J12,MATCH($B$5,VARIABLES!$E$2:$E$4,0))=1),1,0),0)</f>
        <v/>
      </c>
      <c r="F24" s="19">
        <f>IFERROR(IF(E24=1,INDEX(CRITERIOS!K12:M12,MATCH($B$5,VARIABLES!$E$2:$E$4,0)),0),0)</f>
        <v/>
      </c>
      <c r="G24" s="19">
        <f>IF(CRITERIOS!N12="","",CRITERIOS!N12)</f>
        <v/>
      </c>
      <c r="H24" s="19">
        <f>IF(CRITERIOS!O12="","",CRITERIOS!O12)</f>
        <v/>
      </c>
      <c r="I24" s="21" t="n"/>
      <c r="J24" s="22">
        <f>IF(OR($E24=0,I$78=0),0,IF(AND(I24="N/A",$G24&lt;&gt;""),0,$F24+SUMPRODUCT(($G$14:$G$71=$A24)*($E$14:$E$71=1)*(I$14:I$71="N/A")*$F$14:$F$71)))</f>
        <v/>
      </c>
      <c r="K24" s="22">
        <f>IF(I24="SI",J24,0)</f>
        <v/>
      </c>
      <c r="L24" s="21" t="n"/>
      <c r="M24" s="22">
        <f>IF(OR($E24=0,L$78=0),0,IF(AND(L24="N/A",$G24&lt;&gt;""),0,$F24+SUMPRODUCT(($G$14:$G$71=$A24)*($E$14:$E$71=1)*(L$14:L$71="N/A")*$F$14:$F$71)))</f>
        <v/>
      </c>
      <c r="N24" s="22">
        <f>IF(L24="SI",M24,0)</f>
        <v/>
      </c>
      <c r="O24" s="21" t="n"/>
      <c r="P24" s="22">
        <f>IF(OR($E24=0,O$78=0),0,IF(AND(O24="N/A",$G24&lt;&gt;""),0,$F24+SUMPRODUCT(($G$14:$G$71=$A24)*($E$14:$E$71=1)*(O$14:O$71="N/A")*$F$14:$F$71)))</f>
        <v/>
      </c>
      <c r="Q24" s="22">
        <f>IF(O24="SI",P24,0)</f>
        <v/>
      </c>
      <c r="R24" s="21" t="n"/>
      <c r="S24" s="22">
        <f>IF(OR($E24=0,R$78=0),0,IF(AND(R24="N/A",$G24&lt;&gt;""),0,$F24+SUMPRODUCT(($G$14:$G$71=$A24)*($E$14:$E$71=1)*(R$14:R$71="N/A")*$F$14:$F$71)))</f>
        <v/>
      </c>
      <c r="T24" s="22">
        <f>IF(R24="SI",S24,0)</f>
        <v/>
      </c>
      <c r="U24" s="21" t="n"/>
      <c r="V24" s="22">
        <f>IF(OR($E24=0,U$78=0),0,IF(AND(U24="N/A",$G24&lt;&gt;""),0,$F24+SUMPRODUCT(($G$14:$G$71=$A24)*($E$14:$E$71=1)*(U$14:U$71="N/A")*$F$14:$F$71)))</f>
        <v/>
      </c>
      <c r="W24" s="22">
        <f>IF(U24="SI",V24,0)</f>
        <v/>
      </c>
      <c r="X24" s="21" t="n"/>
      <c r="Y24" s="22">
        <f>IF(OR($E24=0,X$78=0),0,IF(AND(X24="N/A",$G24&lt;&gt;""),0,$F24+SUMPRODUCT(($G$14:$G$71=$A24)*($E$14:$E$71=1)*(X$14:X$71="N/A")*$F$14:$F$71)))</f>
        <v/>
      </c>
      <c r="Z24" s="22">
        <f>IF(X24="SI",Y24,0)</f>
        <v/>
      </c>
      <c r="AA24" s="22">
        <f>SUM(J24,M24,P24,S24,V24,Y24)</f>
        <v/>
      </c>
      <c r="AB24" s="22">
        <f>SUM(K24,N24,Q24,T24,W24,Z24)</f>
        <v/>
      </c>
      <c r="AC24" s="23">
        <f>IF(AA24=0,"",AB24/AA24)</f>
        <v/>
      </c>
      <c r="AD24" s="22">
        <f>CRITERIOS!Q12</f>
        <v/>
      </c>
      <c r="AE24" s="22">
        <f>IF(AND(E24=1,H24&lt;&gt;"X",((I24="N/A")+(L24="N/A")+(O24="N/A")+(R24="N/A")+(U24="N/A")+(X24="N/A"))&gt;0),"REVISAR","")</f>
        <v/>
      </c>
    </row>
    <row r="25">
      <c r="A25" s="19">
        <f>CRITERIOS!B13</f>
        <v/>
      </c>
      <c r="B25" s="19">
        <f>CRITERIOS!C13</f>
        <v/>
      </c>
      <c r="C25" s="20">
        <f>CRITERIOS!D13</f>
        <v/>
      </c>
      <c r="D25" s="19">
        <f>CRITERIOS!E13</f>
        <v/>
      </c>
      <c r="E25" s="19">
        <f>IFERROR(IF(AND(OR(CRITERIOS!F13="Todos",CRITERIOS!F13=$B$4),INDEX(CRITERIOS!H13:J13,MATCH($B$5,VARIABLES!$E$2:$E$4,0))=1),1,0),0)</f>
        <v/>
      </c>
      <c r="F25" s="19">
        <f>IFERROR(IF(E25=1,INDEX(CRITERIOS!K13:M13,MATCH($B$5,VARIABLES!$E$2:$E$4,0)),0),0)</f>
        <v/>
      </c>
      <c r="G25" s="19">
        <f>IF(CRITERIOS!N13="","",CRITERIOS!N13)</f>
        <v/>
      </c>
      <c r="H25" s="19">
        <f>IF(CRITERIOS!O13="","",CRITERIOS!O13)</f>
        <v/>
      </c>
      <c r="I25" s="21" t="n"/>
      <c r="J25" s="22">
        <f>IF(OR($E25=0,I$78=0),0,IF(AND(I25="N/A",$G25&lt;&gt;""),0,$F25+SUMPRODUCT(($G$14:$G$71=$A25)*($E$14:$E$71=1)*(I$14:I$71="N/A")*$F$14:$F$71)))</f>
        <v/>
      </c>
      <c r="K25" s="22">
        <f>IF(I25="SI",J25,0)</f>
        <v/>
      </c>
      <c r="L25" s="21" t="n"/>
      <c r="M25" s="22">
        <f>IF(OR($E25=0,L$78=0),0,IF(AND(L25="N/A",$G25&lt;&gt;""),0,$F25+SUMPRODUCT(($G$14:$G$71=$A25)*($E$14:$E$71=1)*(L$14:L$71="N/A")*$F$14:$F$71)))</f>
        <v/>
      </c>
      <c r="N25" s="22">
        <f>IF(L25="SI",M25,0)</f>
        <v/>
      </c>
      <c r="O25" s="21" t="n"/>
      <c r="P25" s="22">
        <f>IF(OR($E25=0,O$78=0),0,IF(AND(O25="N/A",$G25&lt;&gt;""),0,$F25+SUMPRODUCT(($G$14:$G$71=$A25)*($E$14:$E$71=1)*(O$14:O$71="N/A")*$F$14:$F$71)))</f>
        <v/>
      </c>
      <c r="Q25" s="22">
        <f>IF(O25="SI",P25,0)</f>
        <v/>
      </c>
      <c r="R25" s="21" t="n"/>
      <c r="S25" s="22">
        <f>IF(OR($E25=0,R$78=0),0,IF(AND(R25="N/A",$G25&lt;&gt;""),0,$F25+SUMPRODUCT(($G$14:$G$71=$A25)*($E$14:$E$71=1)*(R$14:R$71="N/A")*$F$14:$F$71)))</f>
        <v/>
      </c>
      <c r="T25" s="22">
        <f>IF(R25="SI",S25,0)</f>
        <v/>
      </c>
      <c r="U25" s="21" t="n"/>
      <c r="V25" s="22">
        <f>IF(OR($E25=0,U$78=0),0,IF(AND(U25="N/A",$G25&lt;&gt;""),0,$F25+SUMPRODUCT(($G$14:$G$71=$A25)*($E$14:$E$71=1)*(U$14:U$71="N/A")*$F$14:$F$71)))</f>
        <v/>
      </c>
      <c r="W25" s="22">
        <f>IF(U25="SI",V25,0)</f>
        <v/>
      </c>
      <c r="X25" s="21" t="n"/>
      <c r="Y25" s="22">
        <f>IF(OR($E25=0,X$78=0),0,IF(AND(X25="N/A",$G25&lt;&gt;""),0,$F25+SUMPRODUCT(($G$14:$G$71=$A25)*($E$14:$E$71=1)*(X$14:X$71="N/A")*$F$14:$F$71)))</f>
        <v/>
      </c>
      <c r="Z25" s="22">
        <f>IF(X25="SI",Y25,0)</f>
        <v/>
      </c>
      <c r="AA25" s="22">
        <f>SUM(J25,M25,P25,S25,V25,Y25)</f>
        <v/>
      </c>
      <c r="AB25" s="22">
        <f>SUM(K25,N25,Q25,T25,W25,Z25)</f>
        <v/>
      </c>
      <c r="AC25" s="23">
        <f>IF(AA25=0,"",AB25/AA25)</f>
        <v/>
      </c>
      <c r="AD25" s="22">
        <f>CRITERIOS!Q13</f>
        <v/>
      </c>
      <c r="AE25" s="22">
        <f>IF(AND(E25=1,H25&lt;&gt;"X",((I25="N/A")+(L25="N/A")+(O25="N/A")+(R25="N/A")+(U25="N/A")+(X25="N/A"))&gt;0),"REVISAR","")</f>
        <v/>
      </c>
    </row>
    <row r="26">
      <c r="A26" s="19">
        <f>CRITERIOS!B14</f>
        <v/>
      </c>
      <c r="B26" s="19">
        <f>CRITERIOS!C14</f>
        <v/>
      </c>
      <c r="C26" s="20">
        <f>CRITERIOS!D14</f>
        <v/>
      </c>
      <c r="D26" s="19">
        <f>CRITERIOS!E14</f>
        <v/>
      </c>
      <c r="E26" s="19">
        <f>IFERROR(IF(AND(OR(CRITERIOS!F14="Todos",CRITERIOS!F14=$B$4),INDEX(CRITERIOS!H14:J14,MATCH($B$5,VARIABLES!$E$2:$E$4,0))=1),1,0),0)</f>
        <v/>
      </c>
      <c r="F26" s="19">
        <f>IFERROR(IF(E26=1,INDEX(CRITERIOS!K14:M14,MATCH($B$5,VARIABLES!$E$2:$E$4,0)),0),0)</f>
        <v/>
      </c>
      <c r="G26" s="19">
        <f>IF(CRITERIOS!N14="","",CRITERIOS!N14)</f>
        <v/>
      </c>
      <c r="H26" s="19">
        <f>IF(CRITERIOS!O14="","",CRITERIOS!O14)</f>
        <v/>
      </c>
      <c r="I26" s="21" t="n"/>
      <c r="J26" s="22">
        <f>IF(OR($E26=0,I$78=0),0,IF(AND(I26="N/A",$G26&lt;&gt;""),0,$F26+SUMPRODUCT(($G$14:$G$71=$A26)*($E$14:$E$71=1)*(I$14:I$71="N/A")*$F$14:$F$71)))</f>
        <v/>
      </c>
      <c r="K26" s="22">
        <f>IF(I26="SI",J26,0)</f>
        <v/>
      </c>
      <c r="L26" s="21" t="n"/>
      <c r="M26" s="22">
        <f>IF(OR($E26=0,L$78=0),0,IF(AND(L26="N/A",$G26&lt;&gt;""),0,$F26+SUMPRODUCT(($G$14:$G$71=$A26)*($E$14:$E$71=1)*(L$14:L$71="N/A")*$F$14:$F$71)))</f>
        <v/>
      </c>
      <c r="N26" s="22">
        <f>IF(L26="SI",M26,0)</f>
        <v/>
      </c>
      <c r="O26" s="21" t="n"/>
      <c r="P26" s="22">
        <f>IF(OR($E26=0,O$78=0),0,IF(AND(O26="N/A",$G26&lt;&gt;""),0,$F26+SUMPRODUCT(($G$14:$G$71=$A26)*($E$14:$E$71=1)*(O$14:O$71="N/A")*$F$14:$F$71)))</f>
        <v/>
      </c>
      <c r="Q26" s="22">
        <f>IF(O26="SI",P26,0)</f>
        <v/>
      </c>
      <c r="R26" s="21" t="n"/>
      <c r="S26" s="22">
        <f>IF(OR($E26=0,R$78=0),0,IF(AND(R26="N/A",$G26&lt;&gt;""),0,$F26+SUMPRODUCT(($G$14:$G$71=$A26)*($E$14:$E$71=1)*(R$14:R$71="N/A")*$F$14:$F$71)))</f>
        <v/>
      </c>
      <c r="T26" s="22">
        <f>IF(R26="SI",S26,0)</f>
        <v/>
      </c>
      <c r="U26" s="21" t="n"/>
      <c r="V26" s="22">
        <f>IF(OR($E26=0,U$78=0),0,IF(AND(U26="N/A",$G26&lt;&gt;""),0,$F26+SUMPRODUCT(($G$14:$G$71=$A26)*($E$14:$E$71=1)*(U$14:U$71="N/A")*$F$14:$F$71)))</f>
        <v/>
      </c>
      <c r="W26" s="22">
        <f>IF(U26="SI",V26,0)</f>
        <v/>
      </c>
      <c r="X26" s="21" t="n"/>
      <c r="Y26" s="22">
        <f>IF(OR($E26=0,X$78=0),0,IF(AND(X26="N/A",$G26&lt;&gt;""),0,$F26+SUMPRODUCT(($G$14:$G$71=$A26)*($E$14:$E$71=1)*(X$14:X$71="N/A")*$F$14:$F$71)))</f>
        <v/>
      </c>
      <c r="Z26" s="22">
        <f>IF(X26="SI",Y26,0)</f>
        <v/>
      </c>
      <c r="AA26" s="22">
        <f>SUM(J26,M26,P26,S26,V26,Y26)</f>
        <v/>
      </c>
      <c r="AB26" s="22">
        <f>SUM(K26,N26,Q26,T26,W26,Z26)</f>
        <v/>
      </c>
      <c r="AC26" s="23">
        <f>IF(AA26=0,"",AB26/AA26)</f>
        <v/>
      </c>
      <c r="AD26" s="22">
        <f>CRITERIOS!Q14</f>
        <v/>
      </c>
      <c r="AE26" s="22">
        <f>IF(AND(E26=1,H26&lt;&gt;"X",((I26="N/A")+(L26="N/A")+(O26="N/A")+(R26="N/A")+(U26="N/A")+(X26="N/A"))&gt;0),"REVISAR","")</f>
        <v/>
      </c>
    </row>
    <row r="27">
      <c r="A27" s="19">
        <f>CRITERIOS!B15</f>
        <v/>
      </c>
      <c r="B27" s="19">
        <f>CRITERIOS!C15</f>
        <v/>
      </c>
      <c r="C27" s="20">
        <f>CRITERIOS!D15</f>
        <v/>
      </c>
      <c r="D27" s="19">
        <f>CRITERIOS!E15</f>
        <v/>
      </c>
      <c r="E27" s="19">
        <f>IFERROR(IF(AND(OR(CRITERIOS!F15="Todos",CRITERIOS!F15=$B$4),INDEX(CRITERIOS!H15:J15,MATCH($B$5,VARIABLES!$E$2:$E$4,0))=1),1,0),0)</f>
        <v/>
      </c>
      <c r="F27" s="19">
        <f>IFERROR(IF(E27=1,INDEX(CRITERIOS!K15:M15,MATCH($B$5,VARIABLES!$E$2:$E$4,0)),0),0)</f>
        <v/>
      </c>
      <c r="G27" s="19">
        <f>IF(CRITERIOS!N15="","",CRITERIOS!N15)</f>
        <v/>
      </c>
      <c r="H27" s="19">
        <f>IF(CRITERIOS!O15="","",CRITERIOS!O15)</f>
        <v/>
      </c>
      <c r="I27" s="21" t="n"/>
      <c r="J27" s="22">
        <f>IF(OR($E27=0,I$78=0),0,IF(AND(I27="N/A",$G27&lt;&gt;""),0,$F27+SUMPRODUCT(($G$14:$G$71=$A27)*($E$14:$E$71=1)*(I$14:I$71="N/A")*$F$14:$F$71)))</f>
        <v/>
      </c>
      <c r="K27" s="22">
        <f>IF(I27="SI",J27,0)</f>
        <v/>
      </c>
      <c r="L27" s="21" t="n"/>
      <c r="M27" s="22">
        <f>IF(OR($E27=0,L$78=0),0,IF(AND(L27="N/A",$G27&lt;&gt;""),0,$F27+SUMPRODUCT(($G$14:$G$71=$A27)*($E$14:$E$71=1)*(L$14:L$71="N/A")*$F$14:$F$71)))</f>
        <v/>
      </c>
      <c r="N27" s="22">
        <f>IF(L27="SI",M27,0)</f>
        <v/>
      </c>
      <c r="O27" s="21" t="n"/>
      <c r="P27" s="22">
        <f>IF(OR($E27=0,O$78=0),0,IF(AND(O27="N/A",$G27&lt;&gt;""),0,$F27+SUMPRODUCT(($G$14:$G$71=$A27)*($E$14:$E$71=1)*(O$14:O$71="N/A")*$F$14:$F$71)))</f>
        <v/>
      </c>
      <c r="Q27" s="22">
        <f>IF(O27="SI",P27,0)</f>
        <v/>
      </c>
      <c r="R27" s="21" t="n"/>
      <c r="S27" s="22">
        <f>IF(OR($E27=0,R$78=0),0,IF(AND(R27="N/A",$G27&lt;&gt;""),0,$F27+SUMPRODUCT(($G$14:$G$71=$A27)*($E$14:$E$71=1)*(R$14:R$71="N/A")*$F$14:$F$71)))</f>
        <v/>
      </c>
      <c r="T27" s="22">
        <f>IF(R27="SI",S27,0)</f>
        <v/>
      </c>
      <c r="U27" s="21" t="n"/>
      <c r="V27" s="22">
        <f>IF(OR($E27=0,U$78=0),0,IF(AND(U27="N/A",$G27&lt;&gt;""),0,$F27+SUMPRODUCT(($G$14:$G$71=$A27)*($E$14:$E$71=1)*(U$14:U$71="N/A")*$F$14:$F$71)))</f>
        <v/>
      </c>
      <c r="W27" s="22">
        <f>IF(U27="SI",V27,0)</f>
        <v/>
      </c>
      <c r="X27" s="21" t="n"/>
      <c r="Y27" s="22">
        <f>IF(OR($E27=0,X$78=0),0,IF(AND(X27="N/A",$G27&lt;&gt;""),0,$F27+SUMPRODUCT(($G$14:$G$71=$A27)*($E$14:$E$71=1)*(X$14:X$71="N/A")*$F$14:$F$71)))</f>
        <v/>
      </c>
      <c r="Z27" s="22">
        <f>IF(X27="SI",Y27,0)</f>
        <v/>
      </c>
      <c r="AA27" s="22">
        <f>SUM(J27,M27,P27,S27,V27,Y27)</f>
        <v/>
      </c>
      <c r="AB27" s="22">
        <f>SUM(K27,N27,Q27,T27,W27,Z27)</f>
        <v/>
      </c>
      <c r="AC27" s="23">
        <f>IF(AA27=0,"",AB27/AA27)</f>
        <v/>
      </c>
      <c r="AD27" s="22">
        <f>CRITERIOS!Q15</f>
        <v/>
      </c>
      <c r="AE27" s="22">
        <f>IF(AND(E27=1,H27&lt;&gt;"X",((I27="N/A")+(L27="N/A")+(O27="N/A")+(R27="N/A")+(U27="N/A")+(X27="N/A"))&gt;0),"REVISAR","")</f>
        <v/>
      </c>
    </row>
    <row r="28">
      <c r="A28" s="19">
        <f>CRITERIOS!B16</f>
        <v/>
      </c>
      <c r="B28" s="19">
        <f>CRITERIOS!C16</f>
        <v/>
      </c>
      <c r="C28" s="20">
        <f>CRITERIOS!D16</f>
        <v/>
      </c>
      <c r="D28" s="19">
        <f>CRITERIOS!E16</f>
        <v/>
      </c>
      <c r="E28" s="19">
        <f>IFERROR(IF(AND(OR(CRITERIOS!F16="Todos",CRITERIOS!F16=$B$4),INDEX(CRITERIOS!H16:J16,MATCH($B$5,VARIABLES!$E$2:$E$4,0))=1),1,0),0)</f>
        <v/>
      </c>
      <c r="F28" s="19">
        <f>IFERROR(IF(E28=1,INDEX(CRITERIOS!K16:M16,MATCH($B$5,VARIABLES!$E$2:$E$4,0)),0),0)</f>
        <v/>
      </c>
      <c r="G28" s="19">
        <f>IF(CRITERIOS!N16="","",CRITERIOS!N16)</f>
        <v/>
      </c>
      <c r="H28" s="19">
        <f>IF(CRITERIOS!O16="","",CRITERIOS!O16)</f>
        <v/>
      </c>
      <c r="I28" s="21" t="n"/>
      <c r="J28" s="22">
        <f>IF(OR($E28=0,I$78=0),0,IF(AND(I28="N/A",$G28&lt;&gt;""),0,$F28+SUMPRODUCT(($G$14:$G$71=$A28)*($E$14:$E$71=1)*(I$14:I$71="N/A")*$F$14:$F$71)))</f>
        <v/>
      </c>
      <c r="K28" s="22">
        <f>IF(I28="SI",J28,0)</f>
        <v/>
      </c>
      <c r="L28" s="21" t="n"/>
      <c r="M28" s="22">
        <f>IF(OR($E28=0,L$78=0),0,IF(AND(L28="N/A",$G28&lt;&gt;""),0,$F28+SUMPRODUCT(($G$14:$G$71=$A28)*($E$14:$E$71=1)*(L$14:L$71="N/A")*$F$14:$F$71)))</f>
        <v/>
      </c>
      <c r="N28" s="22">
        <f>IF(L28="SI",M28,0)</f>
        <v/>
      </c>
      <c r="O28" s="21" t="n"/>
      <c r="P28" s="22">
        <f>IF(OR($E28=0,O$78=0),0,IF(AND(O28="N/A",$G28&lt;&gt;""),0,$F28+SUMPRODUCT(($G$14:$G$71=$A28)*($E$14:$E$71=1)*(O$14:O$71="N/A")*$F$14:$F$71)))</f>
        <v/>
      </c>
      <c r="Q28" s="22">
        <f>IF(O28="SI",P28,0)</f>
        <v/>
      </c>
      <c r="R28" s="21" t="n"/>
      <c r="S28" s="22">
        <f>IF(OR($E28=0,R$78=0),0,IF(AND(R28="N/A",$G28&lt;&gt;""),0,$F28+SUMPRODUCT(($G$14:$G$71=$A28)*($E$14:$E$71=1)*(R$14:R$71="N/A")*$F$14:$F$71)))</f>
        <v/>
      </c>
      <c r="T28" s="22">
        <f>IF(R28="SI",S28,0)</f>
        <v/>
      </c>
      <c r="U28" s="21" t="n"/>
      <c r="V28" s="22">
        <f>IF(OR($E28=0,U$78=0),0,IF(AND(U28="N/A",$G28&lt;&gt;""),0,$F28+SUMPRODUCT(($G$14:$G$71=$A28)*($E$14:$E$71=1)*(U$14:U$71="N/A")*$F$14:$F$71)))</f>
        <v/>
      </c>
      <c r="W28" s="22">
        <f>IF(U28="SI",V28,0)</f>
        <v/>
      </c>
      <c r="X28" s="21" t="n"/>
      <c r="Y28" s="22">
        <f>IF(OR($E28=0,X$78=0),0,IF(AND(X28="N/A",$G28&lt;&gt;""),0,$F28+SUMPRODUCT(($G$14:$G$71=$A28)*($E$14:$E$71=1)*(X$14:X$71="N/A")*$F$14:$F$71)))</f>
        <v/>
      </c>
      <c r="Z28" s="22">
        <f>IF(X28="SI",Y28,0)</f>
        <v/>
      </c>
      <c r="AA28" s="22">
        <f>SUM(J28,M28,P28,S28,V28,Y28)</f>
        <v/>
      </c>
      <c r="AB28" s="22">
        <f>SUM(K28,N28,Q28,T28,W28,Z28)</f>
        <v/>
      </c>
      <c r="AC28" s="23">
        <f>IF(AA28=0,"",AB28/AA28)</f>
        <v/>
      </c>
      <c r="AD28" s="22">
        <f>CRITERIOS!Q16</f>
        <v/>
      </c>
      <c r="AE28" s="22">
        <f>IF(AND(E28=1,H28&lt;&gt;"X",((I28="N/A")+(L28="N/A")+(O28="N/A")+(R28="N/A")+(U28="N/A")+(X28="N/A"))&gt;0),"REVISAR","")</f>
        <v/>
      </c>
    </row>
    <row r="29">
      <c r="A29" s="19">
        <f>CRITERIOS!B17</f>
        <v/>
      </c>
      <c r="B29" s="19">
        <f>CRITERIOS!C17</f>
        <v/>
      </c>
      <c r="C29" s="20">
        <f>CRITERIOS!D17</f>
        <v/>
      </c>
      <c r="D29" s="19">
        <f>CRITERIOS!E17</f>
        <v/>
      </c>
      <c r="E29" s="19">
        <f>IFERROR(IF(AND(OR(CRITERIOS!F17="Todos",CRITERIOS!F17=$B$4),INDEX(CRITERIOS!H17:J17,MATCH($B$5,VARIABLES!$E$2:$E$4,0))=1),1,0),0)</f>
        <v/>
      </c>
      <c r="F29" s="19">
        <f>IFERROR(IF(E29=1,INDEX(CRITERIOS!K17:M17,MATCH($B$5,VARIABLES!$E$2:$E$4,0)),0),0)</f>
        <v/>
      </c>
      <c r="G29" s="19">
        <f>IF(CRITERIOS!N17="","",CRITERIOS!N17)</f>
        <v/>
      </c>
      <c r="H29" s="19">
        <f>IF(CRITERIOS!O17="","",CRITERIOS!O17)</f>
        <v/>
      </c>
      <c r="I29" s="21" t="n"/>
      <c r="J29" s="22">
        <f>IF(OR($E29=0,I$78=0),0,IF(AND(I29="N/A",$G29&lt;&gt;""),0,$F29+SUMPRODUCT(($G$14:$G$71=$A29)*($E$14:$E$71=1)*(I$14:I$71="N/A")*$F$14:$F$71)))</f>
        <v/>
      </c>
      <c r="K29" s="22">
        <f>IF(I29="SI",J29,0)</f>
        <v/>
      </c>
      <c r="L29" s="21" t="n"/>
      <c r="M29" s="22">
        <f>IF(OR($E29=0,L$78=0),0,IF(AND(L29="N/A",$G29&lt;&gt;""),0,$F29+SUMPRODUCT(($G$14:$G$71=$A29)*($E$14:$E$71=1)*(L$14:L$71="N/A")*$F$14:$F$71)))</f>
        <v/>
      </c>
      <c r="N29" s="22">
        <f>IF(L29="SI",M29,0)</f>
        <v/>
      </c>
      <c r="O29" s="21" t="n"/>
      <c r="P29" s="22">
        <f>IF(OR($E29=0,O$78=0),0,IF(AND(O29="N/A",$G29&lt;&gt;""),0,$F29+SUMPRODUCT(($G$14:$G$71=$A29)*($E$14:$E$71=1)*(O$14:O$71="N/A")*$F$14:$F$71)))</f>
        <v/>
      </c>
      <c r="Q29" s="22">
        <f>IF(O29="SI",P29,0)</f>
        <v/>
      </c>
      <c r="R29" s="21" t="n"/>
      <c r="S29" s="22">
        <f>IF(OR($E29=0,R$78=0),0,IF(AND(R29="N/A",$G29&lt;&gt;""),0,$F29+SUMPRODUCT(($G$14:$G$71=$A29)*($E$14:$E$71=1)*(R$14:R$71="N/A")*$F$14:$F$71)))</f>
        <v/>
      </c>
      <c r="T29" s="22">
        <f>IF(R29="SI",S29,0)</f>
        <v/>
      </c>
      <c r="U29" s="21" t="n"/>
      <c r="V29" s="22">
        <f>IF(OR($E29=0,U$78=0),0,IF(AND(U29="N/A",$G29&lt;&gt;""),0,$F29+SUMPRODUCT(($G$14:$G$71=$A29)*($E$14:$E$71=1)*(U$14:U$71="N/A")*$F$14:$F$71)))</f>
        <v/>
      </c>
      <c r="W29" s="22">
        <f>IF(U29="SI",V29,0)</f>
        <v/>
      </c>
      <c r="X29" s="21" t="n"/>
      <c r="Y29" s="22">
        <f>IF(OR($E29=0,X$78=0),0,IF(AND(X29="N/A",$G29&lt;&gt;""),0,$F29+SUMPRODUCT(($G$14:$G$71=$A29)*($E$14:$E$71=1)*(X$14:X$71="N/A")*$F$14:$F$71)))</f>
        <v/>
      </c>
      <c r="Z29" s="22">
        <f>IF(X29="SI",Y29,0)</f>
        <v/>
      </c>
      <c r="AA29" s="22">
        <f>SUM(J29,M29,P29,S29,V29,Y29)</f>
        <v/>
      </c>
      <c r="AB29" s="22">
        <f>SUM(K29,N29,Q29,T29,W29,Z29)</f>
        <v/>
      </c>
      <c r="AC29" s="23">
        <f>IF(AA29=0,"",AB29/AA29)</f>
        <v/>
      </c>
      <c r="AD29" s="22">
        <f>CRITERIOS!Q17</f>
        <v/>
      </c>
      <c r="AE29" s="22">
        <f>IF(AND(E29=1,H29&lt;&gt;"X",((I29="N/A")+(L29="N/A")+(O29="N/A")+(R29="N/A")+(U29="N/A")+(X29="N/A"))&gt;0),"REVISAR","")</f>
        <v/>
      </c>
    </row>
    <row r="30">
      <c r="A30" s="22">
        <f>CRITERIOS!B18</f>
        <v/>
      </c>
      <c r="B30" s="22">
        <f>CRITERIOS!C18</f>
        <v/>
      </c>
      <c r="C30" s="8">
        <f>CRITERIOS!D18</f>
        <v/>
      </c>
      <c r="D30" s="22">
        <f>CRITERIOS!E18</f>
        <v/>
      </c>
      <c r="E30" s="22">
        <f>IFERROR(IF(AND(OR(CRITERIOS!F18="Todos",CRITERIOS!F18=$B$4),INDEX(CRITERIOS!H18:J18,MATCH($B$5,VARIABLES!$E$2:$E$4,0))=1),1,0),0)</f>
        <v/>
      </c>
      <c r="F30" s="22">
        <f>IFERROR(IF(E30=1,INDEX(CRITERIOS!K18:M18,MATCH($B$5,VARIABLES!$E$2:$E$4,0)),0),0)</f>
        <v/>
      </c>
      <c r="G30" s="22">
        <f>IF(CRITERIOS!N18="","",CRITERIOS!N18)</f>
        <v/>
      </c>
      <c r="H30" s="22">
        <f>IF(CRITERIOS!O18="","",CRITERIOS!O18)</f>
        <v/>
      </c>
      <c r="I30" s="21" t="n"/>
      <c r="J30" s="22">
        <f>IF(OR($E30=0,I$78=0),0,IF(AND(I30="N/A",$G30&lt;&gt;""),0,$F30+SUMPRODUCT(($G$14:$G$71=$A30)*($E$14:$E$71=1)*(I$14:I$71="N/A")*$F$14:$F$71)))</f>
        <v/>
      </c>
      <c r="K30" s="22">
        <f>IF(I30="SI",J30,0)</f>
        <v/>
      </c>
      <c r="L30" s="21" t="n"/>
      <c r="M30" s="22">
        <f>IF(OR($E30=0,L$78=0),0,IF(AND(L30="N/A",$G30&lt;&gt;""),0,$F30+SUMPRODUCT(($G$14:$G$71=$A30)*($E$14:$E$71=1)*(L$14:L$71="N/A")*$F$14:$F$71)))</f>
        <v/>
      </c>
      <c r="N30" s="22">
        <f>IF(L30="SI",M30,0)</f>
        <v/>
      </c>
      <c r="O30" s="21" t="n"/>
      <c r="P30" s="22">
        <f>IF(OR($E30=0,O$78=0),0,IF(AND(O30="N/A",$G30&lt;&gt;""),0,$F30+SUMPRODUCT(($G$14:$G$71=$A30)*($E$14:$E$71=1)*(O$14:O$71="N/A")*$F$14:$F$71)))</f>
        <v/>
      </c>
      <c r="Q30" s="22">
        <f>IF(O30="SI",P30,0)</f>
        <v/>
      </c>
      <c r="R30" s="21" t="n"/>
      <c r="S30" s="22">
        <f>IF(OR($E30=0,R$78=0),0,IF(AND(R30="N/A",$G30&lt;&gt;""),0,$F30+SUMPRODUCT(($G$14:$G$71=$A30)*($E$14:$E$71=1)*(R$14:R$71="N/A")*$F$14:$F$71)))</f>
        <v/>
      </c>
      <c r="T30" s="22">
        <f>IF(R30="SI",S30,0)</f>
        <v/>
      </c>
      <c r="U30" s="21" t="n"/>
      <c r="V30" s="22">
        <f>IF(OR($E30=0,U$78=0),0,IF(AND(U30="N/A",$G30&lt;&gt;""),0,$F30+SUMPRODUCT(($G$14:$G$71=$A30)*($E$14:$E$71=1)*(U$14:U$71="N/A")*$F$14:$F$71)))</f>
        <v/>
      </c>
      <c r="W30" s="22">
        <f>IF(U30="SI",V30,0)</f>
        <v/>
      </c>
      <c r="X30" s="21" t="n"/>
      <c r="Y30" s="22">
        <f>IF(OR($E30=0,X$78=0),0,IF(AND(X30="N/A",$G30&lt;&gt;""),0,$F30+SUMPRODUCT(($G$14:$G$71=$A30)*($E$14:$E$71=1)*(X$14:X$71="N/A")*$F$14:$F$71)))</f>
        <v/>
      </c>
      <c r="Z30" s="22">
        <f>IF(X30="SI",Y30,0)</f>
        <v/>
      </c>
      <c r="AA30" s="22">
        <f>SUM(J30,M30,P30,S30,V30,Y30)</f>
        <v/>
      </c>
      <c r="AB30" s="22">
        <f>SUM(K30,N30,Q30,T30,W30,Z30)</f>
        <v/>
      </c>
      <c r="AC30" s="23">
        <f>IF(AA30=0,"",AB30/AA30)</f>
        <v/>
      </c>
      <c r="AD30" s="22">
        <f>CRITERIOS!Q18</f>
        <v/>
      </c>
      <c r="AE30" s="22">
        <f>IF(AND(E30=1,H30&lt;&gt;"X",((I30="N/A")+(L30="N/A")+(O30="N/A")+(R30="N/A")+(U30="N/A")+(X30="N/A"))&gt;0),"REVISAR","")</f>
        <v/>
      </c>
    </row>
    <row r="31">
      <c r="A31" s="24">
        <f>CRITERIOS!B19</f>
        <v/>
      </c>
      <c r="B31" s="24">
        <f>CRITERIOS!C19</f>
        <v/>
      </c>
      <c r="C31" s="25">
        <f>CRITERIOS!D19</f>
        <v/>
      </c>
      <c r="D31" s="24">
        <f>CRITERIOS!E19</f>
        <v/>
      </c>
      <c r="E31" s="24">
        <f>IFERROR(IF(AND(OR(CRITERIOS!F19="Todos",CRITERIOS!F19=$B$4),INDEX(CRITERIOS!H19:J19,MATCH($B$5,VARIABLES!$E$2:$E$4,0))=1),1,0),0)</f>
        <v/>
      </c>
      <c r="F31" s="24">
        <f>IFERROR(IF(E31=1,INDEX(CRITERIOS!K19:M19,MATCH($B$5,VARIABLES!$E$2:$E$4,0)),0),0)</f>
        <v/>
      </c>
      <c r="G31" s="24">
        <f>IF(CRITERIOS!N19="","",CRITERIOS!N19)</f>
        <v/>
      </c>
      <c r="H31" s="24">
        <f>IF(CRITERIOS!O19="","",CRITERIOS!O19)</f>
        <v/>
      </c>
      <c r="I31" s="21" t="n"/>
      <c r="J31" s="22">
        <f>IF(OR($E31=0,I$78=0),0,IF(AND(I31="N/A",$G31&lt;&gt;""),0,$F31+SUMPRODUCT(($G$14:$G$71=$A31)*($E$14:$E$71=1)*(I$14:I$71="N/A")*$F$14:$F$71)))</f>
        <v/>
      </c>
      <c r="K31" s="22">
        <f>IF(I31="SI",J31,0)</f>
        <v/>
      </c>
      <c r="L31" s="21" t="n"/>
      <c r="M31" s="22">
        <f>IF(OR($E31=0,L$78=0),0,IF(AND(L31="N/A",$G31&lt;&gt;""),0,$F31+SUMPRODUCT(($G$14:$G$71=$A31)*($E$14:$E$71=1)*(L$14:L$71="N/A")*$F$14:$F$71)))</f>
        <v/>
      </c>
      <c r="N31" s="22">
        <f>IF(L31="SI",M31,0)</f>
        <v/>
      </c>
      <c r="O31" s="21" t="n"/>
      <c r="P31" s="22">
        <f>IF(OR($E31=0,O$78=0),0,IF(AND(O31="N/A",$G31&lt;&gt;""),0,$F31+SUMPRODUCT(($G$14:$G$71=$A31)*($E$14:$E$71=1)*(O$14:O$71="N/A")*$F$14:$F$71)))</f>
        <v/>
      </c>
      <c r="Q31" s="22">
        <f>IF(O31="SI",P31,0)</f>
        <v/>
      </c>
      <c r="R31" s="21" t="n"/>
      <c r="S31" s="22">
        <f>IF(OR($E31=0,R$78=0),0,IF(AND(R31="N/A",$G31&lt;&gt;""),0,$F31+SUMPRODUCT(($G$14:$G$71=$A31)*($E$14:$E$71=1)*(R$14:R$71="N/A")*$F$14:$F$71)))</f>
        <v/>
      </c>
      <c r="T31" s="22">
        <f>IF(R31="SI",S31,0)</f>
        <v/>
      </c>
      <c r="U31" s="21" t="n"/>
      <c r="V31" s="22">
        <f>IF(OR($E31=0,U$78=0),0,IF(AND(U31="N/A",$G31&lt;&gt;""),0,$F31+SUMPRODUCT(($G$14:$G$71=$A31)*($E$14:$E$71=1)*(U$14:U$71="N/A")*$F$14:$F$71)))</f>
        <v/>
      </c>
      <c r="W31" s="22">
        <f>IF(U31="SI",V31,0)</f>
        <v/>
      </c>
      <c r="X31" s="21" t="n"/>
      <c r="Y31" s="22">
        <f>IF(OR($E31=0,X$78=0),0,IF(AND(X31="N/A",$G31&lt;&gt;""),0,$F31+SUMPRODUCT(($G$14:$G$71=$A31)*($E$14:$E$71=1)*(X$14:X$71="N/A")*$F$14:$F$71)))</f>
        <v/>
      </c>
      <c r="Z31" s="22">
        <f>IF(X31="SI",Y31,0)</f>
        <v/>
      </c>
      <c r="AA31" s="22">
        <f>SUM(J31,M31,P31,S31,V31,Y31)</f>
        <v/>
      </c>
      <c r="AB31" s="22">
        <f>SUM(K31,N31,Q31,T31,W31,Z31)</f>
        <v/>
      </c>
      <c r="AC31" s="23">
        <f>IF(AA31=0,"",AB31/AA31)</f>
        <v/>
      </c>
      <c r="AD31" s="22">
        <f>CRITERIOS!Q19</f>
        <v/>
      </c>
      <c r="AE31" s="22">
        <f>IF(AND(E31=1,H31&lt;&gt;"X",((I31="N/A")+(L31="N/A")+(O31="N/A")+(R31="N/A")+(U31="N/A")+(X31="N/A"))&gt;0),"REVISAR","")</f>
        <v/>
      </c>
    </row>
    <row r="32">
      <c r="A32" s="24">
        <f>CRITERIOS!B20</f>
        <v/>
      </c>
      <c r="B32" s="24">
        <f>CRITERIOS!C20</f>
        <v/>
      </c>
      <c r="C32" s="25">
        <f>CRITERIOS!D20</f>
        <v/>
      </c>
      <c r="D32" s="24">
        <f>CRITERIOS!E20</f>
        <v/>
      </c>
      <c r="E32" s="24">
        <f>IFERROR(IF(AND(OR(CRITERIOS!F20="Todos",CRITERIOS!F20=$B$4),INDEX(CRITERIOS!H20:J20,MATCH($B$5,VARIABLES!$E$2:$E$4,0))=1),1,0),0)</f>
        <v/>
      </c>
      <c r="F32" s="24">
        <f>IFERROR(IF(E32=1,INDEX(CRITERIOS!K20:M20,MATCH($B$5,VARIABLES!$E$2:$E$4,0)),0),0)</f>
        <v/>
      </c>
      <c r="G32" s="24">
        <f>IF(CRITERIOS!N20="","",CRITERIOS!N20)</f>
        <v/>
      </c>
      <c r="H32" s="24">
        <f>IF(CRITERIOS!O20="","",CRITERIOS!O20)</f>
        <v/>
      </c>
      <c r="I32" s="21" t="n"/>
      <c r="J32" s="22">
        <f>IF(OR($E32=0,I$78=0),0,IF(AND(I32="N/A",$G32&lt;&gt;""),0,$F32+SUMPRODUCT(($G$14:$G$71=$A32)*($E$14:$E$71=1)*(I$14:I$71="N/A")*$F$14:$F$71)))</f>
        <v/>
      </c>
      <c r="K32" s="22">
        <f>IF(I32="SI",J32,0)</f>
        <v/>
      </c>
      <c r="L32" s="21" t="n"/>
      <c r="M32" s="22">
        <f>IF(OR($E32=0,L$78=0),0,IF(AND(L32="N/A",$G32&lt;&gt;""),0,$F32+SUMPRODUCT(($G$14:$G$71=$A32)*($E$14:$E$71=1)*(L$14:L$71="N/A")*$F$14:$F$71)))</f>
        <v/>
      </c>
      <c r="N32" s="22">
        <f>IF(L32="SI",M32,0)</f>
        <v/>
      </c>
      <c r="O32" s="21" t="n"/>
      <c r="P32" s="22">
        <f>IF(OR($E32=0,O$78=0),0,IF(AND(O32="N/A",$G32&lt;&gt;""),0,$F32+SUMPRODUCT(($G$14:$G$71=$A32)*($E$14:$E$71=1)*(O$14:O$71="N/A")*$F$14:$F$71)))</f>
        <v/>
      </c>
      <c r="Q32" s="22">
        <f>IF(O32="SI",P32,0)</f>
        <v/>
      </c>
      <c r="R32" s="21" t="n"/>
      <c r="S32" s="22">
        <f>IF(OR($E32=0,R$78=0),0,IF(AND(R32="N/A",$G32&lt;&gt;""),0,$F32+SUMPRODUCT(($G$14:$G$71=$A32)*($E$14:$E$71=1)*(R$14:R$71="N/A")*$F$14:$F$71)))</f>
        <v/>
      </c>
      <c r="T32" s="22">
        <f>IF(R32="SI",S32,0)</f>
        <v/>
      </c>
      <c r="U32" s="21" t="n"/>
      <c r="V32" s="22">
        <f>IF(OR($E32=0,U$78=0),0,IF(AND(U32="N/A",$G32&lt;&gt;""),0,$F32+SUMPRODUCT(($G$14:$G$71=$A32)*($E$14:$E$71=1)*(U$14:U$71="N/A")*$F$14:$F$71)))</f>
        <v/>
      </c>
      <c r="W32" s="22">
        <f>IF(U32="SI",V32,0)</f>
        <v/>
      </c>
      <c r="X32" s="21" t="n"/>
      <c r="Y32" s="22">
        <f>IF(OR($E32=0,X$78=0),0,IF(AND(X32="N/A",$G32&lt;&gt;""),0,$F32+SUMPRODUCT(($G$14:$G$71=$A32)*($E$14:$E$71=1)*(X$14:X$71="N/A")*$F$14:$F$71)))</f>
        <v/>
      </c>
      <c r="Z32" s="22">
        <f>IF(X32="SI",Y32,0)</f>
        <v/>
      </c>
      <c r="AA32" s="22">
        <f>SUM(J32,M32,P32,S32,V32,Y32)</f>
        <v/>
      </c>
      <c r="AB32" s="22">
        <f>SUM(K32,N32,Q32,T32,W32,Z32)</f>
        <v/>
      </c>
      <c r="AC32" s="23">
        <f>IF(AA32=0,"",AB32/AA32)</f>
        <v/>
      </c>
      <c r="AD32" s="22">
        <f>CRITERIOS!Q20</f>
        <v/>
      </c>
      <c r="AE32" s="22">
        <f>IF(AND(E32=1,H32&lt;&gt;"X",((I32="N/A")+(L32="N/A")+(O32="N/A")+(R32="N/A")+(U32="N/A")+(X32="N/A"))&gt;0),"REVISAR","")</f>
        <v/>
      </c>
    </row>
    <row r="33">
      <c r="A33" s="24">
        <f>CRITERIOS!B21</f>
        <v/>
      </c>
      <c r="B33" s="24">
        <f>CRITERIOS!C21</f>
        <v/>
      </c>
      <c r="C33" s="25">
        <f>CRITERIOS!D21</f>
        <v/>
      </c>
      <c r="D33" s="24">
        <f>CRITERIOS!E21</f>
        <v/>
      </c>
      <c r="E33" s="24">
        <f>IFERROR(IF(AND(OR(CRITERIOS!F21="Todos",CRITERIOS!F21=$B$4),INDEX(CRITERIOS!H21:J21,MATCH($B$5,VARIABLES!$E$2:$E$4,0))=1),1,0),0)</f>
        <v/>
      </c>
      <c r="F33" s="24">
        <f>IFERROR(IF(E33=1,INDEX(CRITERIOS!K21:M21,MATCH($B$5,VARIABLES!$E$2:$E$4,0)),0),0)</f>
        <v/>
      </c>
      <c r="G33" s="24">
        <f>IF(CRITERIOS!N21="","",CRITERIOS!N21)</f>
        <v/>
      </c>
      <c r="H33" s="24">
        <f>IF(CRITERIOS!O21="","",CRITERIOS!O21)</f>
        <v/>
      </c>
      <c r="I33" s="21" t="n"/>
      <c r="J33" s="22">
        <f>IF(OR($E33=0,I$78=0),0,IF(AND(I33="N/A",$G33&lt;&gt;""),0,$F33+SUMPRODUCT(($G$14:$G$71=$A33)*($E$14:$E$71=1)*(I$14:I$71="N/A")*$F$14:$F$71)))</f>
        <v/>
      </c>
      <c r="K33" s="22">
        <f>IF(I33="SI",J33,0)</f>
        <v/>
      </c>
      <c r="L33" s="21" t="n"/>
      <c r="M33" s="22">
        <f>IF(OR($E33=0,L$78=0),0,IF(AND(L33="N/A",$G33&lt;&gt;""),0,$F33+SUMPRODUCT(($G$14:$G$71=$A33)*($E$14:$E$71=1)*(L$14:L$71="N/A")*$F$14:$F$71)))</f>
        <v/>
      </c>
      <c r="N33" s="22">
        <f>IF(L33="SI",M33,0)</f>
        <v/>
      </c>
      <c r="O33" s="21" t="n"/>
      <c r="P33" s="22">
        <f>IF(OR($E33=0,O$78=0),0,IF(AND(O33="N/A",$G33&lt;&gt;""),0,$F33+SUMPRODUCT(($G$14:$G$71=$A33)*($E$14:$E$71=1)*(O$14:O$71="N/A")*$F$14:$F$71)))</f>
        <v/>
      </c>
      <c r="Q33" s="22">
        <f>IF(O33="SI",P33,0)</f>
        <v/>
      </c>
      <c r="R33" s="21" t="n"/>
      <c r="S33" s="22">
        <f>IF(OR($E33=0,R$78=0),0,IF(AND(R33="N/A",$G33&lt;&gt;""),0,$F33+SUMPRODUCT(($G$14:$G$71=$A33)*($E$14:$E$71=1)*(R$14:R$71="N/A")*$F$14:$F$71)))</f>
        <v/>
      </c>
      <c r="T33" s="22">
        <f>IF(R33="SI",S33,0)</f>
        <v/>
      </c>
      <c r="U33" s="21" t="n"/>
      <c r="V33" s="22">
        <f>IF(OR($E33=0,U$78=0),0,IF(AND(U33="N/A",$G33&lt;&gt;""),0,$F33+SUMPRODUCT(($G$14:$G$71=$A33)*($E$14:$E$71=1)*(U$14:U$71="N/A")*$F$14:$F$71)))</f>
        <v/>
      </c>
      <c r="W33" s="22">
        <f>IF(U33="SI",V33,0)</f>
        <v/>
      </c>
      <c r="X33" s="21" t="n"/>
      <c r="Y33" s="22">
        <f>IF(OR($E33=0,X$78=0),0,IF(AND(X33="N/A",$G33&lt;&gt;""),0,$F33+SUMPRODUCT(($G$14:$G$71=$A33)*($E$14:$E$71=1)*(X$14:X$71="N/A")*$F$14:$F$71)))</f>
        <v/>
      </c>
      <c r="Z33" s="22">
        <f>IF(X33="SI",Y33,0)</f>
        <v/>
      </c>
      <c r="AA33" s="22">
        <f>SUM(J33,M33,P33,S33,V33,Y33)</f>
        <v/>
      </c>
      <c r="AB33" s="22">
        <f>SUM(K33,N33,Q33,T33,W33,Z33)</f>
        <v/>
      </c>
      <c r="AC33" s="23">
        <f>IF(AA33=0,"",AB33/AA33)</f>
        <v/>
      </c>
      <c r="AD33" s="22">
        <f>CRITERIOS!Q21</f>
        <v/>
      </c>
      <c r="AE33" s="22">
        <f>IF(AND(E33=1,H33&lt;&gt;"X",((I33="N/A")+(L33="N/A")+(O33="N/A")+(R33="N/A")+(U33="N/A")+(X33="N/A"))&gt;0),"REVISAR","")</f>
        <v/>
      </c>
    </row>
    <row r="34">
      <c r="A34" s="22">
        <f>CRITERIOS!B22</f>
        <v/>
      </c>
      <c r="B34" s="22">
        <f>CRITERIOS!C22</f>
        <v/>
      </c>
      <c r="C34" s="8">
        <f>CRITERIOS!D22</f>
        <v/>
      </c>
      <c r="D34" s="22">
        <f>CRITERIOS!E22</f>
        <v/>
      </c>
      <c r="E34" s="22">
        <f>IFERROR(IF(AND(OR(CRITERIOS!F22="Todos",CRITERIOS!F22=$B$4),INDEX(CRITERIOS!H22:J22,MATCH($B$5,VARIABLES!$E$2:$E$4,0))=1),1,0),0)</f>
        <v/>
      </c>
      <c r="F34" s="22">
        <f>IFERROR(IF(E34=1,INDEX(CRITERIOS!K22:M22,MATCH($B$5,VARIABLES!$E$2:$E$4,0)),0),0)</f>
        <v/>
      </c>
      <c r="G34" s="22">
        <f>IF(CRITERIOS!N22="","",CRITERIOS!N22)</f>
        <v/>
      </c>
      <c r="H34" s="22">
        <f>IF(CRITERIOS!O22="","",CRITERIOS!O22)</f>
        <v/>
      </c>
      <c r="I34" s="21" t="n"/>
      <c r="J34" s="22">
        <f>IF(OR($E34=0,I$78=0),0,IF(AND(I34="N/A",$G34&lt;&gt;""),0,$F34+SUMPRODUCT(($G$14:$G$71=$A34)*($E$14:$E$71=1)*(I$14:I$71="N/A")*$F$14:$F$71)))</f>
        <v/>
      </c>
      <c r="K34" s="22">
        <f>IF(I34="SI",J34,0)</f>
        <v/>
      </c>
      <c r="L34" s="21" t="n"/>
      <c r="M34" s="22">
        <f>IF(OR($E34=0,L$78=0),0,IF(AND(L34="N/A",$G34&lt;&gt;""),0,$F34+SUMPRODUCT(($G$14:$G$71=$A34)*($E$14:$E$71=1)*(L$14:L$71="N/A")*$F$14:$F$71)))</f>
        <v/>
      </c>
      <c r="N34" s="22">
        <f>IF(L34="SI",M34,0)</f>
        <v/>
      </c>
      <c r="O34" s="21" t="n"/>
      <c r="P34" s="22">
        <f>IF(OR($E34=0,O$78=0),0,IF(AND(O34="N/A",$G34&lt;&gt;""),0,$F34+SUMPRODUCT(($G$14:$G$71=$A34)*($E$14:$E$71=1)*(O$14:O$71="N/A")*$F$14:$F$71)))</f>
        <v/>
      </c>
      <c r="Q34" s="22">
        <f>IF(O34="SI",P34,0)</f>
        <v/>
      </c>
      <c r="R34" s="21" t="n"/>
      <c r="S34" s="22">
        <f>IF(OR($E34=0,R$78=0),0,IF(AND(R34="N/A",$G34&lt;&gt;""),0,$F34+SUMPRODUCT(($G$14:$G$71=$A34)*($E$14:$E$71=1)*(R$14:R$71="N/A")*$F$14:$F$71)))</f>
        <v/>
      </c>
      <c r="T34" s="22">
        <f>IF(R34="SI",S34,0)</f>
        <v/>
      </c>
      <c r="U34" s="21" t="n"/>
      <c r="V34" s="22">
        <f>IF(OR($E34=0,U$78=0),0,IF(AND(U34="N/A",$G34&lt;&gt;""),0,$F34+SUMPRODUCT(($G$14:$G$71=$A34)*($E$14:$E$71=1)*(U$14:U$71="N/A")*$F$14:$F$71)))</f>
        <v/>
      </c>
      <c r="W34" s="22">
        <f>IF(U34="SI",V34,0)</f>
        <v/>
      </c>
      <c r="X34" s="21" t="n"/>
      <c r="Y34" s="22">
        <f>IF(OR($E34=0,X$78=0),0,IF(AND(X34="N/A",$G34&lt;&gt;""),0,$F34+SUMPRODUCT(($G$14:$G$71=$A34)*($E$14:$E$71=1)*(X$14:X$71="N/A")*$F$14:$F$71)))</f>
        <v/>
      </c>
      <c r="Z34" s="22">
        <f>IF(X34="SI",Y34,0)</f>
        <v/>
      </c>
      <c r="AA34" s="22">
        <f>SUM(J34,M34,P34,S34,V34,Y34)</f>
        <v/>
      </c>
      <c r="AB34" s="22">
        <f>SUM(K34,N34,Q34,T34,W34,Z34)</f>
        <v/>
      </c>
      <c r="AC34" s="23">
        <f>IF(AA34=0,"",AB34/AA34)</f>
        <v/>
      </c>
      <c r="AD34" s="22">
        <f>CRITERIOS!Q22</f>
        <v/>
      </c>
      <c r="AE34" s="22">
        <f>IF(AND(E34=1,H34&lt;&gt;"X",((I34="N/A")+(L34="N/A")+(O34="N/A")+(R34="N/A")+(U34="N/A")+(X34="N/A"))&gt;0),"REVISAR","")</f>
        <v/>
      </c>
    </row>
    <row r="35">
      <c r="A35" s="22">
        <f>CRITERIOS!B23</f>
        <v/>
      </c>
      <c r="B35" s="22">
        <f>CRITERIOS!C23</f>
        <v/>
      </c>
      <c r="C35" s="8">
        <f>CRITERIOS!D23</f>
        <v/>
      </c>
      <c r="D35" s="22">
        <f>CRITERIOS!E23</f>
        <v/>
      </c>
      <c r="E35" s="22">
        <f>IFERROR(IF(AND(OR(CRITERIOS!F23="Todos",CRITERIOS!F23=$B$4),INDEX(CRITERIOS!H23:J23,MATCH($B$5,VARIABLES!$E$2:$E$4,0))=1),1,0),0)</f>
        <v/>
      </c>
      <c r="F35" s="22">
        <f>IFERROR(IF(E35=1,INDEX(CRITERIOS!K23:M23,MATCH($B$5,VARIABLES!$E$2:$E$4,0)),0),0)</f>
        <v/>
      </c>
      <c r="G35" s="22">
        <f>IF(CRITERIOS!N23="","",CRITERIOS!N23)</f>
        <v/>
      </c>
      <c r="H35" s="22">
        <f>IF(CRITERIOS!O23="","",CRITERIOS!O23)</f>
        <v/>
      </c>
      <c r="I35" s="21" t="n"/>
      <c r="J35" s="22">
        <f>IF(OR($E35=0,I$78=0),0,IF(AND(I35="N/A",$G35&lt;&gt;""),0,$F35+SUMPRODUCT(($G$14:$G$71=$A35)*($E$14:$E$71=1)*(I$14:I$71="N/A")*$F$14:$F$71)))</f>
        <v/>
      </c>
      <c r="K35" s="22">
        <f>IF(I35="SI",J35,0)</f>
        <v/>
      </c>
      <c r="L35" s="21" t="n"/>
      <c r="M35" s="22">
        <f>IF(OR($E35=0,L$78=0),0,IF(AND(L35="N/A",$G35&lt;&gt;""),0,$F35+SUMPRODUCT(($G$14:$G$71=$A35)*($E$14:$E$71=1)*(L$14:L$71="N/A")*$F$14:$F$71)))</f>
        <v/>
      </c>
      <c r="N35" s="22">
        <f>IF(L35="SI",M35,0)</f>
        <v/>
      </c>
      <c r="O35" s="21" t="n"/>
      <c r="P35" s="22">
        <f>IF(OR($E35=0,O$78=0),0,IF(AND(O35="N/A",$G35&lt;&gt;""),0,$F35+SUMPRODUCT(($G$14:$G$71=$A35)*($E$14:$E$71=1)*(O$14:O$71="N/A")*$F$14:$F$71)))</f>
        <v/>
      </c>
      <c r="Q35" s="22">
        <f>IF(O35="SI",P35,0)</f>
        <v/>
      </c>
      <c r="R35" s="21" t="n"/>
      <c r="S35" s="22">
        <f>IF(OR($E35=0,R$78=0),0,IF(AND(R35="N/A",$G35&lt;&gt;""),0,$F35+SUMPRODUCT(($G$14:$G$71=$A35)*($E$14:$E$71=1)*(R$14:R$71="N/A")*$F$14:$F$71)))</f>
        <v/>
      </c>
      <c r="T35" s="22">
        <f>IF(R35="SI",S35,0)</f>
        <v/>
      </c>
      <c r="U35" s="21" t="n"/>
      <c r="V35" s="22">
        <f>IF(OR($E35=0,U$78=0),0,IF(AND(U35="N/A",$G35&lt;&gt;""),0,$F35+SUMPRODUCT(($G$14:$G$71=$A35)*($E$14:$E$71=1)*(U$14:U$71="N/A")*$F$14:$F$71)))</f>
        <v/>
      </c>
      <c r="W35" s="22">
        <f>IF(U35="SI",V35,0)</f>
        <v/>
      </c>
      <c r="X35" s="21" t="n"/>
      <c r="Y35" s="22">
        <f>IF(OR($E35=0,X$78=0),0,IF(AND(X35="N/A",$G35&lt;&gt;""),0,$F35+SUMPRODUCT(($G$14:$G$71=$A35)*($E$14:$E$71=1)*(X$14:X$71="N/A")*$F$14:$F$71)))</f>
        <v/>
      </c>
      <c r="Z35" s="22">
        <f>IF(X35="SI",Y35,0)</f>
        <v/>
      </c>
      <c r="AA35" s="22">
        <f>SUM(J35,M35,P35,S35,V35,Y35)</f>
        <v/>
      </c>
      <c r="AB35" s="22">
        <f>SUM(K35,N35,Q35,T35,W35,Z35)</f>
        <v/>
      </c>
      <c r="AC35" s="23">
        <f>IF(AA35=0,"",AB35/AA35)</f>
        <v/>
      </c>
      <c r="AD35" s="22">
        <f>CRITERIOS!Q23</f>
        <v/>
      </c>
      <c r="AE35" s="22">
        <f>IF(AND(E35=1,H35&lt;&gt;"X",((I35="N/A")+(L35="N/A")+(O35="N/A")+(R35="N/A")+(U35="N/A")+(X35="N/A"))&gt;0),"REVISAR","")</f>
        <v/>
      </c>
    </row>
    <row r="36">
      <c r="A36" s="22">
        <f>CRITERIOS!B24</f>
        <v/>
      </c>
      <c r="B36" s="22">
        <f>CRITERIOS!C24</f>
        <v/>
      </c>
      <c r="C36" s="8">
        <f>CRITERIOS!D24</f>
        <v/>
      </c>
      <c r="D36" s="22">
        <f>CRITERIOS!E24</f>
        <v/>
      </c>
      <c r="E36" s="22">
        <f>IFERROR(IF(AND(OR(CRITERIOS!F24="Todos",CRITERIOS!F24=$B$4),INDEX(CRITERIOS!H24:J24,MATCH($B$5,VARIABLES!$E$2:$E$4,0))=1),1,0),0)</f>
        <v/>
      </c>
      <c r="F36" s="22">
        <f>IFERROR(IF(E36=1,INDEX(CRITERIOS!K24:M24,MATCH($B$5,VARIABLES!$E$2:$E$4,0)),0),0)</f>
        <v/>
      </c>
      <c r="G36" s="22">
        <f>IF(CRITERIOS!N24="","",CRITERIOS!N24)</f>
        <v/>
      </c>
      <c r="H36" s="22">
        <f>IF(CRITERIOS!O24="","",CRITERIOS!O24)</f>
        <v/>
      </c>
      <c r="I36" s="21" t="n"/>
      <c r="J36" s="22">
        <f>IF(OR($E36=0,I$78=0),0,IF(AND(I36="N/A",$G36&lt;&gt;""),0,$F36+SUMPRODUCT(($G$14:$G$71=$A36)*($E$14:$E$71=1)*(I$14:I$71="N/A")*$F$14:$F$71)))</f>
        <v/>
      </c>
      <c r="K36" s="22">
        <f>IF(I36="SI",J36,0)</f>
        <v/>
      </c>
      <c r="L36" s="21" t="n"/>
      <c r="M36" s="22">
        <f>IF(OR($E36=0,L$78=0),0,IF(AND(L36="N/A",$G36&lt;&gt;""),0,$F36+SUMPRODUCT(($G$14:$G$71=$A36)*($E$14:$E$71=1)*(L$14:L$71="N/A")*$F$14:$F$71)))</f>
        <v/>
      </c>
      <c r="N36" s="22">
        <f>IF(L36="SI",M36,0)</f>
        <v/>
      </c>
      <c r="O36" s="21" t="n"/>
      <c r="P36" s="22">
        <f>IF(OR($E36=0,O$78=0),0,IF(AND(O36="N/A",$G36&lt;&gt;""),0,$F36+SUMPRODUCT(($G$14:$G$71=$A36)*($E$14:$E$71=1)*(O$14:O$71="N/A")*$F$14:$F$71)))</f>
        <v/>
      </c>
      <c r="Q36" s="22">
        <f>IF(O36="SI",P36,0)</f>
        <v/>
      </c>
      <c r="R36" s="21" t="n"/>
      <c r="S36" s="22">
        <f>IF(OR($E36=0,R$78=0),0,IF(AND(R36="N/A",$G36&lt;&gt;""),0,$F36+SUMPRODUCT(($G$14:$G$71=$A36)*($E$14:$E$71=1)*(R$14:R$71="N/A")*$F$14:$F$71)))</f>
        <v/>
      </c>
      <c r="T36" s="22">
        <f>IF(R36="SI",S36,0)</f>
        <v/>
      </c>
      <c r="U36" s="21" t="n"/>
      <c r="V36" s="22">
        <f>IF(OR($E36=0,U$78=0),0,IF(AND(U36="N/A",$G36&lt;&gt;""),0,$F36+SUMPRODUCT(($G$14:$G$71=$A36)*($E$14:$E$71=1)*(U$14:U$71="N/A")*$F$14:$F$71)))</f>
        <v/>
      </c>
      <c r="W36" s="22">
        <f>IF(U36="SI",V36,0)</f>
        <v/>
      </c>
      <c r="X36" s="21" t="n"/>
      <c r="Y36" s="22">
        <f>IF(OR($E36=0,X$78=0),0,IF(AND(X36="N/A",$G36&lt;&gt;""),0,$F36+SUMPRODUCT(($G$14:$G$71=$A36)*($E$14:$E$71=1)*(X$14:X$71="N/A")*$F$14:$F$71)))</f>
        <v/>
      </c>
      <c r="Z36" s="22">
        <f>IF(X36="SI",Y36,0)</f>
        <v/>
      </c>
      <c r="AA36" s="22">
        <f>SUM(J36,M36,P36,S36,V36,Y36)</f>
        <v/>
      </c>
      <c r="AB36" s="22">
        <f>SUM(K36,N36,Q36,T36,W36,Z36)</f>
        <v/>
      </c>
      <c r="AC36" s="23">
        <f>IF(AA36=0,"",AB36/AA36)</f>
        <v/>
      </c>
      <c r="AD36" s="22">
        <f>CRITERIOS!Q24</f>
        <v/>
      </c>
      <c r="AE36" s="22">
        <f>IF(AND(E36=1,H36&lt;&gt;"X",((I36="N/A")+(L36="N/A")+(O36="N/A")+(R36="N/A")+(U36="N/A")+(X36="N/A"))&gt;0),"REVISAR","")</f>
        <v/>
      </c>
    </row>
    <row r="37">
      <c r="A37" s="22">
        <f>CRITERIOS!B25</f>
        <v/>
      </c>
      <c r="B37" s="22">
        <f>CRITERIOS!C25</f>
        <v/>
      </c>
      <c r="C37" s="8">
        <f>CRITERIOS!D25</f>
        <v/>
      </c>
      <c r="D37" s="22">
        <f>CRITERIOS!E25</f>
        <v/>
      </c>
      <c r="E37" s="22">
        <f>IFERROR(IF(AND(OR(CRITERIOS!F25="Todos",CRITERIOS!F25=$B$4),INDEX(CRITERIOS!H25:J25,MATCH($B$5,VARIABLES!$E$2:$E$4,0))=1),1,0),0)</f>
        <v/>
      </c>
      <c r="F37" s="22">
        <f>IFERROR(IF(E37=1,INDEX(CRITERIOS!K25:M25,MATCH($B$5,VARIABLES!$E$2:$E$4,0)),0),0)</f>
        <v/>
      </c>
      <c r="G37" s="22">
        <f>IF(CRITERIOS!N25="","",CRITERIOS!N25)</f>
        <v/>
      </c>
      <c r="H37" s="22">
        <f>IF(CRITERIOS!O25="","",CRITERIOS!O25)</f>
        <v/>
      </c>
      <c r="I37" s="21" t="n"/>
      <c r="J37" s="22">
        <f>IF(OR($E37=0,I$78=0),0,IF(AND(I37="N/A",$G37&lt;&gt;""),0,$F37+SUMPRODUCT(($G$14:$G$71=$A37)*($E$14:$E$71=1)*(I$14:I$71="N/A")*$F$14:$F$71)))</f>
        <v/>
      </c>
      <c r="K37" s="22">
        <f>IF(I37="SI",J37,0)</f>
        <v/>
      </c>
      <c r="L37" s="21" t="n"/>
      <c r="M37" s="22">
        <f>IF(OR($E37=0,L$78=0),0,IF(AND(L37="N/A",$G37&lt;&gt;""),0,$F37+SUMPRODUCT(($G$14:$G$71=$A37)*($E$14:$E$71=1)*(L$14:L$71="N/A")*$F$14:$F$71)))</f>
        <v/>
      </c>
      <c r="N37" s="22">
        <f>IF(L37="SI",M37,0)</f>
        <v/>
      </c>
      <c r="O37" s="21" t="n"/>
      <c r="P37" s="22">
        <f>IF(OR($E37=0,O$78=0),0,IF(AND(O37="N/A",$G37&lt;&gt;""),0,$F37+SUMPRODUCT(($G$14:$G$71=$A37)*($E$14:$E$71=1)*(O$14:O$71="N/A")*$F$14:$F$71)))</f>
        <v/>
      </c>
      <c r="Q37" s="22">
        <f>IF(O37="SI",P37,0)</f>
        <v/>
      </c>
      <c r="R37" s="21" t="n"/>
      <c r="S37" s="22">
        <f>IF(OR($E37=0,R$78=0),0,IF(AND(R37="N/A",$G37&lt;&gt;""),0,$F37+SUMPRODUCT(($G$14:$G$71=$A37)*($E$14:$E$71=1)*(R$14:R$71="N/A")*$F$14:$F$71)))</f>
        <v/>
      </c>
      <c r="T37" s="22">
        <f>IF(R37="SI",S37,0)</f>
        <v/>
      </c>
      <c r="U37" s="21" t="n"/>
      <c r="V37" s="22">
        <f>IF(OR($E37=0,U$78=0),0,IF(AND(U37="N/A",$G37&lt;&gt;""),0,$F37+SUMPRODUCT(($G$14:$G$71=$A37)*($E$14:$E$71=1)*(U$14:U$71="N/A")*$F$14:$F$71)))</f>
        <v/>
      </c>
      <c r="W37" s="22">
        <f>IF(U37="SI",V37,0)</f>
        <v/>
      </c>
      <c r="X37" s="21" t="n"/>
      <c r="Y37" s="22">
        <f>IF(OR($E37=0,X$78=0),0,IF(AND(X37="N/A",$G37&lt;&gt;""),0,$F37+SUMPRODUCT(($G$14:$G$71=$A37)*($E$14:$E$71=1)*(X$14:X$71="N/A")*$F$14:$F$71)))</f>
        <v/>
      </c>
      <c r="Z37" s="22">
        <f>IF(X37="SI",Y37,0)</f>
        <v/>
      </c>
      <c r="AA37" s="22">
        <f>SUM(J37,M37,P37,S37,V37,Y37)</f>
        <v/>
      </c>
      <c r="AB37" s="22">
        <f>SUM(K37,N37,Q37,T37,W37,Z37)</f>
        <v/>
      </c>
      <c r="AC37" s="23">
        <f>IF(AA37=0,"",AB37/AA37)</f>
        <v/>
      </c>
      <c r="AD37" s="22">
        <f>CRITERIOS!Q25</f>
        <v/>
      </c>
      <c r="AE37" s="22">
        <f>IF(AND(E37=1,H37&lt;&gt;"X",((I37="N/A")+(L37="N/A")+(O37="N/A")+(R37="N/A")+(U37="N/A")+(X37="N/A"))&gt;0),"REVISAR","")</f>
        <v/>
      </c>
    </row>
    <row r="38">
      <c r="A38" s="22">
        <f>CRITERIOS!B26</f>
        <v/>
      </c>
      <c r="B38" s="22">
        <f>CRITERIOS!C26</f>
        <v/>
      </c>
      <c r="C38" s="8">
        <f>CRITERIOS!D26</f>
        <v/>
      </c>
      <c r="D38" s="22">
        <f>CRITERIOS!E26</f>
        <v/>
      </c>
      <c r="E38" s="22">
        <f>IFERROR(IF(AND(OR(CRITERIOS!F26="Todos",CRITERIOS!F26=$B$4),INDEX(CRITERIOS!H26:J26,MATCH($B$5,VARIABLES!$E$2:$E$4,0))=1),1,0),0)</f>
        <v/>
      </c>
      <c r="F38" s="22">
        <f>IFERROR(IF(E38=1,INDEX(CRITERIOS!K26:M26,MATCH($B$5,VARIABLES!$E$2:$E$4,0)),0),0)</f>
        <v/>
      </c>
      <c r="G38" s="22">
        <f>IF(CRITERIOS!N26="","",CRITERIOS!N26)</f>
        <v/>
      </c>
      <c r="H38" s="22">
        <f>IF(CRITERIOS!O26="","",CRITERIOS!O26)</f>
        <v/>
      </c>
      <c r="I38" s="21" t="n"/>
      <c r="J38" s="22">
        <f>IF(OR($E38=0,I$78=0),0,IF(AND(I38="N/A",$G38&lt;&gt;""),0,$F38+SUMPRODUCT(($G$14:$G$71=$A38)*($E$14:$E$71=1)*(I$14:I$71="N/A")*$F$14:$F$71)))</f>
        <v/>
      </c>
      <c r="K38" s="22">
        <f>IF(I38="SI",J38,0)</f>
        <v/>
      </c>
      <c r="L38" s="21" t="n"/>
      <c r="M38" s="22">
        <f>IF(OR($E38=0,L$78=0),0,IF(AND(L38="N/A",$G38&lt;&gt;""),0,$F38+SUMPRODUCT(($G$14:$G$71=$A38)*($E$14:$E$71=1)*(L$14:L$71="N/A")*$F$14:$F$71)))</f>
        <v/>
      </c>
      <c r="N38" s="22">
        <f>IF(L38="SI",M38,0)</f>
        <v/>
      </c>
      <c r="O38" s="21" t="n"/>
      <c r="P38" s="22">
        <f>IF(OR($E38=0,O$78=0),0,IF(AND(O38="N/A",$G38&lt;&gt;""),0,$F38+SUMPRODUCT(($G$14:$G$71=$A38)*($E$14:$E$71=1)*(O$14:O$71="N/A")*$F$14:$F$71)))</f>
        <v/>
      </c>
      <c r="Q38" s="22">
        <f>IF(O38="SI",P38,0)</f>
        <v/>
      </c>
      <c r="R38" s="21" t="n"/>
      <c r="S38" s="22">
        <f>IF(OR($E38=0,R$78=0),0,IF(AND(R38="N/A",$G38&lt;&gt;""),0,$F38+SUMPRODUCT(($G$14:$G$71=$A38)*($E$14:$E$71=1)*(R$14:R$71="N/A")*$F$14:$F$71)))</f>
        <v/>
      </c>
      <c r="T38" s="22">
        <f>IF(R38="SI",S38,0)</f>
        <v/>
      </c>
      <c r="U38" s="21" t="n"/>
      <c r="V38" s="22">
        <f>IF(OR($E38=0,U$78=0),0,IF(AND(U38="N/A",$G38&lt;&gt;""),0,$F38+SUMPRODUCT(($G$14:$G$71=$A38)*($E$14:$E$71=1)*(U$14:U$71="N/A")*$F$14:$F$71)))</f>
        <v/>
      </c>
      <c r="W38" s="22">
        <f>IF(U38="SI",V38,0)</f>
        <v/>
      </c>
      <c r="X38" s="21" t="n"/>
      <c r="Y38" s="22">
        <f>IF(OR($E38=0,X$78=0),0,IF(AND(X38="N/A",$G38&lt;&gt;""),0,$F38+SUMPRODUCT(($G$14:$G$71=$A38)*($E$14:$E$71=1)*(X$14:X$71="N/A")*$F$14:$F$71)))</f>
        <v/>
      </c>
      <c r="Z38" s="22">
        <f>IF(X38="SI",Y38,0)</f>
        <v/>
      </c>
      <c r="AA38" s="22">
        <f>SUM(J38,M38,P38,S38,V38,Y38)</f>
        <v/>
      </c>
      <c r="AB38" s="22">
        <f>SUM(K38,N38,Q38,T38,W38,Z38)</f>
        <v/>
      </c>
      <c r="AC38" s="23">
        <f>IF(AA38=0,"",AB38/AA38)</f>
        <v/>
      </c>
      <c r="AD38" s="22">
        <f>CRITERIOS!Q26</f>
        <v/>
      </c>
      <c r="AE38" s="22">
        <f>IF(AND(E38=1,H38&lt;&gt;"X",((I38="N/A")+(L38="N/A")+(O38="N/A")+(R38="N/A")+(U38="N/A")+(X38="N/A"))&gt;0),"REVISAR","")</f>
        <v/>
      </c>
    </row>
    <row r="39">
      <c r="A39" s="22">
        <f>CRITERIOS!B27</f>
        <v/>
      </c>
      <c r="B39" s="22">
        <f>CRITERIOS!C27</f>
        <v/>
      </c>
      <c r="C39" s="8">
        <f>CRITERIOS!D27</f>
        <v/>
      </c>
      <c r="D39" s="22">
        <f>CRITERIOS!E27</f>
        <v/>
      </c>
      <c r="E39" s="22">
        <f>IFERROR(IF(AND(OR(CRITERIOS!F27="Todos",CRITERIOS!F27=$B$4),INDEX(CRITERIOS!H27:J27,MATCH($B$5,VARIABLES!$E$2:$E$4,0))=1),1,0),0)</f>
        <v/>
      </c>
      <c r="F39" s="22">
        <f>IFERROR(IF(E39=1,INDEX(CRITERIOS!K27:M27,MATCH($B$5,VARIABLES!$E$2:$E$4,0)),0),0)</f>
        <v/>
      </c>
      <c r="G39" s="22">
        <f>IF(CRITERIOS!N27="","",CRITERIOS!N27)</f>
        <v/>
      </c>
      <c r="H39" s="22">
        <f>IF(CRITERIOS!O27="","",CRITERIOS!O27)</f>
        <v/>
      </c>
      <c r="I39" s="21" t="n"/>
      <c r="J39" s="22">
        <f>IF(OR($E39=0,I$78=0),0,IF(AND(I39="N/A",$G39&lt;&gt;""),0,$F39+SUMPRODUCT(($G$14:$G$71=$A39)*($E$14:$E$71=1)*(I$14:I$71="N/A")*$F$14:$F$71)))</f>
        <v/>
      </c>
      <c r="K39" s="22">
        <f>IF(I39="SI",J39,0)</f>
        <v/>
      </c>
      <c r="L39" s="21" t="n"/>
      <c r="M39" s="22">
        <f>IF(OR($E39=0,L$78=0),0,IF(AND(L39="N/A",$G39&lt;&gt;""),0,$F39+SUMPRODUCT(($G$14:$G$71=$A39)*($E$14:$E$71=1)*(L$14:L$71="N/A")*$F$14:$F$71)))</f>
        <v/>
      </c>
      <c r="N39" s="22">
        <f>IF(L39="SI",M39,0)</f>
        <v/>
      </c>
      <c r="O39" s="21" t="n"/>
      <c r="P39" s="22">
        <f>IF(OR($E39=0,O$78=0),0,IF(AND(O39="N/A",$G39&lt;&gt;""),0,$F39+SUMPRODUCT(($G$14:$G$71=$A39)*($E$14:$E$71=1)*(O$14:O$71="N/A")*$F$14:$F$71)))</f>
        <v/>
      </c>
      <c r="Q39" s="22">
        <f>IF(O39="SI",P39,0)</f>
        <v/>
      </c>
      <c r="R39" s="21" t="n"/>
      <c r="S39" s="22">
        <f>IF(OR($E39=0,R$78=0),0,IF(AND(R39="N/A",$G39&lt;&gt;""),0,$F39+SUMPRODUCT(($G$14:$G$71=$A39)*($E$14:$E$71=1)*(R$14:R$71="N/A")*$F$14:$F$71)))</f>
        <v/>
      </c>
      <c r="T39" s="22">
        <f>IF(R39="SI",S39,0)</f>
        <v/>
      </c>
      <c r="U39" s="21" t="n"/>
      <c r="V39" s="22">
        <f>IF(OR($E39=0,U$78=0),0,IF(AND(U39="N/A",$G39&lt;&gt;""),0,$F39+SUMPRODUCT(($G$14:$G$71=$A39)*($E$14:$E$71=1)*(U$14:U$71="N/A")*$F$14:$F$71)))</f>
        <v/>
      </c>
      <c r="W39" s="22">
        <f>IF(U39="SI",V39,0)</f>
        <v/>
      </c>
      <c r="X39" s="21" t="n"/>
      <c r="Y39" s="22">
        <f>IF(OR($E39=0,X$78=0),0,IF(AND(X39="N/A",$G39&lt;&gt;""),0,$F39+SUMPRODUCT(($G$14:$G$71=$A39)*($E$14:$E$71=1)*(X$14:X$71="N/A")*$F$14:$F$71)))</f>
        <v/>
      </c>
      <c r="Z39" s="22">
        <f>IF(X39="SI",Y39,0)</f>
        <v/>
      </c>
      <c r="AA39" s="22">
        <f>SUM(J39,M39,P39,S39,V39,Y39)</f>
        <v/>
      </c>
      <c r="AB39" s="22">
        <f>SUM(K39,N39,Q39,T39,W39,Z39)</f>
        <v/>
      </c>
      <c r="AC39" s="23">
        <f>IF(AA39=0,"",AB39/AA39)</f>
        <v/>
      </c>
      <c r="AD39" s="22">
        <f>CRITERIOS!Q27</f>
        <v/>
      </c>
      <c r="AE39" s="22">
        <f>IF(AND(E39=1,H39&lt;&gt;"X",((I39="N/A")+(L39="N/A")+(O39="N/A")+(R39="N/A")+(U39="N/A")+(X39="N/A"))&gt;0),"REVISAR","")</f>
        <v/>
      </c>
    </row>
    <row r="40">
      <c r="A40" s="22">
        <f>CRITERIOS!B28</f>
        <v/>
      </c>
      <c r="B40" s="22">
        <f>CRITERIOS!C28</f>
        <v/>
      </c>
      <c r="C40" s="8">
        <f>CRITERIOS!D28</f>
        <v/>
      </c>
      <c r="D40" s="22">
        <f>CRITERIOS!E28</f>
        <v/>
      </c>
      <c r="E40" s="22">
        <f>IFERROR(IF(AND(OR(CRITERIOS!F28="Todos",CRITERIOS!F28=$B$4),INDEX(CRITERIOS!H28:J28,MATCH($B$5,VARIABLES!$E$2:$E$4,0))=1),1,0),0)</f>
        <v/>
      </c>
      <c r="F40" s="22">
        <f>IFERROR(IF(E40=1,INDEX(CRITERIOS!K28:M28,MATCH($B$5,VARIABLES!$E$2:$E$4,0)),0),0)</f>
        <v/>
      </c>
      <c r="G40" s="22">
        <f>IF(CRITERIOS!N28="","",CRITERIOS!N28)</f>
        <v/>
      </c>
      <c r="H40" s="22">
        <f>IF(CRITERIOS!O28="","",CRITERIOS!O28)</f>
        <v/>
      </c>
      <c r="I40" s="21" t="n"/>
      <c r="J40" s="22">
        <f>IF(OR($E40=0,I$78=0),0,IF(AND(I40="N/A",$G40&lt;&gt;""),0,$F40+SUMPRODUCT(($G$14:$G$71=$A40)*($E$14:$E$71=1)*(I$14:I$71="N/A")*$F$14:$F$71)))</f>
        <v/>
      </c>
      <c r="K40" s="22">
        <f>IF(I40="SI",J40,0)</f>
        <v/>
      </c>
      <c r="L40" s="21" t="n"/>
      <c r="M40" s="22">
        <f>IF(OR($E40=0,L$78=0),0,IF(AND(L40="N/A",$G40&lt;&gt;""),0,$F40+SUMPRODUCT(($G$14:$G$71=$A40)*($E$14:$E$71=1)*(L$14:L$71="N/A")*$F$14:$F$71)))</f>
        <v/>
      </c>
      <c r="N40" s="22">
        <f>IF(L40="SI",M40,0)</f>
        <v/>
      </c>
      <c r="O40" s="21" t="n"/>
      <c r="P40" s="22">
        <f>IF(OR($E40=0,O$78=0),0,IF(AND(O40="N/A",$G40&lt;&gt;""),0,$F40+SUMPRODUCT(($G$14:$G$71=$A40)*($E$14:$E$71=1)*(O$14:O$71="N/A")*$F$14:$F$71)))</f>
        <v/>
      </c>
      <c r="Q40" s="22">
        <f>IF(O40="SI",P40,0)</f>
        <v/>
      </c>
      <c r="R40" s="21" t="n"/>
      <c r="S40" s="22">
        <f>IF(OR($E40=0,R$78=0),0,IF(AND(R40="N/A",$G40&lt;&gt;""),0,$F40+SUMPRODUCT(($G$14:$G$71=$A40)*($E$14:$E$71=1)*(R$14:R$71="N/A")*$F$14:$F$71)))</f>
        <v/>
      </c>
      <c r="T40" s="22">
        <f>IF(R40="SI",S40,0)</f>
        <v/>
      </c>
      <c r="U40" s="21" t="n"/>
      <c r="V40" s="22">
        <f>IF(OR($E40=0,U$78=0),0,IF(AND(U40="N/A",$G40&lt;&gt;""),0,$F40+SUMPRODUCT(($G$14:$G$71=$A40)*($E$14:$E$71=1)*(U$14:U$71="N/A")*$F$14:$F$71)))</f>
        <v/>
      </c>
      <c r="W40" s="22">
        <f>IF(U40="SI",V40,0)</f>
        <v/>
      </c>
      <c r="X40" s="21" t="n"/>
      <c r="Y40" s="22">
        <f>IF(OR($E40=0,X$78=0),0,IF(AND(X40="N/A",$G40&lt;&gt;""),0,$F40+SUMPRODUCT(($G$14:$G$71=$A40)*($E$14:$E$71=1)*(X$14:X$71="N/A")*$F$14:$F$71)))</f>
        <v/>
      </c>
      <c r="Z40" s="22">
        <f>IF(X40="SI",Y40,0)</f>
        <v/>
      </c>
      <c r="AA40" s="22">
        <f>SUM(J40,M40,P40,S40,V40,Y40)</f>
        <v/>
      </c>
      <c r="AB40" s="22">
        <f>SUM(K40,N40,Q40,T40,W40,Z40)</f>
        <v/>
      </c>
      <c r="AC40" s="23">
        <f>IF(AA40=0,"",AB40/AA40)</f>
        <v/>
      </c>
      <c r="AD40" s="22">
        <f>CRITERIOS!Q28</f>
        <v/>
      </c>
      <c r="AE40" s="22">
        <f>IF(AND(E40=1,H40&lt;&gt;"X",((I40="N/A")+(L40="N/A")+(O40="N/A")+(R40="N/A")+(U40="N/A")+(X40="N/A"))&gt;0),"REVISAR","")</f>
        <v/>
      </c>
    </row>
    <row r="41">
      <c r="A41" s="22">
        <f>CRITERIOS!B29</f>
        <v/>
      </c>
      <c r="B41" s="22">
        <f>CRITERIOS!C29</f>
        <v/>
      </c>
      <c r="C41" s="8">
        <f>CRITERIOS!D29</f>
        <v/>
      </c>
      <c r="D41" s="22">
        <f>CRITERIOS!E29</f>
        <v/>
      </c>
      <c r="E41" s="22">
        <f>IFERROR(IF(AND(OR(CRITERIOS!F29="Todos",CRITERIOS!F29=$B$4),INDEX(CRITERIOS!H29:J29,MATCH($B$5,VARIABLES!$E$2:$E$4,0))=1),1,0),0)</f>
        <v/>
      </c>
      <c r="F41" s="22">
        <f>IFERROR(IF(E41=1,INDEX(CRITERIOS!K29:M29,MATCH($B$5,VARIABLES!$E$2:$E$4,0)),0),0)</f>
        <v/>
      </c>
      <c r="G41" s="22">
        <f>IF(CRITERIOS!N29="","",CRITERIOS!N29)</f>
        <v/>
      </c>
      <c r="H41" s="22">
        <f>IF(CRITERIOS!O29="","",CRITERIOS!O29)</f>
        <v/>
      </c>
      <c r="I41" s="21" t="n"/>
      <c r="J41" s="22">
        <f>IF(OR($E41=0,I$78=0),0,IF(AND(I41="N/A",$G41&lt;&gt;""),0,$F41+SUMPRODUCT(($G$14:$G$71=$A41)*($E$14:$E$71=1)*(I$14:I$71="N/A")*$F$14:$F$71)))</f>
        <v/>
      </c>
      <c r="K41" s="22">
        <f>IF(I41="SI",J41,0)</f>
        <v/>
      </c>
      <c r="L41" s="21" t="n"/>
      <c r="M41" s="22">
        <f>IF(OR($E41=0,L$78=0),0,IF(AND(L41="N/A",$G41&lt;&gt;""),0,$F41+SUMPRODUCT(($G$14:$G$71=$A41)*($E$14:$E$71=1)*(L$14:L$71="N/A")*$F$14:$F$71)))</f>
        <v/>
      </c>
      <c r="N41" s="22">
        <f>IF(L41="SI",M41,0)</f>
        <v/>
      </c>
      <c r="O41" s="21" t="n"/>
      <c r="P41" s="22">
        <f>IF(OR($E41=0,O$78=0),0,IF(AND(O41="N/A",$G41&lt;&gt;""),0,$F41+SUMPRODUCT(($G$14:$G$71=$A41)*($E$14:$E$71=1)*(O$14:O$71="N/A")*$F$14:$F$71)))</f>
        <v/>
      </c>
      <c r="Q41" s="22">
        <f>IF(O41="SI",P41,0)</f>
        <v/>
      </c>
      <c r="R41" s="21" t="n"/>
      <c r="S41" s="22">
        <f>IF(OR($E41=0,R$78=0),0,IF(AND(R41="N/A",$G41&lt;&gt;""),0,$F41+SUMPRODUCT(($G$14:$G$71=$A41)*($E$14:$E$71=1)*(R$14:R$71="N/A")*$F$14:$F$71)))</f>
        <v/>
      </c>
      <c r="T41" s="22">
        <f>IF(R41="SI",S41,0)</f>
        <v/>
      </c>
      <c r="U41" s="21" t="n"/>
      <c r="V41" s="22">
        <f>IF(OR($E41=0,U$78=0),0,IF(AND(U41="N/A",$G41&lt;&gt;""),0,$F41+SUMPRODUCT(($G$14:$G$71=$A41)*($E$14:$E$71=1)*(U$14:U$71="N/A")*$F$14:$F$71)))</f>
        <v/>
      </c>
      <c r="W41" s="22">
        <f>IF(U41="SI",V41,0)</f>
        <v/>
      </c>
      <c r="X41" s="21" t="n"/>
      <c r="Y41" s="22">
        <f>IF(OR($E41=0,X$78=0),0,IF(AND(X41="N/A",$G41&lt;&gt;""),0,$F41+SUMPRODUCT(($G$14:$G$71=$A41)*($E$14:$E$71=1)*(X$14:X$71="N/A")*$F$14:$F$71)))</f>
        <v/>
      </c>
      <c r="Z41" s="22">
        <f>IF(X41="SI",Y41,0)</f>
        <v/>
      </c>
      <c r="AA41" s="22">
        <f>SUM(J41,M41,P41,S41,V41,Y41)</f>
        <v/>
      </c>
      <c r="AB41" s="22">
        <f>SUM(K41,N41,Q41,T41,W41,Z41)</f>
        <v/>
      </c>
      <c r="AC41" s="23">
        <f>IF(AA41=0,"",AB41/AA41)</f>
        <v/>
      </c>
      <c r="AD41" s="22">
        <f>CRITERIOS!Q29</f>
        <v/>
      </c>
      <c r="AE41" s="22">
        <f>IF(AND(E41=1,H41&lt;&gt;"X",((I41="N/A")+(L41="N/A")+(O41="N/A")+(R41="N/A")+(U41="N/A")+(X41="N/A"))&gt;0),"REVISAR","")</f>
        <v/>
      </c>
    </row>
    <row r="42">
      <c r="A42" s="24">
        <f>CRITERIOS!B30</f>
        <v/>
      </c>
      <c r="B42" s="24">
        <f>CRITERIOS!C30</f>
        <v/>
      </c>
      <c r="C42" s="25">
        <f>CRITERIOS!D30</f>
        <v/>
      </c>
      <c r="D42" s="24">
        <f>CRITERIOS!E30</f>
        <v/>
      </c>
      <c r="E42" s="24">
        <f>IFERROR(IF(AND(OR(CRITERIOS!F30="Todos",CRITERIOS!F30=$B$4),INDEX(CRITERIOS!H30:J30,MATCH($B$5,VARIABLES!$E$2:$E$4,0))=1),1,0),0)</f>
        <v/>
      </c>
      <c r="F42" s="24">
        <f>IFERROR(IF(E42=1,INDEX(CRITERIOS!K30:M30,MATCH($B$5,VARIABLES!$E$2:$E$4,0)),0),0)</f>
        <v/>
      </c>
      <c r="G42" s="24">
        <f>IF(CRITERIOS!N30="","",CRITERIOS!N30)</f>
        <v/>
      </c>
      <c r="H42" s="24">
        <f>IF(CRITERIOS!O30="","",CRITERIOS!O30)</f>
        <v/>
      </c>
      <c r="I42" s="21" t="n"/>
      <c r="J42" s="22">
        <f>IF(OR($E42=0,I$78=0),0,IF(AND(I42="N/A",$G42&lt;&gt;""),0,$F42+SUMPRODUCT(($G$14:$G$71=$A42)*($E$14:$E$71=1)*(I$14:I$71="N/A")*$F$14:$F$71)))</f>
        <v/>
      </c>
      <c r="K42" s="22">
        <f>IF(I42="SI",J42,0)</f>
        <v/>
      </c>
      <c r="L42" s="21" t="n"/>
      <c r="M42" s="22">
        <f>IF(OR($E42=0,L$78=0),0,IF(AND(L42="N/A",$G42&lt;&gt;""),0,$F42+SUMPRODUCT(($G$14:$G$71=$A42)*($E$14:$E$71=1)*(L$14:L$71="N/A")*$F$14:$F$71)))</f>
        <v/>
      </c>
      <c r="N42" s="22">
        <f>IF(L42="SI",M42,0)</f>
        <v/>
      </c>
      <c r="O42" s="21" t="n"/>
      <c r="P42" s="22">
        <f>IF(OR($E42=0,O$78=0),0,IF(AND(O42="N/A",$G42&lt;&gt;""),0,$F42+SUMPRODUCT(($G$14:$G$71=$A42)*($E$14:$E$71=1)*(O$14:O$71="N/A")*$F$14:$F$71)))</f>
        <v/>
      </c>
      <c r="Q42" s="22">
        <f>IF(O42="SI",P42,0)</f>
        <v/>
      </c>
      <c r="R42" s="21" t="n"/>
      <c r="S42" s="22">
        <f>IF(OR($E42=0,R$78=0),0,IF(AND(R42="N/A",$G42&lt;&gt;""),0,$F42+SUMPRODUCT(($G$14:$G$71=$A42)*($E$14:$E$71=1)*(R$14:R$71="N/A")*$F$14:$F$71)))</f>
        <v/>
      </c>
      <c r="T42" s="22">
        <f>IF(R42="SI",S42,0)</f>
        <v/>
      </c>
      <c r="U42" s="21" t="n"/>
      <c r="V42" s="22">
        <f>IF(OR($E42=0,U$78=0),0,IF(AND(U42="N/A",$G42&lt;&gt;""),0,$F42+SUMPRODUCT(($G$14:$G$71=$A42)*($E$14:$E$71=1)*(U$14:U$71="N/A")*$F$14:$F$71)))</f>
        <v/>
      </c>
      <c r="W42" s="22">
        <f>IF(U42="SI",V42,0)</f>
        <v/>
      </c>
      <c r="X42" s="21" t="n"/>
      <c r="Y42" s="22">
        <f>IF(OR($E42=0,X$78=0),0,IF(AND(X42="N/A",$G42&lt;&gt;""),0,$F42+SUMPRODUCT(($G$14:$G$71=$A42)*($E$14:$E$71=1)*(X$14:X$71="N/A")*$F$14:$F$71)))</f>
        <v/>
      </c>
      <c r="Z42" s="22">
        <f>IF(X42="SI",Y42,0)</f>
        <v/>
      </c>
      <c r="AA42" s="22">
        <f>SUM(J42,M42,P42,S42,V42,Y42)</f>
        <v/>
      </c>
      <c r="AB42" s="22">
        <f>SUM(K42,N42,Q42,T42,W42,Z42)</f>
        <v/>
      </c>
      <c r="AC42" s="23">
        <f>IF(AA42=0,"",AB42/AA42)</f>
        <v/>
      </c>
      <c r="AD42" s="22">
        <f>CRITERIOS!Q30</f>
        <v/>
      </c>
      <c r="AE42" s="22">
        <f>IF(AND(E42=1,H42&lt;&gt;"X",((I42="N/A")+(L42="N/A")+(O42="N/A")+(R42="N/A")+(U42="N/A")+(X42="N/A"))&gt;0),"REVISAR","")</f>
        <v/>
      </c>
    </row>
    <row r="43">
      <c r="A43" s="22">
        <f>CRITERIOS!B31</f>
        <v/>
      </c>
      <c r="B43" s="22">
        <f>CRITERIOS!C31</f>
        <v/>
      </c>
      <c r="C43" s="8">
        <f>CRITERIOS!D31</f>
        <v/>
      </c>
      <c r="D43" s="22">
        <f>CRITERIOS!E31</f>
        <v/>
      </c>
      <c r="E43" s="22">
        <f>IFERROR(IF(AND(OR(CRITERIOS!F31="Todos",CRITERIOS!F31=$B$4),INDEX(CRITERIOS!H31:J31,MATCH($B$5,VARIABLES!$E$2:$E$4,0))=1),1,0),0)</f>
        <v/>
      </c>
      <c r="F43" s="22">
        <f>IFERROR(IF(E43=1,INDEX(CRITERIOS!K31:M31,MATCH($B$5,VARIABLES!$E$2:$E$4,0)),0),0)</f>
        <v/>
      </c>
      <c r="G43" s="22">
        <f>IF(CRITERIOS!N31="","",CRITERIOS!N31)</f>
        <v/>
      </c>
      <c r="H43" s="22">
        <f>IF(CRITERIOS!O31="","",CRITERIOS!O31)</f>
        <v/>
      </c>
      <c r="I43" s="21" t="n"/>
      <c r="J43" s="22">
        <f>IF(OR($E43=0,I$78=0),0,IF(AND(I43="N/A",$G43&lt;&gt;""),0,$F43+SUMPRODUCT(($G$14:$G$71=$A43)*($E$14:$E$71=1)*(I$14:I$71="N/A")*$F$14:$F$71)))</f>
        <v/>
      </c>
      <c r="K43" s="22">
        <f>IF(I43="SI",J43,0)</f>
        <v/>
      </c>
      <c r="L43" s="21" t="n"/>
      <c r="M43" s="22">
        <f>IF(OR($E43=0,L$78=0),0,IF(AND(L43="N/A",$G43&lt;&gt;""),0,$F43+SUMPRODUCT(($G$14:$G$71=$A43)*($E$14:$E$71=1)*(L$14:L$71="N/A")*$F$14:$F$71)))</f>
        <v/>
      </c>
      <c r="N43" s="22">
        <f>IF(L43="SI",M43,0)</f>
        <v/>
      </c>
      <c r="O43" s="21" t="n"/>
      <c r="P43" s="22">
        <f>IF(OR($E43=0,O$78=0),0,IF(AND(O43="N/A",$G43&lt;&gt;""),0,$F43+SUMPRODUCT(($G$14:$G$71=$A43)*($E$14:$E$71=1)*(O$14:O$71="N/A")*$F$14:$F$71)))</f>
        <v/>
      </c>
      <c r="Q43" s="22">
        <f>IF(O43="SI",P43,0)</f>
        <v/>
      </c>
      <c r="R43" s="21" t="n"/>
      <c r="S43" s="22">
        <f>IF(OR($E43=0,R$78=0),0,IF(AND(R43="N/A",$G43&lt;&gt;""),0,$F43+SUMPRODUCT(($G$14:$G$71=$A43)*($E$14:$E$71=1)*(R$14:R$71="N/A")*$F$14:$F$71)))</f>
        <v/>
      </c>
      <c r="T43" s="22">
        <f>IF(R43="SI",S43,0)</f>
        <v/>
      </c>
      <c r="U43" s="21" t="n"/>
      <c r="V43" s="22">
        <f>IF(OR($E43=0,U$78=0),0,IF(AND(U43="N/A",$G43&lt;&gt;""),0,$F43+SUMPRODUCT(($G$14:$G$71=$A43)*($E$14:$E$71=1)*(U$14:U$71="N/A")*$F$14:$F$71)))</f>
        <v/>
      </c>
      <c r="W43" s="22">
        <f>IF(U43="SI",V43,0)</f>
        <v/>
      </c>
      <c r="X43" s="21" t="n"/>
      <c r="Y43" s="22">
        <f>IF(OR($E43=0,X$78=0),0,IF(AND(X43="N/A",$G43&lt;&gt;""),0,$F43+SUMPRODUCT(($G$14:$G$71=$A43)*($E$14:$E$71=1)*(X$14:X$71="N/A")*$F$14:$F$71)))</f>
        <v/>
      </c>
      <c r="Z43" s="22">
        <f>IF(X43="SI",Y43,0)</f>
        <v/>
      </c>
      <c r="AA43" s="22">
        <f>SUM(J43,M43,P43,S43,V43,Y43)</f>
        <v/>
      </c>
      <c r="AB43" s="22">
        <f>SUM(K43,N43,Q43,T43,W43,Z43)</f>
        <v/>
      </c>
      <c r="AC43" s="23">
        <f>IF(AA43=0,"",AB43/AA43)</f>
        <v/>
      </c>
      <c r="AD43" s="22">
        <f>CRITERIOS!Q31</f>
        <v/>
      </c>
      <c r="AE43" s="22">
        <f>IF(AND(E43=1,H43&lt;&gt;"X",((I43="N/A")+(L43="N/A")+(O43="N/A")+(R43="N/A")+(U43="N/A")+(X43="N/A"))&gt;0),"REVISAR","")</f>
        <v/>
      </c>
    </row>
    <row r="44">
      <c r="A44" s="24">
        <f>CRITERIOS!B32</f>
        <v/>
      </c>
      <c r="B44" s="24">
        <f>CRITERIOS!C32</f>
        <v/>
      </c>
      <c r="C44" s="25">
        <f>CRITERIOS!D32</f>
        <v/>
      </c>
      <c r="D44" s="24">
        <f>CRITERIOS!E32</f>
        <v/>
      </c>
      <c r="E44" s="24">
        <f>IFERROR(IF(AND(OR(CRITERIOS!F32="Todos",CRITERIOS!F32=$B$4),INDEX(CRITERIOS!H32:J32,MATCH($B$5,VARIABLES!$E$2:$E$4,0))=1),1,0),0)</f>
        <v/>
      </c>
      <c r="F44" s="24">
        <f>IFERROR(IF(E44=1,INDEX(CRITERIOS!K32:M32,MATCH($B$5,VARIABLES!$E$2:$E$4,0)),0),0)</f>
        <v/>
      </c>
      <c r="G44" s="24">
        <f>IF(CRITERIOS!N32="","",CRITERIOS!N32)</f>
        <v/>
      </c>
      <c r="H44" s="24">
        <f>IF(CRITERIOS!O32="","",CRITERIOS!O32)</f>
        <v/>
      </c>
      <c r="I44" s="21" t="n"/>
      <c r="J44" s="22">
        <f>IF(OR($E44=0,I$78=0),0,IF(AND(I44="N/A",$G44&lt;&gt;""),0,$F44+SUMPRODUCT(($G$14:$G$71=$A44)*($E$14:$E$71=1)*(I$14:I$71="N/A")*$F$14:$F$71)))</f>
        <v/>
      </c>
      <c r="K44" s="22">
        <f>IF(I44="SI",J44,0)</f>
        <v/>
      </c>
      <c r="L44" s="21" t="n"/>
      <c r="M44" s="22">
        <f>IF(OR($E44=0,L$78=0),0,IF(AND(L44="N/A",$G44&lt;&gt;""),0,$F44+SUMPRODUCT(($G$14:$G$71=$A44)*($E$14:$E$71=1)*(L$14:L$71="N/A")*$F$14:$F$71)))</f>
        <v/>
      </c>
      <c r="N44" s="22">
        <f>IF(L44="SI",M44,0)</f>
        <v/>
      </c>
      <c r="O44" s="21" t="n"/>
      <c r="P44" s="22">
        <f>IF(OR($E44=0,O$78=0),0,IF(AND(O44="N/A",$G44&lt;&gt;""),0,$F44+SUMPRODUCT(($G$14:$G$71=$A44)*($E$14:$E$71=1)*(O$14:O$71="N/A")*$F$14:$F$71)))</f>
        <v/>
      </c>
      <c r="Q44" s="22">
        <f>IF(O44="SI",P44,0)</f>
        <v/>
      </c>
      <c r="R44" s="21" t="n"/>
      <c r="S44" s="22">
        <f>IF(OR($E44=0,R$78=0),0,IF(AND(R44="N/A",$G44&lt;&gt;""),0,$F44+SUMPRODUCT(($G$14:$G$71=$A44)*($E$14:$E$71=1)*(R$14:R$71="N/A")*$F$14:$F$71)))</f>
        <v/>
      </c>
      <c r="T44" s="22">
        <f>IF(R44="SI",S44,0)</f>
        <v/>
      </c>
      <c r="U44" s="21" t="n"/>
      <c r="V44" s="22">
        <f>IF(OR($E44=0,U$78=0),0,IF(AND(U44="N/A",$G44&lt;&gt;""),0,$F44+SUMPRODUCT(($G$14:$G$71=$A44)*($E$14:$E$71=1)*(U$14:U$71="N/A")*$F$14:$F$71)))</f>
        <v/>
      </c>
      <c r="W44" s="22">
        <f>IF(U44="SI",V44,0)</f>
        <v/>
      </c>
      <c r="X44" s="21" t="n"/>
      <c r="Y44" s="22">
        <f>IF(OR($E44=0,X$78=0),0,IF(AND(X44="N/A",$G44&lt;&gt;""),0,$F44+SUMPRODUCT(($G$14:$G$71=$A44)*($E$14:$E$71=1)*(X$14:X$71="N/A")*$F$14:$F$71)))</f>
        <v/>
      </c>
      <c r="Z44" s="22">
        <f>IF(X44="SI",Y44,0)</f>
        <v/>
      </c>
      <c r="AA44" s="22">
        <f>SUM(J44,M44,P44,S44,V44,Y44)</f>
        <v/>
      </c>
      <c r="AB44" s="22">
        <f>SUM(K44,N44,Q44,T44,W44,Z44)</f>
        <v/>
      </c>
      <c r="AC44" s="23">
        <f>IF(AA44=0,"",AB44/AA44)</f>
        <v/>
      </c>
      <c r="AD44" s="22">
        <f>CRITERIOS!Q32</f>
        <v/>
      </c>
      <c r="AE44" s="22">
        <f>IF(AND(E44=1,H44&lt;&gt;"X",((I44="N/A")+(L44="N/A")+(O44="N/A")+(R44="N/A")+(U44="N/A")+(X44="N/A"))&gt;0),"REVISAR","")</f>
        <v/>
      </c>
    </row>
    <row r="45">
      <c r="A45" s="22">
        <f>CRITERIOS!B33</f>
        <v/>
      </c>
      <c r="B45" s="22">
        <f>CRITERIOS!C33</f>
        <v/>
      </c>
      <c r="C45" s="8">
        <f>CRITERIOS!D33</f>
        <v/>
      </c>
      <c r="D45" s="22">
        <f>CRITERIOS!E33</f>
        <v/>
      </c>
      <c r="E45" s="22">
        <f>IFERROR(IF(AND(OR(CRITERIOS!F33="Todos",CRITERIOS!F33=$B$4),INDEX(CRITERIOS!H33:J33,MATCH($B$5,VARIABLES!$E$2:$E$4,0))=1),1,0),0)</f>
        <v/>
      </c>
      <c r="F45" s="22">
        <f>IFERROR(IF(E45=1,INDEX(CRITERIOS!K33:M33,MATCH($B$5,VARIABLES!$E$2:$E$4,0)),0),0)</f>
        <v/>
      </c>
      <c r="G45" s="22">
        <f>IF(CRITERIOS!N33="","",CRITERIOS!N33)</f>
        <v/>
      </c>
      <c r="H45" s="22">
        <f>IF(CRITERIOS!O33="","",CRITERIOS!O33)</f>
        <v/>
      </c>
      <c r="I45" s="21" t="n"/>
      <c r="J45" s="22">
        <f>IF(OR($E45=0,I$78=0),0,IF(AND(I45="N/A",$G45&lt;&gt;""),0,$F45+SUMPRODUCT(($G$14:$G$71=$A45)*($E$14:$E$71=1)*(I$14:I$71="N/A")*$F$14:$F$71)))</f>
        <v/>
      </c>
      <c r="K45" s="22">
        <f>IF(I45="SI",J45,0)</f>
        <v/>
      </c>
      <c r="L45" s="21" t="n"/>
      <c r="M45" s="22">
        <f>IF(OR($E45=0,L$78=0),0,IF(AND(L45="N/A",$G45&lt;&gt;""),0,$F45+SUMPRODUCT(($G$14:$G$71=$A45)*($E$14:$E$71=1)*(L$14:L$71="N/A")*$F$14:$F$71)))</f>
        <v/>
      </c>
      <c r="N45" s="22">
        <f>IF(L45="SI",M45,0)</f>
        <v/>
      </c>
      <c r="O45" s="21" t="n"/>
      <c r="P45" s="22">
        <f>IF(OR($E45=0,O$78=0),0,IF(AND(O45="N/A",$G45&lt;&gt;""),0,$F45+SUMPRODUCT(($G$14:$G$71=$A45)*($E$14:$E$71=1)*(O$14:O$71="N/A")*$F$14:$F$71)))</f>
        <v/>
      </c>
      <c r="Q45" s="22">
        <f>IF(O45="SI",P45,0)</f>
        <v/>
      </c>
      <c r="R45" s="21" t="n"/>
      <c r="S45" s="22">
        <f>IF(OR($E45=0,R$78=0),0,IF(AND(R45="N/A",$G45&lt;&gt;""),0,$F45+SUMPRODUCT(($G$14:$G$71=$A45)*($E$14:$E$71=1)*(R$14:R$71="N/A")*$F$14:$F$71)))</f>
        <v/>
      </c>
      <c r="T45" s="22">
        <f>IF(R45="SI",S45,0)</f>
        <v/>
      </c>
      <c r="U45" s="21" t="n"/>
      <c r="V45" s="22">
        <f>IF(OR($E45=0,U$78=0),0,IF(AND(U45="N/A",$G45&lt;&gt;""),0,$F45+SUMPRODUCT(($G$14:$G$71=$A45)*($E$14:$E$71=1)*(U$14:U$71="N/A")*$F$14:$F$71)))</f>
        <v/>
      </c>
      <c r="W45" s="22">
        <f>IF(U45="SI",V45,0)</f>
        <v/>
      </c>
      <c r="X45" s="21" t="n"/>
      <c r="Y45" s="22">
        <f>IF(OR($E45=0,X$78=0),0,IF(AND(X45="N/A",$G45&lt;&gt;""),0,$F45+SUMPRODUCT(($G$14:$G$71=$A45)*($E$14:$E$71=1)*(X$14:X$71="N/A")*$F$14:$F$71)))</f>
        <v/>
      </c>
      <c r="Z45" s="22">
        <f>IF(X45="SI",Y45,0)</f>
        <v/>
      </c>
      <c r="AA45" s="22">
        <f>SUM(J45,M45,P45,S45,V45,Y45)</f>
        <v/>
      </c>
      <c r="AB45" s="22">
        <f>SUM(K45,N45,Q45,T45,W45,Z45)</f>
        <v/>
      </c>
      <c r="AC45" s="23">
        <f>IF(AA45=0,"",AB45/AA45)</f>
        <v/>
      </c>
      <c r="AD45" s="22">
        <f>CRITERIOS!Q33</f>
        <v/>
      </c>
      <c r="AE45" s="22">
        <f>IF(AND(E45=1,H45&lt;&gt;"X",((I45="N/A")+(L45="N/A")+(O45="N/A")+(R45="N/A")+(U45="N/A")+(X45="N/A"))&gt;0),"REVISAR","")</f>
        <v/>
      </c>
    </row>
    <row r="46">
      <c r="A46" s="24">
        <f>CRITERIOS!B34</f>
        <v/>
      </c>
      <c r="B46" s="24">
        <f>CRITERIOS!C34</f>
        <v/>
      </c>
      <c r="C46" s="25">
        <f>CRITERIOS!D34</f>
        <v/>
      </c>
      <c r="D46" s="24">
        <f>CRITERIOS!E34</f>
        <v/>
      </c>
      <c r="E46" s="24">
        <f>IFERROR(IF(AND(OR(CRITERIOS!F34="Todos",CRITERIOS!F34=$B$4),INDEX(CRITERIOS!H34:J34,MATCH($B$5,VARIABLES!$E$2:$E$4,0))=1),1,0),0)</f>
        <v/>
      </c>
      <c r="F46" s="24">
        <f>IFERROR(IF(E46=1,INDEX(CRITERIOS!K34:M34,MATCH($B$5,VARIABLES!$E$2:$E$4,0)),0),0)</f>
        <v/>
      </c>
      <c r="G46" s="24">
        <f>IF(CRITERIOS!N34="","",CRITERIOS!N34)</f>
        <v/>
      </c>
      <c r="H46" s="24">
        <f>IF(CRITERIOS!O34="","",CRITERIOS!O34)</f>
        <v/>
      </c>
      <c r="I46" s="21" t="n"/>
      <c r="J46" s="22">
        <f>IF(OR($E46=0,I$78=0),0,IF(AND(I46="N/A",$G46&lt;&gt;""),0,$F46+SUMPRODUCT(($G$14:$G$71=$A46)*($E$14:$E$71=1)*(I$14:I$71="N/A")*$F$14:$F$71)))</f>
        <v/>
      </c>
      <c r="K46" s="22">
        <f>IF(I46="SI",J46,0)</f>
        <v/>
      </c>
      <c r="L46" s="21" t="n"/>
      <c r="M46" s="22">
        <f>IF(OR($E46=0,L$78=0),0,IF(AND(L46="N/A",$G46&lt;&gt;""),0,$F46+SUMPRODUCT(($G$14:$G$71=$A46)*($E$14:$E$71=1)*(L$14:L$71="N/A")*$F$14:$F$71)))</f>
        <v/>
      </c>
      <c r="N46" s="22">
        <f>IF(L46="SI",M46,0)</f>
        <v/>
      </c>
      <c r="O46" s="21" t="n"/>
      <c r="P46" s="22">
        <f>IF(OR($E46=0,O$78=0),0,IF(AND(O46="N/A",$G46&lt;&gt;""),0,$F46+SUMPRODUCT(($G$14:$G$71=$A46)*($E$14:$E$71=1)*(O$14:O$71="N/A")*$F$14:$F$71)))</f>
        <v/>
      </c>
      <c r="Q46" s="22">
        <f>IF(O46="SI",P46,0)</f>
        <v/>
      </c>
      <c r="R46" s="21" t="n"/>
      <c r="S46" s="22">
        <f>IF(OR($E46=0,R$78=0),0,IF(AND(R46="N/A",$G46&lt;&gt;""),0,$F46+SUMPRODUCT(($G$14:$G$71=$A46)*($E$14:$E$71=1)*(R$14:R$71="N/A")*$F$14:$F$71)))</f>
        <v/>
      </c>
      <c r="T46" s="22">
        <f>IF(R46="SI",S46,0)</f>
        <v/>
      </c>
      <c r="U46" s="21" t="n"/>
      <c r="V46" s="22">
        <f>IF(OR($E46=0,U$78=0),0,IF(AND(U46="N/A",$G46&lt;&gt;""),0,$F46+SUMPRODUCT(($G$14:$G$71=$A46)*($E$14:$E$71=1)*(U$14:U$71="N/A")*$F$14:$F$71)))</f>
        <v/>
      </c>
      <c r="W46" s="22">
        <f>IF(U46="SI",V46,0)</f>
        <v/>
      </c>
      <c r="X46" s="21" t="n"/>
      <c r="Y46" s="22">
        <f>IF(OR($E46=0,X$78=0),0,IF(AND(X46="N/A",$G46&lt;&gt;""),0,$F46+SUMPRODUCT(($G$14:$G$71=$A46)*($E$14:$E$71=1)*(X$14:X$71="N/A")*$F$14:$F$71)))</f>
        <v/>
      </c>
      <c r="Z46" s="22">
        <f>IF(X46="SI",Y46,0)</f>
        <v/>
      </c>
      <c r="AA46" s="22">
        <f>SUM(J46,M46,P46,S46,V46,Y46)</f>
        <v/>
      </c>
      <c r="AB46" s="22">
        <f>SUM(K46,N46,Q46,T46,W46,Z46)</f>
        <v/>
      </c>
      <c r="AC46" s="23">
        <f>IF(AA46=0,"",AB46/AA46)</f>
        <v/>
      </c>
      <c r="AD46" s="22">
        <f>CRITERIOS!Q34</f>
        <v/>
      </c>
      <c r="AE46" s="22">
        <f>IF(AND(E46=1,H46&lt;&gt;"X",((I46="N/A")+(L46="N/A")+(O46="N/A")+(R46="N/A")+(U46="N/A")+(X46="N/A"))&gt;0),"REVISAR","")</f>
        <v/>
      </c>
    </row>
    <row r="47">
      <c r="A47" s="22">
        <f>CRITERIOS!B35</f>
        <v/>
      </c>
      <c r="B47" s="22">
        <f>CRITERIOS!C35</f>
        <v/>
      </c>
      <c r="C47" s="8">
        <f>CRITERIOS!D35</f>
        <v/>
      </c>
      <c r="D47" s="22">
        <f>CRITERIOS!E35</f>
        <v/>
      </c>
      <c r="E47" s="22">
        <f>IFERROR(IF(AND(OR(CRITERIOS!F35="Todos",CRITERIOS!F35=$B$4),INDEX(CRITERIOS!H35:J35,MATCH($B$5,VARIABLES!$E$2:$E$4,0))=1),1,0),0)</f>
        <v/>
      </c>
      <c r="F47" s="22">
        <f>IFERROR(IF(E47=1,INDEX(CRITERIOS!K35:M35,MATCH($B$5,VARIABLES!$E$2:$E$4,0)),0),0)</f>
        <v/>
      </c>
      <c r="G47" s="22">
        <f>IF(CRITERIOS!N35="","",CRITERIOS!N35)</f>
        <v/>
      </c>
      <c r="H47" s="22">
        <f>IF(CRITERIOS!O35="","",CRITERIOS!O35)</f>
        <v/>
      </c>
      <c r="I47" s="21" t="n"/>
      <c r="J47" s="22">
        <f>IF(OR($E47=0,I$78=0),0,IF(AND(I47="N/A",$G47&lt;&gt;""),0,$F47+SUMPRODUCT(($G$14:$G$71=$A47)*($E$14:$E$71=1)*(I$14:I$71="N/A")*$F$14:$F$71)))</f>
        <v/>
      </c>
      <c r="K47" s="22">
        <f>IF(I47="SI",J47,0)</f>
        <v/>
      </c>
      <c r="L47" s="21" t="n"/>
      <c r="M47" s="22">
        <f>IF(OR($E47=0,L$78=0),0,IF(AND(L47="N/A",$G47&lt;&gt;""),0,$F47+SUMPRODUCT(($G$14:$G$71=$A47)*($E$14:$E$71=1)*(L$14:L$71="N/A")*$F$14:$F$71)))</f>
        <v/>
      </c>
      <c r="N47" s="22">
        <f>IF(L47="SI",M47,0)</f>
        <v/>
      </c>
      <c r="O47" s="21" t="n"/>
      <c r="P47" s="22">
        <f>IF(OR($E47=0,O$78=0),0,IF(AND(O47="N/A",$G47&lt;&gt;""),0,$F47+SUMPRODUCT(($G$14:$G$71=$A47)*($E$14:$E$71=1)*(O$14:O$71="N/A")*$F$14:$F$71)))</f>
        <v/>
      </c>
      <c r="Q47" s="22">
        <f>IF(O47="SI",P47,0)</f>
        <v/>
      </c>
      <c r="R47" s="21" t="n"/>
      <c r="S47" s="22">
        <f>IF(OR($E47=0,R$78=0),0,IF(AND(R47="N/A",$G47&lt;&gt;""),0,$F47+SUMPRODUCT(($G$14:$G$71=$A47)*($E$14:$E$71=1)*(R$14:R$71="N/A")*$F$14:$F$71)))</f>
        <v/>
      </c>
      <c r="T47" s="22">
        <f>IF(R47="SI",S47,0)</f>
        <v/>
      </c>
      <c r="U47" s="21" t="n"/>
      <c r="V47" s="22">
        <f>IF(OR($E47=0,U$78=0),0,IF(AND(U47="N/A",$G47&lt;&gt;""),0,$F47+SUMPRODUCT(($G$14:$G$71=$A47)*($E$14:$E$71=1)*(U$14:U$71="N/A")*$F$14:$F$71)))</f>
        <v/>
      </c>
      <c r="W47" s="22">
        <f>IF(U47="SI",V47,0)</f>
        <v/>
      </c>
      <c r="X47" s="21" t="n"/>
      <c r="Y47" s="22">
        <f>IF(OR($E47=0,X$78=0),0,IF(AND(X47="N/A",$G47&lt;&gt;""),0,$F47+SUMPRODUCT(($G$14:$G$71=$A47)*($E$14:$E$71=1)*(X$14:X$71="N/A")*$F$14:$F$71)))</f>
        <v/>
      </c>
      <c r="Z47" s="22">
        <f>IF(X47="SI",Y47,0)</f>
        <v/>
      </c>
      <c r="AA47" s="22">
        <f>SUM(J47,M47,P47,S47,V47,Y47)</f>
        <v/>
      </c>
      <c r="AB47" s="22">
        <f>SUM(K47,N47,Q47,T47,W47,Z47)</f>
        <v/>
      </c>
      <c r="AC47" s="23">
        <f>IF(AA47=0,"",AB47/AA47)</f>
        <v/>
      </c>
      <c r="AD47" s="22">
        <f>CRITERIOS!Q35</f>
        <v/>
      </c>
      <c r="AE47" s="22">
        <f>IF(AND(E47=1,H47&lt;&gt;"X",((I47="N/A")+(L47="N/A")+(O47="N/A")+(R47="N/A")+(U47="N/A")+(X47="N/A"))&gt;0),"REVISAR","")</f>
        <v/>
      </c>
    </row>
    <row r="48">
      <c r="A48" s="24">
        <f>CRITERIOS!B36</f>
        <v/>
      </c>
      <c r="B48" s="24">
        <f>CRITERIOS!C36</f>
        <v/>
      </c>
      <c r="C48" s="25">
        <f>CRITERIOS!D36</f>
        <v/>
      </c>
      <c r="D48" s="24">
        <f>CRITERIOS!E36</f>
        <v/>
      </c>
      <c r="E48" s="24">
        <f>IFERROR(IF(AND(OR(CRITERIOS!F36="Todos",CRITERIOS!F36=$B$4),INDEX(CRITERIOS!H36:J36,MATCH($B$5,VARIABLES!$E$2:$E$4,0))=1),1,0),0)</f>
        <v/>
      </c>
      <c r="F48" s="24">
        <f>IFERROR(IF(E48=1,INDEX(CRITERIOS!K36:M36,MATCH($B$5,VARIABLES!$E$2:$E$4,0)),0),0)</f>
        <v/>
      </c>
      <c r="G48" s="24">
        <f>IF(CRITERIOS!N36="","",CRITERIOS!N36)</f>
        <v/>
      </c>
      <c r="H48" s="24">
        <f>IF(CRITERIOS!O36="","",CRITERIOS!O36)</f>
        <v/>
      </c>
      <c r="I48" s="21" t="n"/>
      <c r="J48" s="22">
        <f>IF(OR($E48=0,I$78=0),0,IF(AND(I48="N/A",$G48&lt;&gt;""),0,$F48+SUMPRODUCT(($G$14:$G$71=$A48)*($E$14:$E$71=1)*(I$14:I$71="N/A")*$F$14:$F$71)))</f>
        <v/>
      </c>
      <c r="K48" s="22">
        <f>IF(I48="SI",J48,0)</f>
        <v/>
      </c>
      <c r="L48" s="21" t="n"/>
      <c r="M48" s="22">
        <f>IF(OR($E48=0,L$78=0),0,IF(AND(L48="N/A",$G48&lt;&gt;""),0,$F48+SUMPRODUCT(($G$14:$G$71=$A48)*($E$14:$E$71=1)*(L$14:L$71="N/A")*$F$14:$F$71)))</f>
        <v/>
      </c>
      <c r="N48" s="22">
        <f>IF(L48="SI",M48,0)</f>
        <v/>
      </c>
      <c r="O48" s="21" t="n"/>
      <c r="P48" s="22">
        <f>IF(OR($E48=0,O$78=0),0,IF(AND(O48="N/A",$G48&lt;&gt;""),0,$F48+SUMPRODUCT(($G$14:$G$71=$A48)*($E$14:$E$71=1)*(O$14:O$71="N/A")*$F$14:$F$71)))</f>
        <v/>
      </c>
      <c r="Q48" s="22">
        <f>IF(O48="SI",P48,0)</f>
        <v/>
      </c>
      <c r="R48" s="21" t="n"/>
      <c r="S48" s="22">
        <f>IF(OR($E48=0,R$78=0),0,IF(AND(R48="N/A",$G48&lt;&gt;""),0,$F48+SUMPRODUCT(($G$14:$G$71=$A48)*($E$14:$E$71=1)*(R$14:R$71="N/A")*$F$14:$F$71)))</f>
        <v/>
      </c>
      <c r="T48" s="22">
        <f>IF(R48="SI",S48,0)</f>
        <v/>
      </c>
      <c r="U48" s="21" t="n"/>
      <c r="V48" s="22">
        <f>IF(OR($E48=0,U$78=0),0,IF(AND(U48="N/A",$G48&lt;&gt;""),0,$F48+SUMPRODUCT(($G$14:$G$71=$A48)*($E$14:$E$71=1)*(U$14:U$71="N/A")*$F$14:$F$71)))</f>
        <v/>
      </c>
      <c r="W48" s="22">
        <f>IF(U48="SI",V48,0)</f>
        <v/>
      </c>
      <c r="X48" s="21" t="n"/>
      <c r="Y48" s="22">
        <f>IF(OR($E48=0,X$78=0),0,IF(AND(X48="N/A",$G48&lt;&gt;""),0,$F48+SUMPRODUCT(($G$14:$G$71=$A48)*($E$14:$E$71=1)*(X$14:X$71="N/A")*$F$14:$F$71)))</f>
        <v/>
      </c>
      <c r="Z48" s="22">
        <f>IF(X48="SI",Y48,0)</f>
        <v/>
      </c>
      <c r="AA48" s="22">
        <f>SUM(J48,M48,P48,S48,V48,Y48)</f>
        <v/>
      </c>
      <c r="AB48" s="22">
        <f>SUM(K48,N48,Q48,T48,W48,Z48)</f>
        <v/>
      </c>
      <c r="AC48" s="23">
        <f>IF(AA48=0,"",AB48/AA48)</f>
        <v/>
      </c>
      <c r="AD48" s="22">
        <f>CRITERIOS!Q36</f>
        <v/>
      </c>
      <c r="AE48" s="22">
        <f>IF(AND(E48=1,H48&lt;&gt;"X",((I48="N/A")+(L48="N/A")+(O48="N/A")+(R48="N/A")+(U48="N/A")+(X48="N/A"))&gt;0),"REVISAR","")</f>
        <v/>
      </c>
    </row>
    <row r="49">
      <c r="A49" s="24">
        <f>CRITERIOS!B37</f>
        <v/>
      </c>
      <c r="B49" s="24">
        <f>CRITERIOS!C37</f>
        <v/>
      </c>
      <c r="C49" s="25">
        <f>CRITERIOS!D37</f>
        <v/>
      </c>
      <c r="D49" s="24">
        <f>CRITERIOS!E37</f>
        <v/>
      </c>
      <c r="E49" s="24">
        <f>IFERROR(IF(AND(OR(CRITERIOS!F37="Todos",CRITERIOS!F37=$B$4),INDEX(CRITERIOS!H37:J37,MATCH($B$5,VARIABLES!$E$2:$E$4,0))=1),1,0),0)</f>
        <v/>
      </c>
      <c r="F49" s="24">
        <f>IFERROR(IF(E49=1,INDEX(CRITERIOS!K37:M37,MATCH($B$5,VARIABLES!$E$2:$E$4,0)),0),0)</f>
        <v/>
      </c>
      <c r="G49" s="24">
        <f>IF(CRITERIOS!N37="","",CRITERIOS!N37)</f>
        <v/>
      </c>
      <c r="H49" s="24">
        <f>IF(CRITERIOS!O37="","",CRITERIOS!O37)</f>
        <v/>
      </c>
      <c r="I49" s="21" t="n"/>
      <c r="J49" s="22">
        <f>IF(OR($E49=0,I$78=0),0,IF(AND(I49="N/A",$G49&lt;&gt;""),0,$F49+SUMPRODUCT(($G$14:$G$71=$A49)*($E$14:$E$71=1)*(I$14:I$71="N/A")*$F$14:$F$71)))</f>
        <v/>
      </c>
      <c r="K49" s="22">
        <f>IF(I49="SI",J49,0)</f>
        <v/>
      </c>
      <c r="L49" s="21" t="n"/>
      <c r="M49" s="22">
        <f>IF(OR($E49=0,L$78=0),0,IF(AND(L49="N/A",$G49&lt;&gt;""),0,$F49+SUMPRODUCT(($G$14:$G$71=$A49)*($E$14:$E$71=1)*(L$14:L$71="N/A")*$F$14:$F$71)))</f>
        <v/>
      </c>
      <c r="N49" s="22">
        <f>IF(L49="SI",M49,0)</f>
        <v/>
      </c>
      <c r="O49" s="21" t="n"/>
      <c r="P49" s="22">
        <f>IF(OR($E49=0,O$78=0),0,IF(AND(O49="N/A",$G49&lt;&gt;""),0,$F49+SUMPRODUCT(($G$14:$G$71=$A49)*($E$14:$E$71=1)*(O$14:O$71="N/A")*$F$14:$F$71)))</f>
        <v/>
      </c>
      <c r="Q49" s="22">
        <f>IF(O49="SI",P49,0)</f>
        <v/>
      </c>
      <c r="R49" s="21" t="n"/>
      <c r="S49" s="22">
        <f>IF(OR($E49=0,R$78=0),0,IF(AND(R49="N/A",$G49&lt;&gt;""),0,$F49+SUMPRODUCT(($G$14:$G$71=$A49)*($E$14:$E$71=1)*(R$14:R$71="N/A")*$F$14:$F$71)))</f>
        <v/>
      </c>
      <c r="T49" s="22">
        <f>IF(R49="SI",S49,0)</f>
        <v/>
      </c>
      <c r="U49" s="21" t="n"/>
      <c r="V49" s="22">
        <f>IF(OR($E49=0,U$78=0),0,IF(AND(U49="N/A",$G49&lt;&gt;""),0,$F49+SUMPRODUCT(($G$14:$G$71=$A49)*($E$14:$E$71=1)*(U$14:U$71="N/A")*$F$14:$F$71)))</f>
        <v/>
      </c>
      <c r="W49" s="22">
        <f>IF(U49="SI",V49,0)</f>
        <v/>
      </c>
      <c r="X49" s="21" t="n"/>
      <c r="Y49" s="22">
        <f>IF(OR($E49=0,X$78=0),0,IF(AND(X49="N/A",$G49&lt;&gt;""),0,$F49+SUMPRODUCT(($G$14:$G$71=$A49)*($E$14:$E$71=1)*(X$14:X$71="N/A")*$F$14:$F$71)))</f>
        <v/>
      </c>
      <c r="Z49" s="22">
        <f>IF(X49="SI",Y49,0)</f>
        <v/>
      </c>
      <c r="AA49" s="22">
        <f>SUM(J49,M49,P49,S49,V49,Y49)</f>
        <v/>
      </c>
      <c r="AB49" s="22">
        <f>SUM(K49,N49,Q49,T49,W49,Z49)</f>
        <v/>
      </c>
      <c r="AC49" s="23">
        <f>IF(AA49=0,"",AB49/AA49)</f>
        <v/>
      </c>
      <c r="AD49" s="22">
        <f>CRITERIOS!Q37</f>
        <v/>
      </c>
      <c r="AE49" s="22">
        <f>IF(AND(E49=1,H49&lt;&gt;"X",((I49="N/A")+(L49="N/A")+(O49="N/A")+(R49="N/A")+(U49="N/A")+(X49="N/A"))&gt;0),"REVISAR","")</f>
        <v/>
      </c>
    </row>
    <row r="50">
      <c r="A50" s="24">
        <f>CRITERIOS!B38</f>
        <v/>
      </c>
      <c r="B50" s="24">
        <f>CRITERIOS!C38</f>
        <v/>
      </c>
      <c r="C50" s="25">
        <f>CRITERIOS!D38</f>
        <v/>
      </c>
      <c r="D50" s="24">
        <f>CRITERIOS!E38</f>
        <v/>
      </c>
      <c r="E50" s="24">
        <f>IFERROR(IF(AND(OR(CRITERIOS!F38="Todos",CRITERIOS!F38=$B$4),INDEX(CRITERIOS!H38:J38,MATCH($B$5,VARIABLES!$E$2:$E$4,0))=1),1,0),0)</f>
        <v/>
      </c>
      <c r="F50" s="24">
        <f>IFERROR(IF(E50=1,INDEX(CRITERIOS!K38:M38,MATCH($B$5,VARIABLES!$E$2:$E$4,0)),0),0)</f>
        <v/>
      </c>
      <c r="G50" s="24">
        <f>IF(CRITERIOS!N38="","",CRITERIOS!N38)</f>
        <v/>
      </c>
      <c r="H50" s="24">
        <f>IF(CRITERIOS!O38="","",CRITERIOS!O38)</f>
        <v/>
      </c>
      <c r="I50" s="21" t="n"/>
      <c r="J50" s="22">
        <f>IF(OR($E50=0,I$78=0),0,IF(AND(I50="N/A",$G50&lt;&gt;""),0,$F50+SUMPRODUCT(($G$14:$G$71=$A50)*($E$14:$E$71=1)*(I$14:I$71="N/A")*$F$14:$F$71)))</f>
        <v/>
      </c>
      <c r="K50" s="22">
        <f>IF(I50="SI",J50,0)</f>
        <v/>
      </c>
      <c r="L50" s="21" t="n"/>
      <c r="M50" s="22">
        <f>IF(OR($E50=0,L$78=0),0,IF(AND(L50="N/A",$G50&lt;&gt;""),0,$F50+SUMPRODUCT(($G$14:$G$71=$A50)*($E$14:$E$71=1)*(L$14:L$71="N/A")*$F$14:$F$71)))</f>
        <v/>
      </c>
      <c r="N50" s="22">
        <f>IF(L50="SI",M50,0)</f>
        <v/>
      </c>
      <c r="O50" s="21" t="n"/>
      <c r="P50" s="22">
        <f>IF(OR($E50=0,O$78=0),0,IF(AND(O50="N/A",$G50&lt;&gt;""),0,$F50+SUMPRODUCT(($G$14:$G$71=$A50)*($E$14:$E$71=1)*(O$14:O$71="N/A")*$F$14:$F$71)))</f>
        <v/>
      </c>
      <c r="Q50" s="22">
        <f>IF(O50="SI",P50,0)</f>
        <v/>
      </c>
      <c r="R50" s="21" t="n"/>
      <c r="S50" s="22">
        <f>IF(OR($E50=0,R$78=0),0,IF(AND(R50="N/A",$G50&lt;&gt;""),0,$F50+SUMPRODUCT(($G$14:$G$71=$A50)*($E$14:$E$71=1)*(R$14:R$71="N/A")*$F$14:$F$71)))</f>
        <v/>
      </c>
      <c r="T50" s="22">
        <f>IF(R50="SI",S50,0)</f>
        <v/>
      </c>
      <c r="U50" s="21" t="n"/>
      <c r="V50" s="22">
        <f>IF(OR($E50=0,U$78=0),0,IF(AND(U50="N/A",$G50&lt;&gt;""),0,$F50+SUMPRODUCT(($G$14:$G$71=$A50)*($E$14:$E$71=1)*(U$14:U$71="N/A")*$F$14:$F$71)))</f>
        <v/>
      </c>
      <c r="W50" s="22">
        <f>IF(U50="SI",V50,0)</f>
        <v/>
      </c>
      <c r="X50" s="21" t="n"/>
      <c r="Y50" s="22">
        <f>IF(OR($E50=0,X$78=0),0,IF(AND(X50="N/A",$G50&lt;&gt;""),0,$F50+SUMPRODUCT(($G$14:$G$71=$A50)*($E$14:$E$71=1)*(X$14:X$71="N/A")*$F$14:$F$71)))</f>
        <v/>
      </c>
      <c r="Z50" s="22">
        <f>IF(X50="SI",Y50,0)</f>
        <v/>
      </c>
      <c r="AA50" s="22">
        <f>SUM(J50,M50,P50,S50,V50,Y50)</f>
        <v/>
      </c>
      <c r="AB50" s="22">
        <f>SUM(K50,N50,Q50,T50,W50,Z50)</f>
        <v/>
      </c>
      <c r="AC50" s="23">
        <f>IF(AA50=0,"",AB50/AA50)</f>
        <v/>
      </c>
      <c r="AD50" s="22">
        <f>CRITERIOS!Q38</f>
        <v/>
      </c>
      <c r="AE50" s="22">
        <f>IF(AND(E50=1,H50&lt;&gt;"X",((I50="N/A")+(L50="N/A")+(O50="N/A")+(R50="N/A")+(U50="N/A")+(X50="N/A"))&gt;0),"REVISAR","")</f>
        <v/>
      </c>
    </row>
    <row r="51">
      <c r="A51" s="24">
        <f>CRITERIOS!B39</f>
        <v/>
      </c>
      <c r="B51" s="24">
        <f>CRITERIOS!C39</f>
        <v/>
      </c>
      <c r="C51" s="25">
        <f>CRITERIOS!D39</f>
        <v/>
      </c>
      <c r="D51" s="24">
        <f>CRITERIOS!E39</f>
        <v/>
      </c>
      <c r="E51" s="24">
        <f>IFERROR(IF(AND(OR(CRITERIOS!F39="Todos",CRITERIOS!F39=$B$4),INDEX(CRITERIOS!H39:J39,MATCH($B$5,VARIABLES!$E$2:$E$4,0))=1),1,0),0)</f>
        <v/>
      </c>
      <c r="F51" s="24">
        <f>IFERROR(IF(E51=1,INDEX(CRITERIOS!K39:M39,MATCH($B$5,VARIABLES!$E$2:$E$4,0)),0),0)</f>
        <v/>
      </c>
      <c r="G51" s="24">
        <f>IF(CRITERIOS!N39="","",CRITERIOS!N39)</f>
        <v/>
      </c>
      <c r="H51" s="24">
        <f>IF(CRITERIOS!O39="","",CRITERIOS!O39)</f>
        <v/>
      </c>
      <c r="I51" s="21" t="n"/>
      <c r="J51" s="22">
        <f>IF(OR($E51=0,I$78=0),0,IF(AND(I51="N/A",$G51&lt;&gt;""),0,$F51+SUMPRODUCT(($G$14:$G$71=$A51)*($E$14:$E$71=1)*(I$14:I$71="N/A")*$F$14:$F$71)))</f>
        <v/>
      </c>
      <c r="K51" s="22">
        <f>IF(I51="SI",J51,0)</f>
        <v/>
      </c>
      <c r="L51" s="21" t="n"/>
      <c r="M51" s="22">
        <f>IF(OR($E51=0,L$78=0),0,IF(AND(L51="N/A",$G51&lt;&gt;""),0,$F51+SUMPRODUCT(($G$14:$G$71=$A51)*($E$14:$E$71=1)*(L$14:L$71="N/A")*$F$14:$F$71)))</f>
        <v/>
      </c>
      <c r="N51" s="22">
        <f>IF(L51="SI",M51,0)</f>
        <v/>
      </c>
      <c r="O51" s="21" t="n"/>
      <c r="P51" s="22">
        <f>IF(OR($E51=0,O$78=0),0,IF(AND(O51="N/A",$G51&lt;&gt;""),0,$F51+SUMPRODUCT(($G$14:$G$71=$A51)*($E$14:$E$71=1)*(O$14:O$71="N/A")*$F$14:$F$71)))</f>
        <v/>
      </c>
      <c r="Q51" s="22">
        <f>IF(O51="SI",P51,0)</f>
        <v/>
      </c>
      <c r="R51" s="21" t="n"/>
      <c r="S51" s="22">
        <f>IF(OR($E51=0,R$78=0),0,IF(AND(R51="N/A",$G51&lt;&gt;""),0,$F51+SUMPRODUCT(($G$14:$G$71=$A51)*($E$14:$E$71=1)*(R$14:R$71="N/A")*$F$14:$F$71)))</f>
        <v/>
      </c>
      <c r="T51" s="22">
        <f>IF(R51="SI",S51,0)</f>
        <v/>
      </c>
      <c r="U51" s="21" t="n"/>
      <c r="V51" s="22">
        <f>IF(OR($E51=0,U$78=0),0,IF(AND(U51="N/A",$G51&lt;&gt;""),0,$F51+SUMPRODUCT(($G$14:$G$71=$A51)*($E$14:$E$71=1)*(U$14:U$71="N/A")*$F$14:$F$71)))</f>
        <v/>
      </c>
      <c r="W51" s="22">
        <f>IF(U51="SI",V51,0)</f>
        <v/>
      </c>
      <c r="X51" s="21" t="n"/>
      <c r="Y51" s="22">
        <f>IF(OR($E51=0,X$78=0),0,IF(AND(X51="N/A",$G51&lt;&gt;""),0,$F51+SUMPRODUCT(($G$14:$G$71=$A51)*($E$14:$E$71=1)*(X$14:X$71="N/A")*$F$14:$F$71)))</f>
        <v/>
      </c>
      <c r="Z51" s="22">
        <f>IF(X51="SI",Y51,0)</f>
        <v/>
      </c>
      <c r="AA51" s="22">
        <f>SUM(J51,M51,P51,S51,V51,Y51)</f>
        <v/>
      </c>
      <c r="AB51" s="22">
        <f>SUM(K51,N51,Q51,T51,W51,Z51)</f>
        <v/>
      </c>
      <c r="AC51" s="23">
        <f>IF(AA51=0,"",AB51/AA51)</f>
        <v/>
      </c>
      <c r="AD51" s="22">
        <f>CRITERIOS!Q39</f>
        <v/>
      </c>
      <c r="AE51" s="22">
        <f>IF(AND(E51=1,H51&lt;&gt;"X",((I51="N/A")+(L51="N/A")+(O51="N/A")+(R51="N/A")+(U51="N/A")+(X51="N/A"))&gt;0),"REVISAR","")</f>
        <v/>
      </c>
    </row>
    <row r="52">
      <c r="A52" s="24">
        <f>CRITERIOS!B40</f>
        <v/>
      </c>
      <c r="B52" s="24">
        <f>CRITERIOS!C40</f>
        <v/>
      </c>
      <c r="C52" s="25">
        <f>CRITERIOS!D40</f>
        <v/>
      </c>
      <c r="D52" s="24">
        <f>CRITERIOS!E40</f>
        <v/>
      </c>
      <c r="E52" s="24">
        <f>IFERROR(IF(AND(OR(CRITERIOS!F40="Todos",CRITERIOS!F40=$B$4),INDEX(CRITERIOS!H40:J40,MATCH($B$5,VARIABLES!$E$2:$E$4,0))=1),1,0),0)</f>
        <v/>
      </c>
      <c r="F52" s="24">
        <f>IFERROR(IF(E52=1,INDEX(CRITERIOS!K40:M40,MATCH($B$5,VARIABLES!$E$2:$E$4,0)),0),0)</f>
        <v/>
      </c>
      <c r="G52" s="24">
        <f>IF(CRITERIOS!N40="","",CRITERIOS!N40)</f>
        <v/>
      </c>
      <c r="H52" s="24">
        <f>IF(CRITERIOS!O40="","",CRITERIOS!O40)</f>
        <v/>
      </c>
      <c r="I52" s="21" t="n"/>
      <c r="J52" s="22">
        <f>IF(OR($E52=0,I$78=0),0,IF(AND(I52="N/A",$G52&lt;&gt;""),0,$F52+SUMPRODUCT(($G$14:$G$71=$A52)*($E$14:$E$71=1)*(I$14:I$71="N/A")*$F$14:$F$71)))</f>
        <v/>
      </c>
      <c r="K52" s="22">
        <f>IF(I52="SI",J52,0)</f>
        <v/>
      </c>
      <c r="L52" s="21" t="n"/>
      <c r="M52" s="22">
        <f>IF(OR($E52=0,L$78=0),0,IF(AND(L52="N/A",$G52&lt;&gt;""),0,$F52+SUMPRODUCT(($G$14:$G$71=$A52)*($E$14:$E$71=1)*(L$14:L$71="N/A")*$F$14:$F$71)))</f>
        <v/>
      </c>
      <c r="N52" s="22">
        <f>IF(L52="SI",M52,0)</f>
        <v/>
      </c>
      <c r="O52" s="21" t="n"/>
      <c r="P52" s="22">
        <f>IF(OR($E52=0,O$78=0),0,IF(AND(O52="N/A",$G52&lt;&gt;""),0,$F52+SUMPRODUCT(($G$14:$G$71=$A52)*($E$14:$E$71=1)*(O$14:O$71="N/A")*$F$14:$F$71)))</f>
        <v/>
      </c>
      <c r="Q52" s="22">
        <f>IF(O52="SI",P52,0)</f>
        <v/>
      </c>
      <c r="R52" s="21" t="n"/>
      <c r="S52" s="22">
        <f>IF(OR($E52=0,R$78=0),0,IF(AND(R52="N/A",$G52&lt;&gt;""),0,$F52+SUMPRODUCT(($G$14:$G$71=$A52)*($E$14:$E$71=1)*(R$14:R$71="N/A")*$F$14:$F$71)))</f>
        <v/>
      </c>
      <c r="T52" s="22">
        <f>IF(R52="SI",S52,0)</f>
        <v/>
      </c>
      <c r="U52" s="21" t="n"/>
      <c r="V52" s="22">
        <f>IF(OR($E52=0,U$78=0),0,IF(AND(U52="N/A",$G52&lt;&gt;""),0,$F52+SUMPRODUCT(($G$14:$G$71=$A52)*($E$14:$E$71=1)*(U$14:U$71="N/A")*$F$14:$F$71)))</f>
        <v/>
      </c>
      <c r="W52" s="22">
        <f>IF(U52="SI",V52,0)</f>
        <v/>
      </c>
      <c r="X52" s="21" t="n"/>
      <c r="Y52" s="22">
        <f>IF(OR($E52=0,X$78=0),0,IF(AND(X52="N/A",$G52&lt;&gt;""),0,$F52+SUMPRODUCT(($G$14:$G$71=$A52)*($E$14:$E$71=1)*(X$14:X$71="N/A")*$F$14:$F$71)))</f>
        <v/>
      </c>
      <c r="Z52" s="22">
        <f>IF(X52="SI",Y52,0)</f>
        <v/>
      </c>
      <c r="AA52" s="22">
        <f>SUM(J52,M52,P52,S52,V52,Y52)</f>
        <v/>
      </c>
      <c r="AB52" s="22">
        <f>SUM(K52,N52,Q52,T52,W52,Z52)</f>
        <v/>
      </c>
      <c r="AC52" s="23">
        <f>IF(AA52=0,"",AB52/AA52)</f>
        <v/>
      </c>
      <c r="AD52" s="22">
        <f>CRITERIOS!Q40</f>
        <v/>
      </c>
      <c r="AE52" s="22">
        <f>IF(AND(E52=1,H52&lt;&gt;"X",((I52="N/A")+(L52="N/A")+(O52="N/A")+(R52="N/A")+(U52="N/A")+(X52="N/A"))&gt;0),"REVISAR","")</f>
        <v/>
      </c>
    </row>
    <row r="53">
      <c r="A53" s="22">
        <f>CRITERIOS!B41</f>
        <v/>
      </c>
      <c r="B53" s="22">
        <f>CRITERIOS!C41</f>
        <v/>
      </c>
      <c r="C53" s="8">
        <f>CRITERIOS!D41</f>
        <v/>
      </c>
      <c r="D53" s="22">
        <f>CRITERIOS!E41</f>
        <v/>
      </c>
      <c r="E53" s="22">
        <f>IFERROR(IF(AND(OR(CRITERIOS!F41="Todos",CRITERIOS!F41=$B$4),INDEX(CRITERIOS!H41:J41,MATCH($B$5,VARIABLES!$E$2:$E$4,0))=1),1,0),0)</f>
        <v/>
      </c>
      <c r="F53" s="22">
        <f>IFERROR(IF(E53=1,INDEX(CRITERIOS!K41:M41,MATCH($B$5,VARIABLES!$E$2:$E$4,0)),0),0)</f>
        <v/>
      </c>
      <c r="G53" s="22">
        <f>IF(CRITERIOS!N41="","",CRITERIOS!N41)</f>
        <v/>
      </c>
      <c r="H53" s="22">
        <f>IF(CRITERIOS!O41="","",CRITERIOS!O41)</f>
        <v/>
      </c>
      <c r="I53" s="21" t="n"/>
      <c r="J53" s="22">
        <f>IF(OR($E53=0,I$78=0),0,IF(AND(I53="N/A",$G53&lt;&gt;""),0,$F53+SUMPRODUCT(($G$14:$G$71=$A53)*($E$14:$E$71=1)*(I$14:I$71="N/A")*$F$14:$F$71)))</f>
        <v/>
      </c>
      <c r="K53" s="22">
        <f>IF(I53="SI",J53,0)</f>
        <v/>
      </c>
      <c r="L53" s="21" t="n"/>
      <c r="M53" s="22">
        <f>IF(OR($E53=0,L$78=0),0,IF(AND(L53="N/A",$G53&lt;&gt;""),0,$F53+SUMPRODUCT(($G$14:$G$71=$A53)*($E$14:$E$71=1)*(L$14:L$71="N/A")*$F$14:$F$71)))</f>
        <v/>
      </c>
      <c r="N53" s="22">
        <f>IF(L53="SI",M53,0)</f>
        <v/>
      </c>
      <c r="O53" s="21" t="n"/>
      <c r="P53" s="22">
        <f>IF(OR($E53=0,O$78=0),0,IF(AND(O53="N/A",$G53&lt;&gt;""),0,$F53+SUMPRODUCT(($G$14:$G$71=$A53)*($E$14:$E$71=1)*(O$14:O$71="N/A")*$F$14:$F$71)))</f>
        <v/>
      </c>
      <c r="Q53" s="22">
        <f>IF(O53="SI",P53,0)</f>
        <v/>
      </c>
      <c r="R53" s="21" t="n"/>
      <c r="S53" s="22">
        <f>IF(OR($E53=0,R$78=0),0,IF(AND(R53="N/A",$G53&lt;&gt;""),0,$F53+SUMPRODUCT(($G$14:$G$71=$A53)*($E$14:$E$71=1)*(R$14:R$71="N/A")*$F$14:$F$71)))</f>
        <v/>
      </c>
      <c r="T53" s="22">
        <f>IF(R53="SI",S53,0)</f>
        <v/>
      </c>
      <c r="U53" s="21" t="n"/>
      <c r="V53" s="22">
        <f>IF(OR($E53=0,U$78=0),0,IF(AND(U53="N/A",$G53&lt;&gt;""),0,$F53+SUMPRODUCT(($G$14:$G$71=$A53)*($E$14:$E$71=1)*(U$14:U$71="N/A")*$F$14:$F$71)))</f>
        <v/>
      </c>
      <c r="W53" s="22">
        <f>IF(U53="SI",V53,0)</f>
        <v/>
      </c>
      <c r="X53" s="21" t="n"/>
      <c r="Y53" s="22">
        <f>IF(OR($E53=0,X$78=0),0,IF(AND(X53="N/A",$G53&lt;&gt;""),0,$F53+SUMPRODUCT(($G$14:$G$71=$A53)*($E$14:$E$71=1)*(X$14:X$71="N/A")*$F$14:$F$71)))</f>
        <v/>
      </c>
      <c r="Z53" s="22">
        <f>IF(X53="SI",Y53,0)</f>
        <v/>
      </c>
      <c r="AA53" s="22">
        <f>SUM(J53,M53,P53,S53,V53,Y53)</f>
        <v/>
      </c>
      <c r="AB53" s="22">
        <f>SUM(K53,N53,Q53,T53,W53,Z53)</f>
        <v/>
      </c>
      <c r="AC53" s="23">
        <f>IF(AA53=0,"",AB53/AA53)</f>
        <v/>
      </c>
      <c r="AD53" s="22">
        <f>CRITERIOS!Q41</f>
        <v/>
      </c>
      <c r="AE53" s="22">
        <f>IF(AND(E53=1,H53&lt;&gt;"X",((I53="N/A")+(L53="N/A")+(O53="N/A")+(R53="N/A")+(U53="N/A")+(X53="N/A"))&gt;0),"REVISAR","")</f>
        <v/>
      </c>
    </row>
    <row r="54">
      <c r="A54" s="22">
        <f>CRITERIOS!B42</f>
        <v/>
      </c>
      <c r="B54" s="22">
        <f>CRITERIOS!C42</f>
        <v/>
      </c>
      <c r="C54" s="8">
        <f>CRITERIOS!D42</f>
        <v/>
      </c>
      <c r="D54" s="22">
        <f>CRITERIOS!E42</f>
        <v/>
      </c>
      <c r="E54" s="22">
        <f>IFERROR(IF(AND(OR(CRITERIOS!F42="Todos",CRITERIOS!F42=$B$4),INDEX(CRITERIOS!H42:J42,MATCH($B$5,VARIABLES!$E$2:$E$4,0))=1),1,0),0)</f>
        <v/>
      </c>
      <c r="F54" s="22">
        <f>IFERROR(IF(E54=1,INDEX(CRITERIOS!K42:M42,MATCH($B$5,VARIABLES!$E$2:$E$4,0)),0),0)</f>
        <v/>
      </c>
      <c r="G54" s="22">
        <f>IF(CRITERIOS!N42="","",CRITERIOS!N42)</f>
        <v/>
      </c>
      <c r="H54" s="22">
        <f>IF(CRITERIOS!O42="","",CRITERIOS!O42)</f>
        <v/>
      </c>
      <c r="I54" s="21" t="n"/>
      <c r="J54" s="22">
        <f>IF(OR($E54=0,I$78=0),0,IF(AND(I54="N/A",$G54&lt;&gt;""),0,$F54+SUMPRODUCT(($G$14:$G$71=$A54)*($E$14:$E$71=1)*(I$14:I$71="N/A")*$F$14:$F$71)))</f>
        <v/>
      </c>
      <c r="K54" s="22">
        <f>IF(I54="SI",J54,0)</f>
        <v/>
      </c>
      <c r="L54" s="21" t="n"/>
      <c r="M54" s="22">
        <f>IF(OR($E54=0,L$78=0),0,IF(AND(L54="N/A",$G54&lt;&gt;""),0,$F54+SUMPRODUCT(($G$14:$G$71=$A54)*($E$14:$E$71=1)*(L$14:L$71="N/A")*$F$14:$F$71)))</f>
        <v/>
      </c>
      <c r="N54" s="22">
        <f>IF(L54="SI",M54,0)</f>
        <v/>
      </c>
      <c r="O54" s="21" t="n"/>
      <c r="P54" s="22">
        <f>IF(OR($E54=0,O$78=0),0,IF(AND(O54="N/A",$G54&lt;&gt;""),0,$F54+SUMPRODUCT(($G$14:$G$71=$A54)*($E$14:$E$71=1)*(O$14:O$71="N/A")*$F$14:$F$71)))</f>
        <v/>
      </c>
      <c r="Q54" s="22">
        <f>IF(O54="SI",P54,0)</f>
        <v/>
      </c>
      <c r="R54" s="21" t="n"/>
      <c r="S54" s="22">
        <f>IF(OR($E54=0,R$78=0),0,IF(AND(R54="N/A",$G54&lt;&gt;""),0,$F54+SUMPRODUCT(($G$14:$G$71=$A54)*($E$14:$E$71=1)*(R$14:R$71="N/A")*$F$14:$F$71)))</f>
        <v/>
      </c>
      <c r="T54" s="22">
        <f>IF(R54="SI",S54,0)</f>
        <v/>
      </c>
      <c r="U54" s="21" t="n"/>
      <c r="V54" s="22">
        <f>IF(OR($E54=0,U$78=0),0,IF(AND(U54="N/A",$G54&lt;&gt;""),0,$F54+SUMPRODUCT(($G$14:$G$71=$A54)*($E$14:$E$71=1)*(U$14:U$71="N/A")*$F$14:$F$71)))</f>
        <v/>
      </c>
      <c r="W54" s="22">
        <f>IF(U54="SI",V54,0)</f>
        <v/>
      </c>
      <c r="X54" s="21" t="n"/>
      <c r="Y54" s="22">
        <f>IF(OR($E54=0,X$78=0),0,IF(AND(X54="N/A",$G54&lt;&gt;""),0,$F54+SUMPRODUCT(($G$14:$G$71=$A54)*($E$14:$E$71=1)*(X$14:X$71="N/A")*$F$14:$F$71)))</f>
        <v/>
      </c>
      <c r="Z54" s="22">
        <f>IF(X54="SI",Y54,0)</f>
        <v/>
      </c>
      <c r="AA54" s="22">
        <f>SUM(J54,M54,P54,S54,V54,Y54)</f>
        <v/>
      </c>
      <c r="AB54" s="22">
        <f>SUM(K54,N54,Q54,T54,W54,Z54)</f>
        <v/>
      </c>
      <c r="AC54" s="23">
        <f>IF(AA54=0,"",AB54/AA54)</f>
        <v/>
      </c>
      <c r="AD54" s="22">
        <f>CRITERIOS!Q42</f>
        <v/>
      </c>
      <c r="AE54" s="22">
        <f>IF(AND(E54=1,H54&lt;&gt;"X",((I54="N/A")+(L54="N/A")+(O54="N/A")+(R54="N/A")+(U54="N/A")+(X54="N/A"))&gt;0),"REVISAR","")</f>
        <v/>
      </c>
    </row>
    <row r="55">
      <c r="A55" s="24">
        <f>CRITERIOS!B43</f>
        <v/>
      </c>
      <c r="B55" s="24">
        <f>CRITERIOS!C43</f>
        <v/>
      </c>
      <c r="C55" s="25">
        <f>CRITERIOS!D43</f>
        <v/>
      </c>
      <c r="D55" s="24">
        <f>CRITERIOS!E43</f>
        <v/>
      </c>
      <c r="E55" s="24">
        <f>IFERROR(IF(AND(OR(CRITERIOS!F43="Todos",CRITERIOS!F43=$B$4),INDEX(CRITERIOS!H43:J43,MATCH($B$5,VARIABLES!$E$2:$E$4,0))=1),1,0),0)</f>
        <v/>
      </c>
      <c r="F55" s="24">
        <f>IFERROR(IF(E55=1,INDEX(CRITERIOS!K43:M43,MATCH($B$5,VARIABLES!$E$2:$E$4,0)),0),0)</f>
        <v/>
      </c>
      <c r="G55" s="24">
        <f>IF(CRITERIOS!N43="","",CRITERIOS!N43)</f>
        <v/>
      </c>
      <c r="H55" s="24">
        <f>IF(CRITERIOS!O43="","",CRITERIOS!O43)</f>
        <v/>
      </c>
      <c r="I55" s="21" t="n"/>
      <c r="J55" s="22">
        <f>IF(OR($E55=0,I$78=0),0,IF(AND(I55="N/A",$G55&lt;&gt;""),0,$F55+SUMPRODUCT(($G$14:$G$71=$A55)*($E$14:$E$71=1)*(I$14:I$71="N/A")*$F$14:$F$71)))</f>
        <v/>
      </c>
      <c r="K55" s="22">
        <f>IF(I55="SI",J55,0)</f>
        <v/>
      </c>
      <c r="L55" s="21" t="n"/>
      <c r="M55" s="22">
        <f>IF(OR($E55=0,L$78=0),0,IF(AND(L55="N/A",$G55&lt;&gt;""),0,$F55+SUMPRODUCT(($G$14:$G$71=$A55)*($E$14:$E$71=1)*(L$14:L$71="N/A")*$F$14:$F$71)))</f>
        <v/>
      </c>
      <c r="N55" s="22">
        <f>IF(L55="SI",M55,0)</f>
        <v/>
      </c>
      <c r="O55" s="21" t="n"/>
      <c r="P55" s="22">
        <f>IF(OR($E55=0,O$78=0),0,IF(AND(O55="N/A",$G55&lt;&gt;""),0,$F55+SUMPRODUCT(($G$14:$G$71=$A55)*($E$14:$E$71=1)*(O$14:O$71="N/A")*$F$14:$F$71)))</f>
        <v/>
      </c>
      <c r="Q55" s="22">
        <f>IF(O55="SI",P55,0)</f>
        <v/>
      </c>
      <c r="R55" s="21" t="n"/>
      <c r="S55" s="22">
        <f>IF(OR($E55=0,R$78=0),0,IF(AND(R55="N/A",$G55&lt;&gt;""),0,$F55+SUMPRODUCT(($G$14:$G$71=$A55)*($E$14:$E$71=1)*(R$14:R$71="N/A")*$F$14:$F$71)))</f>
        <v/>
      </c>
      <c r="T55" s="22">
        <f>IF(R55="SI",S55,0)</f>
        <v/>
      </c>
      <c r="U55" s="21" t="n"/>
      <c r="V55" s="22">
        <f>IF(OR($E55=0,U$78=0),0,IF(AND(U55="N/A",$G55&lt;&gt;""),0,$F55+SUMPRODUCT(($G$14:$G$71=$A55)*($E$14:$E$71=1)*(U$14:U$71="N/A")*$F$14:$F$71)))</f>
        <v/>
      </c>
      <c r="W55" s="22">
        <f>IF(U55="SI",V55,0)</f>
        <v/>
      </c>
      <c r="X55" s="21" t="n"/>
      <c r="Y55" s="22">
        <f>IF(OR($E55=0,X$78=0),0,IF(AND(X55="N/A",$G55&lt;&gt;""),0,$F55+SUMPRODUCT(($G$14:$G$71=$A55)*($E$14:$E$71=1)*(X$14:X$71="N/A")*$F$14:$F$71)))</f>
        <v/>
      </c>
      <c r="Z55" s="22">
        <f>IF(X55="SI",Y55,0)</f>
        <v/>
      </c>
      <c r="AA55" s="22">
        <f>SUM(J55,M55,P55,S55,V55,Y55)</f>
        <v/>
      </c>
      <c r="AB55" s="22">
        <f>SUM(K55,N55,Q55,T55,W55,Z55)</f>
        <v/>
      </c>
      <c r="AC55" s="23">
        <f>IF(AA55=0,"",AB55/AA55)</f>
        <v/>
      </c>
      <c r="AD55" s="22">
        <f>CRITERIOS!Q43</f>
        <v/>
      </c>
      <c r="AE55" s="22">
        <f>IF(AND(E55=1,H55&lt;&gt;"X",((I55="N/A")+(L55="N/A")+(O55="N/A")+(R55="N/A")+(U55="N/A")+(X55="N/A"))&gt;0),"REVISAR","")</f>
        <v/>
      </c>
    </row>
    <row r="56">
      <c r="A56" s="24">
        <f>CRITERIOS!B44</f>
        <v/>
      </c>
      <c r="B56" s="24">
        <f>CRITERIOS!C44</f>
        <v/>
      </c>
      <c r="C56" s="25">
        <f>CRITERIOS!D44</f>
        <v/>
      </c>
      <c r="D56" s="24">
        <f>CRITERIOS!E44</f>
        <v/>
      </c>
      <c r="E56" s="24">
        <f>IFERROR(IF(AND(OR(CRITERIOS!F44="Todos",CRITERIOS!F44=$B$4),INDEX(CRITERIOS!H44:J44,MATCH($B$5,VARIABLES!$E$2:$E$4,0))=1),1,0),0)</f>
        <v/>
      </c>
      <c r="F56" s="24">
        <f>IFERROR(IF(E56=1,INDEX(CRITERIOS!K44:M44,MATCH($B$5,VARIABLES!$E$2:$E$4,0)),0),0)</f>
        <v/>
      </c>
      <c r="G56" s="24">
        <f>IF(CRITERIOS!N44="","",CRITERIOS!N44)</f>
        <v/>
      </c>
      <c r="H56" s="24">
        <f>IF(CRITERIOS!O44="","",CRITERIOS!O44)</f>
        <v/>
      </c>
      <c r="I56" s="21" t="n"/>
      <c r="J56" s="22">
        <f>IF(OR($E56=0,I$78=0),0,IF(AND(I56="N/A",$G56&lt;&gt;""),0,$F56+SUMPRODUCT(($G$14:$G$71=$A56)*($E$14:$E$71=1)*(I$14:I$71="N/A")*$F$14:$F$71)))</f>
        <v/>
      </c>
      <c r="K56" s="22">
        <f>IF(I56="SI",J56,0)</f>
        <v/>
      </c>
      <c r="L56" s="21" t="n"/>
      <c r="M56" s="22">
        <f>IF(OR($E56=0,L$78=0),0,IF(AND(L56="N/A",$G56&lt;&gt;""),0,$F56+SUMPRODUCT(($G$14:$G$71=$A56)*($E$14:$E$71=1)*(L$14:L$71="N/A")*$F$14:$F$71)))</f>
        <v/>
      </c>
      <c r="N56" s="22">
        <f>IF(L56="SI",M56,0)</f>
        <v/>
      </c>
      <c r="O56" s="21" t="n"/>
      <c r="P56" s="22">
        <f>IF(OR($E56=0,O$78=0),0,IF(AND(O56="N/A",$G56&lt;&gt;""),0,$F56+SUMPRODUCT(($G$14:$G$71=$A56)*($E$14:$E$71=1)*(O$14:O$71="N/A")*$F$14:$F$71)))</f>
        <v/>
      </c>
      <c r="Q56" s="22">
        <f>IF(O56="SI",P56,0)</f>
        <v/>
      </c>
      <c r="R56" s="21" t="n"/>
      <c r="S56" s="22">
        <f>IF(OR($E56=0,R$78=0),0,IF(AND(R56="N/A",$G56&lt;&gt;""),0,$F56+SUMPRODUCT(($G$14:$G$71=$A56)*($E$14:$E$71=1)*(R$14:R$71="N/A")*$F$14:$F$71)))</f>
        <v/>
      </c>
      <c r="T56" s="22">
        <f>IF(R56="SI",S56,0)</f>
        <v/>
      </c>
      <c r="U56" s="21" t="n"/>
      <c r="V56" s="22">
        <f>IF(OR($E56=0,U$78=0),0,IF(AND(U56="N/A",$G56&lt;&gt;""),0,$F56+SUMPRODUCT(($G$14:$G$71=$A56)*($E$14:$E$71=1)*(U$14:U$71="N/A")*$F$14:$F$71)))</f>
        <v/>
      </c>
      <c r="W56" s="22">
        <f>IF(U56="SI",V56,0)</f>
        <v/>
      </c>
      <c r="X56" s="21" t="n"/>
      <c r="Y56" s="22">
        <f>IF(OR($E56=0,X$78=0),0,IF(AND(X56="N/A",$G56&lt;&gt;""),0,$F56+SUMPRODUCT(($G$14:$G$71=$A56)*($E$14:$E$71=1)*(X$14:X$71="N/A")*$F$14:$F$71)))</f>
        <v/>
      </c>
      <c r="Z56" s="22">
        <f>IF(X56="SI",Y56,0)</f>
        <v/>
      </c>
      <c r="AA56" s="22">
        <f>SUM(J56,M56,P56,S56,V56,Y56)</f>
        <v/>
      </c>
      <c r="AB56" s="22">
        <f>SUM(K56,N56,Q56,T56,W56,Z56)</f>
        <v/>
      </c>
      <c r="AC56" s="23">
        <f>IF(AA56=0,"",AB56/AA56)</f>
        <v/>
      </c>
      <c r="AD56" s="22">
        <f>CRITERIOS!Q44</f>
        <v/>
      </c>
      <c r="AE56" s="22">
        <f>IF(AND(E56=1,H56&lt;&gt;"X",((I56="N/A")+(L56="N/A")+(O56="N/A")+(R56="N/A")+(U56="N/A")+(X56="N/A"))&gt;0),"REVISAR","")</f>
        <v/>
      </c>
    </row>
    <row r="57">
      <c r="A57" s="24">
        <f>CRITERIOS!B45</f>
        <v/>
      </c>
      <c r="B57" s="24">
        <f>CRITERIOS!C45</f>
        <v/>
      </c>
      <c r="C57" s="25">
        <f>CRITERIOS!D45</f>
        <v/>
      </c>
      <c r="D57" s="24">
        <f>CRITERIOS!E45</f>
        <v/>
      </c>
      <c r="E57" s="24">
        <f>IFERROR(IF(AND(OR(CRITERIOS!F45="Todos",CRITERIOS!F45=$B$4),INDEX(CRITERIOS!H45:J45,MATCH($B$5,VARIABLES!$E$2:$E$4,0))=1),1,0),0)</f>
        <v/>
      </c>
      <c r="F57" s="24">
        <f>IFERROR(IF(E57=1,INDEX(CRITERIOS!K45:M45,MATCH($B$5,VARIABLES!$E$2:$E$4,0)),0),0)</f>
        <v/>
      </c>
      <c r="G57" s="24">
        <f>IF(CRITERIOS!N45="","",CRITERIOS!N45)</f>
        <v/>
      </c>
      <c r="H57" s="24">
        <f>IF(CRITERIOS!O45="","",CRITERIOS!O45)</f>
        <v/>
      </c>
      <c r="I57" s="21" t="n"/>
      <c r="J57" s="22">
        <f>IF(OR($E57=0,I$78=0),0,IF(AND(I57="N/A",$G57&lt;&gt;""),0,$F57+SUMPRODUCT(($G$14:$G$71=$A57)*($E$14:$E$71=1)*(I$14:I$71="N/A")*$F$14:$F$71)))</f>
        <v/>
      </c>
      <c r="K57" s="22">
        <f>IF(I57="SI",J57,0)</f>
        <v/>
      </c>
      <c r="L57" s="21" t="n"/>
      <c r="M57" s="22">
        <f>IF(OR($E57=0,L$78=0),0,IF(AND(L57="N/A",$G57&lt;&gt;""),0,$F57+SUMPRODUCT(($G$14:$G$71=$A57)*($E$14:$E$71=1)*(L$14:L$71="N/A")*$F$14:$F$71)))</f>
        <v/>
      </c>
      <c r="N57" s="22">
        <f>IF(L57="SI",M57,0)</f>
        <v/>
      </c>
      <c r="O57" s="21" t="n"/>
      <c r="P57" s="22">
        <f>IF(OR($E57=0,O$78=0),0,IF(AND(O57="N/A",$G57&lt;&gt;""),0,$F57+SUMPRODUCT(($G$14:$G$71=$A57)*($E$14:$E$71=1)*(O$14:O$71="N/A")*$F$14:$F$71)))</f>
        <v/>
      </c>
      <c r="Q57" s="22">
        <f>IF(O57="SI",P57,0)</f>
        <v/>
      </c>
      <c r="R57" s="21" t="n"/>
      <c r="S57" s="22">
        <f>IF(OR($E57=0,R$78=0),0,IF(AND(R57="N/A",$G57&lt;&gt;""),0,$F57+SUMPRODUCT(($G$14:$G$71=$A57)*($E$14:$E$71=1)*(R$14:R$71="N/A")*$F$14:$F$71)))</f>
        <v/>
      </c>
      <c r="T57" s="22">
        <f>IF(R57="SI",S57,0)</f>
        <v/>
      </c>
      <c r="U57" s="21" t="n"/>
      <c r="V57" s="22">
        <f>IF(OR($E57=0,U$78=0),0,IF(AND(U57="N/A",$G57&lt;&gt;""),0,$F57+SUMPRODUCT(($G$14:$G$71=$A57)*($E$14:$E$71=1)*(U$14:U$71="N/A")*$F$14:$F$71)))</f>
        <v/>
      </c>
      <c r="W57" s="22">
        <f>IF(U57="SI",V57,0)</f>
        <v/>
      </c>
      <c r="X57" s="21" t="n"/>
      <c r="Y57" s="22">
        <f>IF(OR($E57=0,X$78=0),0,IF(AND(X57="N/A",$G57&lt;&gt;""),0,$F57+SUMPRODUCT(($G$14:$G$71=$A57)*($E$14:$E$71=1)*(X$14:X$71="N/A")*$F$14:$F$71)))</f>
        <v/>
      </c>
      <c r="Z57" s="22">
        <f>IF(X57="SI",Y57,0)</f>
        <v/>
      </c>
      <c r="AA57" s="22">
        <f>SUM(J57,M57,P57,S57,V57,Y57)</f>
        <v/>
      </c>
      <c r="AB57" s="22">
        <f>SUM(K57,N57,Q57,T57,W57,Z57)</f>
        <v/>
      </c>
      <c r="AC57" s="23">
        <f>IF(AA57=0,"",AB57/AA57)</f>
        <v/>
      </c>
      <c r="AD57" s="22">
        <f>CRITERIOS!Q45</f>
        <v/>
      </c>
      <c r="AE57" s="22">
        <f>IF(AND(E57=1,H57&lt;&gt;"X",((I57="N/A")+(L57="N/A")+(O57="N/A")+(R57="N/A")+(U57="N/A")+(X57="N/A"))&gt;0),"REVISAR","")</f>
        <v/>
      </c>
    </row>
    <row r="58">
      <c r="A58" s="24">
        <f>CRITERIOS!B46</f>
        <v/>
      </c>
      <c r="B58" s="24">
        <f>CRITERIOS!C46</f>
        <v/>
      </c>
      <c r="C58" s="25">
        <f>CRITERIOS!D46</f>
        <v/>
      </c>
      <c r="D58" s="24">
        <f>CRITERIOS!E46</f>
        <v/>
      </c>
      <c r="E58" s="24">
        <f>IFERROR(IF(AND(OR(CRITERIOS!F46="Todos",CRITERIOS!F46=$B$4),INDEX(CRITERIOS!H46:J46,MATCH($B$5,VARIABLES!$E$2:$E$4,0))=1),1,0),0)</f>
        <v/>
      </c>
      <c r="F58" s="24">
        <f>IFERROR(IF(E58=1,INDEX(CRITERIOS!K46:M46,MATCH($B$5,VARIABLES!$E$2:$E$4,0)),0),0)</f>
        <v/>
      </c>
      <c r="G58" s="24">
        <f>IF(CRITERIOS!N46="","",CRITERIOS!N46)</f>
        <v/>
      </c>
      <c r="H58" s="24">
        <f>IF(CRITERIOS!O46="","",CRITERIOS!O46)</f>
        <v/>
      </c>
      <c r="I58" s="21" t="n"/>
      <c r="J58" s="22">
        <f>IF(OR($E58=0,I$78=0),0,IF(AND(I58="N/A",$G58&lt;&gt;""),0,$F58+SUMPRODUCT(($G$14:$G$71=$A58)*($E$14:$E$71=1)*(I$14:I$71="N/A")*$F$14:$F$71)))</f>
        <v/>
      </c>
      <c r="K58" s="22">
        <f>IF(I58="SI",J58,0)</f>
        <v/>
      </c>
      <c r="L58" s="21" t="n"/>
      <c r="M58" s="22">
        <f>IF(OR($E58=0,L$78=0),0,IF(AND(L58="N/A",$G58&lt;&gt;""),0,$F58+SUMPRODUCT(($G$14:$G$71=$A58)*($E$14:$E$71=1)*(L$14:L$71="N/A")*$F$14:$F$71)))</f>
        <v/>
      </c>
      <c r="N58" s="22">
        <f>IF(L58="SI",M58,0)</f>
        <v/>
      </c>
      <c r="O58" s="21" t="n"/>
      <c r="P58" s="22">
        <f>IF(OR($E58=0,O$78=0),0,IF(AND(O58="N/A",$G58&lt;&gt;""),0,$F58+SUMPRODUCT(($G$14:$G$71=$A58)*($E$14:$E$71=1)*(O$14:O$71="N/A")*$F$14:$F$71)))</f>
        <v/>
      </c>
      <c r="Q58" s="22">
        <f>IF(O58="SI",P58,0)</f>
        <v/>
      </c>
      <c r="R58" s="21" t="n"/>
      <c r="S58" s="22">
        <f>IF(OR($E58=0,R$78=0),0,IF(AND(R58="N/A",$G58&lt;&gt;""),0,$F58+SUMPRODUCT(($G$14:$G$71=$A58)*($E$14:$E$71=1)*(R$14:R$71="N/A")*$F$14:$F$71)))</f>
        <v/>
      </c>
      <c r="T58" s="22">
        <f>IF(R58="SI",S58,0)</f>
        <v/>
      </c>
      <c r="U58" s="21" t="n"/>
      <c r="V58" s="22">
        <f>IF(OR($E58=0,U$78=0),0,IF(AND(U58="N/A",$G58&lt;&gt;""),0,$F58+SUMPRODUCT(($G$14:$G$71=$A58)*($E$14:$E$71=1)*(U$14:U$71="N/A")*$F$14:$F$71)))</f>
        <v/>
      </c>
      <c r="W58" s="22">
        <f>IF(U58="SI",V58,0)</f>
        <v/>
      </c>
      <c r="X58" s="21" t="n"/>
      <c r="Y58" s="22">
        <f>IF(OR($E58=0,X$78=0),0,IF(AND(X58="N/A",$G58&lt;&gt;""),0,$F58+SUMPRODUCT(($G$14:$G$71=$A58)*($E$14:$E$71=1)*(X$14:X$71="N/A")*$F$14:$F$71)))</f>
        <v/>
      </c>
      <c r="Z58" s="22">
        <f>IF(X58="SI",Y58,0)</f>
        <v/>
      </c>
      <c r="AA58" s="22">
        <f>SUM(J58,M58,P58,S58,V58,Y58)</f>
        <v/>
      </c>
      <c r="AB58" s="22">
        <f>SUM(K58,N58,Q58,T58,W58,Z58)</f>
        <v/>
      </c>
      <c r="AC58" s="23">
        <f>IF(AA58=0,"",AB58/AA58)</f>
        <v/>
      </c>
      <c r="AD58" s="22">
        <f>CRITERIOS!Q46</f>
        <v/>
      </c>
      <c r="AE58" s="22">
        <f>IF(AND(E58=1,H58&lt;&gt;"X",((I58="N/A")+(L58="N/A")+(O58="N/A")+(R58="N/A")+(U58="N/A")+(X58="N/A"))&gt;0),"REVISAR","")</f>
        <v/>
      </c>
    </row>
    <row r="59">
      <c r="A59" s="24">
        <f>CRITERIOS!B47</f>
        <v/>
      </c>
      <c r="B59" s="24">
        <f>CRITERIOS!C47</f>
        <v/>
      </c>
      <c r="C59" s="25">
        <f>CRITERIOS!D47</f>
        <v/>
      </c>
      <c r="D59" s="24">
        <f>CRITERIOS!E47</f>
        <v/>
      </c>
      <c r="E59" s="24">
        <f>IFERROR(IF(AND(OR(CRITERIOS!F47="Todos",CRITERIOS!F47=$B$4),INDEX(CRITERIOS!H47:J47,MATCH($B$5,VARIABLES!$E$2:$E$4,0))=1),1,0),0)</f>
        <v/>
      </c>
      <c r="F59" s="24">
        <f>IFERROR(IF(E59=1,INDEX(CRITERIOS!K47:M47,MATCH($B$5,VARIABLES!$E$2:$E$4,0)),0),0)</f>
        <v/>
      </c>
      <c r="G59" s="24">
        <f>IF(CRITERIOS!N47="","",CRITERIOS!N47)</f>
        <v/>
      </c>
      <c r="H59" s="24">
        <f>IF(CRITERIOS!O47="","",CRITERIOS!O47)</f>
        <v/>
      </c>
      <c r="I59" s="21" t="n"/>
      <c r="J59" s="22">
        <f>IF(OR($E59=0,I$78=0),0,IF(AND(I59="N/A",$G59&lt;&gt;""),0,$F59+SUMPRODUCT(($G$14:$G$71=$A59)*($E$14:$E$71=1)*(I$14:I$71="N/A")*$F$14:$F$71)))</f>
        <v/>
      </c>
      <c r="K59" s="22">
        <f>IF(I59="SI",J59,0)</f>
        <v/>
      </c>
      <c r="L59" s="21" t="n"/>
      <c r="M59" s="22">
        <f>IF(OR($E59=0,L$78=0),0,IF(AND(L59="N/A",$G59&lt;&gt;""),0,$F59+SUMPRODUCT(($G$14:$G$71=$A59)*($E$14:$E$71=1)*(L$14:L$71="N/A")*$F$14:$F$71)))</f>
        <v/>
      </c>
      <c r="N59" s="22">
        <f>IF(L59="SI",M59,0)</f>
        <v/>
      </c>
      <c r="O59" s="21" t="n"/>
      <c r="P59" s="22">
        <f>IF(OR($E59=0,O$78=0),0,IF(AND(O59="N/A",$G59&lt;&gt;""),0,$F59+SUMPRODUCT(($G$14:$G$71=$A59)*($E$14:$E$71=1)*(O$14:O$71="N/A")*$F$14:$F$71)))</f>
        <v/>
      </c>
      <c r="Q59" s="22">
        <f>IF(O59="SI",P59,0)</f>
        <v/>
      </c>
      <c r="R59" s="21" t="n"/>
      <c r="S59" s="22">
        <f>IF(OR($E59=0,R$78=0),0,IF(AND(R59="N/A",$G59&lt;&gt;""),0,$F59+SUMPRODUCT(($G$14:$G$71=$A59)*($E$14:$E$71=1)*(R$14:R$71="N/A")*$F$14:$F$71)))</f>
        <v/>
      </c>
      <c r="T59" s="22">
        <f>IF(R59="SI",S59,0)</f>
        <v/>
      </c>
      <c r="U59" s="21" t="n"/>
      <c r="V59" s="22">
        <f>IF(OR($E59=0,U$78=0),0,IF(AND(U59="N/A",$G59&lt;&gt;""),0,$F59+SUMPRODUCT(($G$14:$G$71=$A59)*($E$14:$E$71=1)*(U$14:U$71="N/A")*$F$14:$F$71)))</f>
        <v/>
      </c>
      <c r="W59" s="22">
        <f>IF(U59="SI",V59,0)</f>
        <v/>
      </c>
      <c r="X59" s="21" t="n"/>
      <c r="Y59" s="22">
        <f>IF(OR($E59=0,X$78=0),0,IF(AND(X59="N/A",$G59&lt;&gt;""),0,$F59+SUMPRODUCT(($G$14:$G$71=$A59)*($E$14:$E$71=1)*(X$14:X$71="N/A")*$F$14:$F$71)))</f>
        <v/>
      </c>
      <c r="Z59" s="22">
        <f>IF(X59="SI",Y59,0)</f>
        <v/>
      </c>
      <c r="AA59" s="22">
        <f>SUM(J59,M59,P59,S59,V59,Y59)</f>
        <v/>
      </c>
      <c r="AB59" s="22">
        <f>SUM(K59,N59,Q59,T59,W59,Z59)</f>
        <v/>
      </c>
      <c r="AC59" s="23">
        <f>IF(AA59=0,"",AB59/AA59)</f>
        <v/>
      </c>
      <c r="AD59" s="22">
        <f>CRITERIOS!Q47</f>
        <v/>
      </c>
      <c r="AE59" s="22">
        <f>IF(AND(E59=1,H59&lt;&gt;"X",((I59="N/A")+(L59="N/A")+(O59="N/A")+(R59="N/A")+(U59="N/A")+(X59="N/A"))&gt;0),"REVISAR","")</f>
        <v/>
      </c>
    </row>
    <row r="60">
      <c r="A60" s="24">
        <f>CRITERIOS!B48</f>
        <v/>
      </c>
      <c r="B60" s="24">
        <f>CRITERIOS!C48</f>
        <v/>
      </c>
      <c r="C60" s="25">
        <f>CRITERIOS!D48</f>
        <v/>
      </c>
      <c r="D60" s="24">
        <f>CRITERIOS!E48</f>
        <v/>
      </c>
      <c r="E60" s="24">
        <f>IFERROR(IF(AND(OR(CRITERIOS!F48="Todos",CRITERIOS!F48=$B$4),INDEX(CRITERIOS!H48:J48,MATCH($B$5,VARIABLES!$E$2:$E$4,0))=1),1,0),0)</f>
        <v/>
      </c>
      <c r="F60" s="24">
        <f>IFERROR(IF(E60=1,INDEX(CRITERIOS!K48:M48,MATCH($B$5,VARIABLES!$E$2:$E$4,0)),0),0)</f>
        <v/>
      </c>
      <c r="G60" s="24">
        <f>IF(CRITERIOS!N48="","",CRITERIOS!N48)</f>
        <v/>
      </c>
      <c r="H60" s="24">
        <f>IF(CRITERIOS!O48="","",CRITERIOS!O48)</f>
        <v/>
      </c>
      <c r="I60" s="21" t="n"/>
      <c r="J60" s="22">
        <f>IF(OR($E60=0,I$78=0),0,IF(AND(I60="N/A",$G60&lt;&gt;""),0,$F60+SUMPRODUCT(($G$14:$G$71=$A60)*($E$14:$E$71=1)*(I$14:I$71="N/A")*$F$14:$F$71)))</f>
        <v/>
      </c>
      <c r="K60" s="22">
        <f>IF(I60="SI",J60,0)</f>
        <v/>
      </c>
      <c r="L60" s="21" t="n"/>
      <c r="M60" s="22">
        <f>IF(OR($E60=0,L$78=0),0,IF(AND(L60="N/A",$G60&lt;&gt;""),0,$F60+SUMPRODUCT(($G$14:$G$71=$A60)*($E$14:$E$71=1)*(L$14:L$71="N/A")*$F$14:$F$71)))</f>
        <v/>
      </c>
      <c r="N60" s="22">
        <f>IF(L60="SI",M60,0)</f>
        <v/>
      </c>
      <c r="O60" s="21" t="n"/>
      <c r="P60" s="22">
        <f>IF(OR($E60=0,O$78=0),0,IF(AND(O60="N/A",$G60&lt;&gt;""),0,$F60+SUMPRODUCT(($G$14:$G$71=$A60)*($E$14:$E$71=1)*(O$14:O$71="N/A")*$F$14:$F$71)))</f>
        <v/>
      </c>
      <c r="Q60" s="22">
        <f>IF(O60="SI",P60,0)</f>
        <v/>
      </c>
      <c r="R60" s="21" t="n"/>
      <c r="S60" s="22">
        <f>IF(OR($E60=0,R$78=0),0,IF(AND(R60="N/A",$G60&lt;&gt;""),0,$F60+SUMPRODUCT(($G$14:$G$71=$A60)*($E$14:$E$71=1)*(R$14:R$71="N/A")*$F$14:$F$71)))</f>
        <v/>
      </c>
      <c r="T60" s="22">
        <f>IF(R60="SI",S60,0)</f>
        <v/>
      </c>
      <c r="U60" s="21" t="n"/>
      <c r="V60" s="22">
        <f>IF(OR($E60=0,U$78=0),0,IF(AND(U60="N/A",$G60&lt;&gt;""),0,$F60+SUMPRODUCT(($G$14:$G$71=$A60)*($E$14:$E$71=1)*(U$14:U$71="N/A")*$F$14:$F$71)))</f>
        <v/>
      </c>
      <c r="W60" s="22">
        <f>IF(U60="SI",V60,0)</f>
        <v/>
      </c>
      <c r="X60" s="21" t="n"/>
      <c r="Y60" s="22">
        <f>IF(OR($E60=0,X$78=0),0,IF(AND(X60="N/A",$G60&lt;&gt;""),0,$F60+SUMPRODUCT(($G$14:$G$71=$A60)*($E$14:$E$71=1)*(X$14:X$71="N/A")*$F$14:$F$71)))</f>
        <v/>
      </c>
      <c r="Z60" s="22">
        <f>IF(X60="SI",Y60,0)</f>
        <v/>
      </c>
      <c r="AA60" s="22">
        <f>SUM(J60,M60,P60,S60,V60,Y60)</f>
        <v/>
      </c>
      <c r="AB60" s="22">
        <f>SUM(K60,N60,Q60,T60,W60,Z60)</f>
        <v/>
      </c>
      <c r="AC60" s="23">
        <f>IF(AA60=0,"",AB60/AA60)</f>
        <v/>
      </c>
      <c r="AD60" s="22">
        <f>CRITERIOS!Q48</f>
        <v/>
      </c>
      <c r="AE60" s="22">
        <f>IF(AND(E60=1,H60&lt;&gt;"X",((I60="N/A")+(L60="N/A")+(O60="N/A")+(R60="N/A")+(U60="N/A")+(X60="N/A"))&gt;0),"REVISAR","")</f>
        <v/>
      </c>
    </row>
    <row r="61">
      <c r="A61" s="22">
        <f>CRITERIOS!B49</f>
        <v/>
      </c>
      <c r="B61" s="22">
        <f>CRITERIOS!C49</f>
        <v/>
      </c>
      <c r="C61" s="8">
        <f>CRITERIOS!D49</f>
        <v/>
      </c>
      <c r="D61" s="22">
        <f>CRITERIOS!E49</f>
        <v/>
      </c>
      <c r="E61" s="22">
        <f>IFERROR(IF(AND(OR(CRITERIOS!F49="Todos",CRITERIOS!F49=$B$4),INDEX(CRITERIOS!H49:J49,MATCH($B$5,VARIABLES!$E$2:$E$4,0))=1),1,0),0)</f>
        <v/>
      </c>
      <c r="F61" s="22">
        <f>IFERROR(IF(E61=1,INDEX(CRITERIOS!K49:M49,MATCH($B$5,VARIABLES!$E$2:$E$4,0)),0),0)</f>
        <v/>
      </c>
      <c r="G61" s="22">
        <f>IF(CRITERIOS!N49="","",CRITERIOS!N49)</f>
        <v/>
      </c>
      <c r="H61" s="22">
        <f>IF(CRITERIOS!O49="","",CRITERIOS!O49)</f>
        <v/>
      </c>
      <c r="I61" s="21" t="n"/>
      <c r="J61" s="22">
        <f>IF(OR($E61=0,I$78=0),0,IF(AND(I61="N/A",$G61&lt;&gt;""),0,$F61+SUMPRODUCT(($G$14:$G$71=$A61)*($E$14:$E$71=1)*(I$14:I$71="N/A")*$F$14:$F$71)))</f>
        <v/>
      </c>
      <c r="K61" s="22">
        <f>IF(I61="SI",J61,0)</f>
        <v/>
      </c>
      <c r="L61" s="21" t="n"/>
      <c r="M61" s="22">
        <f>IF(OR($E61=0,L$78=0),0,IF(AND(L61="N/A",$G61&lt;&gt;""),0,$F61+SUMPRODUCT(($G$14:$G$71=$A61)*($E$14:$E$71=1)*(L$14:L$71="N/A")*$F$14:$F$71)))</f>
        <v/>
      </c>
      <c r="N61" s="22">
        <f>IF(L61="SI",M61,0)</f>
        <v/>
      </c>
      <c r="O61" s="21" t="n"/>
      <c r="P61" s="22">
        <f>IF(OR($E61=0,O$78=0),0,IF(AND(O61="N/A",$G61&lt;&gt;""),0,$F61+SUMPRODUCT(($G$14:$G$71=$A61)*($E$14:$E$71=1)*(O$14:O$71="N/A")*$F$14:$F$71)))</f>
        <v/>
      </c>
      <c r="Q61" s="22">
        <f>IF(O61="SI",P61,0)</f>
        <v/>
      </c>
      <c r="R61" s="21" t="n"/>
      <c r="S61" s="22">
        <f>IF(OR($E61=0,R$78=0),0,IF(AND(R61="N/A",$G61&lt;&gt;""),0,$F61+SUMPRODUCT(($G$14:$G$71=$A61)*($E$14:$E$71=1)*(R$14:R$71="N/A")*$F$14:$F$71)))</f>
        <v/>
      </c>
      <c r="T61" s="22">
        <f>IF(R61="SI",S61,0)</f>
        <v/>
      </c>
      <c r="U61" s="21" t="n"/>
      <c r="V61" s="22">
        <f>IF(OR($E61=0,U$78=0),0,IF(AND(U61="N/A",$G61&lt;&gt;""),0,$F61+SUMPRODUCT(($G$14:$G$71=$A61)*($E$14:$E$71=1)*(U$14:U$71="N/A")*$F$14:$F$71)))</f>
        <v/>
      </c>
      <c r="W61" s="22">
        <f>IF(U61="SI",V61,0)</f>
        <v/>
      </c>
      <c r="X61" s="21" t="n"/>
      <c r="Y61" s="22">
        <f>IF(OR($E61=0,X$78=0),0,IF(AND(X61="N/A",$G61&lt;&gt;""),0,$F61+SUMPRODUCT(($G$14:$G$71=$A61)*($E$14:$E$71=1)*(X$14:X$71="N/A")*$F$14:$F$71)))</f>
        <v/>
      </c>
      <c r="Z61" s="22">
        <f>IF(X61="SI",Y61,0)</f>
        <v/>
      </c>
      <c r="AA61" s="22">
        <f>SUM(J61,M61,P61,S61,V61,Y61)</f>
        <v/>
      </c>
      <c r="AB61" s="22">
        <f>SUM(K61,N61,Q61,T61,W61,Z61)</f>
        <v/>
      </c>
      <c r="AC61" s="23">
        <f>IF(AA61=0,"",AB61/AA61)</f>
        <v/>
      </c>
      <c r="AD61" s="22">
        <f>CRITERIOS!Q49</f>
        <v/>
      </c>
      <c r="AE61" s="22">
        <f>IF(AND(E61=1,H61&lt;&gt;"X",((I61="N/A")+(L61="N/A")+(O61="N/A")+(R61="N/A")+(U61="N/A")+(X61="N/A"))&gt;0),"REVISAR","")</f>
        <v/>
      </c>
    </row>
    <row r="62">
      <c r="A62" s="24">
        <f>CRITERIOS!B50</f>
        <v/>
      </c>
      <c r="B62" s="24">
        <f>CRITERIOS!C50</f>
        <v/>
      </c>
      <c r="C62" s="25">
        <f>CRITERIOS!D50</f>
        <v/>
      </c>
      <c r="D62" s="24">
        <f>CRITERIOS!E50</f>
        <v/>
      </c>
      <c r="E62" s="24">
        <f>IFERROR(IF(AND(OR(CRITERIOS!F50="Todos",CRITERIOS!F50=$B$4),INDEX(CRITERIOS!H50:J50,MATCH($B$5,VARIABLES!$E$2:$E$4,0))=1),1,0),0)</f>
        <v/>
      </c>
      <c r="F62" s="24">
        <f>IFERROR(IF(E62=1,INDEX(CRITERIOS!K50:M50,MATCH($B$5,VARIABLES!$E$2:$E$4,0)),0),0)</f>
        <v/>
      </c>
      <c r="G62" s="24">
        <f>IF(CRITERIOS!N50="","",CRITERIOS!N50)</f>
        <v/>
      </c>
      <c r="H62" s="24">
        <f>IF(CRITERIOS!O50="","",CRITERIOS!O50)</f>
        <v/>
      </c>
      <c r="I62" s="21" t="n"/>
      <c r="J62" s="22">
        <f>IF(OR($E62=0,I$78=0),0,IF(AND(I62="N/A",$G62&lt;&gt;""),0,$F62+SUMPRODUCT(($G$14:$G$71=$A62)*($E$14:$E$71=1)*(I$14:I$71="N/A")*$F$14:$F$71)))</f>
        <v/>
      </c>
      <c r="K62" s="22">
        <f>IF(I62="SI",J62,0)</f>
        <v/>
      </c>
      <c r="L62" s="21" t="n"/>
      <c r="M62" s="22">
        <f>IF(OR($E62=0,L$78=0),0,IF(AND(L62="N/A",$G62&lt;&gt;""),0,$F62+SUMPRODUCT(($G$14:$G$71=$A62)*($E$14:$E$71=1)*(L$14:L$71="N/A")*$F$14:$F$71)))</f>
        <v/>
      </c>
      <c r="N62" s="22">
        <f>IF(L62="SI",M62,0)</f>
        <v/>
      </c>
      <c r="O62" s="21" t="n"/>
      <c r="P62" s="22">
        <f>IF(OR($E62=0,O$78=0),0,IF(AND(O62="N/A",$G62&lt;&gt;""),0,$F62+SUMPRODUCT(($G$14:$G$71=$A62)*($E$14:$E$71=1)*(O$14:O$71="N/A")*$F$14:$F$71)))</f>
        <v/>
      </c>
      <c r="Q62" s="22">
        <f>IF(O62="SI",P62,0)</f>
        <v/>
      </c>
      <c r="R62" s="21" t="n"/>
      <c r="S62" s="22">
        <f>IF(OR($E62=0,R$78=0),0,IF(AND(R62="N/A",$G62&lt;&gt;""),0,$F62+SUMPRODUCT(($G$14:$G$71=$A62)*($E$14:$E$71=1)*(R$14:R$71="N/A")*$F$14:$F$71)))</f>
        <v/>
      </c>
      <c r="T62" s="22">
        <f>IF(R62="SI",S62,0)</f>
        <v/>
      </c>
      <c r="U62" s="21" t="n"/>
      <c r="V62" s="22">
        <f>IF(OR($E62=0,U$78=0),0,IF(AND(U62="N/A",$G62&lt;&gt;""),0,$F62+SUMPRODUCT(($G$14:$G$71=$A62)*($E$14:$E$71=1)*(U$14:U$71="N/A")*$F$14:$F$71)))</f>
        <v/>
      </c>
      <c r="W62" s="22">
        <f>IF(U62="SI",V62,0)</f>
        <v/>
      </c>
      <c r="X62" s="21" t="n"/>
      <c r="Y62" s="22">
        <f>IF(OR($E62=0,X$78=0),0,IF(AND(X62="N/A",$G62&lt;&gt;""),0,$F62+SUMPRODUCT(($G$14:$G$71=$A62)*($E$14:$E$71=1)*(X$14:X$71="N/A")*$F$14:$F$71)))</f>
        <v/>
      </c>
      <c r="Z62" s="22">
        <f>IF(X62="SI",Y62,0)</f>
        <v/>
      </c>
      <c r="AA62" s="22">
        <f>SUM(J62,M62,P62,S62,V62,Y62)</f>
        <v/>
      </c>
      <c r="AB62" s="22">
        <f>SUM(K62,N62,Q62,T62,W62,Z62)</f>
        <v/>
      </c>
      <c r="AC62" s="23">
        <f>IF(AA62=0,"",AB62/AA62)</f>
        <v/>
      </c>
      <c r="AD62" s="22">
        <f>CRITERIOS!Q50</f>
        <v/>
      </c>
      <c r="AE62" s="22">
        <f>IF(AND(E62=1,H62&lt;&gt;"X",((I62="N/A")+(L62="N/A")+(O62="N/A")+(R62="N/A")+(U62="N/A")+(X62="N/A"))&gt;0),"REVISAR","")</f>
        <v/>
      </c>
    </row>
    <row r="63">
      <c r="A63" s="24">
        <f>CRITERIOS!B51</f>
        <v/>
      </c>
      <c r="B63" s="24">
        <f>CRITERIOS!C51</f>
        <v/>
      </c>
      <c r="C63" s="25">
        <f>CRITERIOS!D51</f>
        <v/>
      </c>
      <c r="D63" s="24">
        <f>CRITERIOS!E51</f>
        <v/>
      </c>
      <c r="E63" s="24">
        <f>IFERROR(IF(AND(OR(CRITERIOS!F51="Todos",CRITERIOS!F51=$B$4),INDEX(CRITERIOS!H51:J51,MATCH($B$5,VARIABLES!$E$2:$E$4,0))=1),1,0),0)</f>
        <v/>
      </c>
      <c r="F63" s="24">
        <f>IFERROR(IF(E63=1,INDEX(CRITERIOS!K51:M51,MATCH($B$5,VARIABLES!$E$2:$E$4,0)),0),0)</f>
        <v/>
      </c>
      <c r="G63" s="24">
        <f>IF(CRITERIOS!N51="","",CRITERIOS!N51)</f>
        <v/>
      </c>
      <c r="H63" s="24">
        <f>IF(CRITERIOS!O51="","",CRITERIOS!O51)</f>
        <v/>
      </c>
      <c r="I63" s="21" t="n"/>
      <c r="J63" s="22">
        <f>IF(OR($E63=0,I$78=0),0,IF(AND(I63="N/A",$G63&lt;&gt;""),0,$F63+SUMPRODUCT(($G$14:$G$71=$A63)*($E$14:$E$71=1)*(I$14:I$71="N/A")*$F$14:$F$71)))</f>
        <v/>
      </c>
      <c r="K63" s="22">
        <f>IF(I63="SI",J63,0)</f>
        <v/>
      </c>
      <c r="L63" s="21" t="n"/>
      <c r="M63" s="22">
        <f>IF(OR($E63=0,L$78=0),0,IF(AND(L63="N/A",$G63&lt;&gt;""),0,$F63+SUMPRODUCT(($G$14:$G$71=$A63)*($E$14:$E$71=1)*(L$14:L$71="N/A")*$F$14:$F$71)))</f>
        <v/>
      </c>
      <c r="N63" s="22">
        <f>IF(L63="SI",M63,0)</f>
        <v/>
      </c>
      <c r="O63" s="21" t="n"/>
      <c r="P63" s="22">
        <f>IF(OR($E63=0,O$78=0),0,IF(AND(O63="N/A",$G63&lt;&gt;""),0,$F63+SUMPRODUCT(($G$14:$G$71=$A63)*($E$14:$E$71=1)*(O$14:O$71="N/A")*$F$14:$F$71)))</f>
        <v/>
      </c>
      <c r="Q63" s="22">
        <f>IF(O63="SI",P63,0)</f>
        <v/>
      </c>
      <c r="R63" s="21" t="n"/>
      <c r="S63" s="22">
        <f>IF(OR($E63=0,R$78=0),0,IF(AND(R63="N/A",$G63&lt;&gt;""),0,$F63+SUMPRODUCT(($G$14:$G$71=$A63)*($E$14:$E$71=1)*(R$14:R$71="N/A")*$F$14:$F$71)))</f>
        <v/>
      </c>
      <c r="T63" s="22">
        <f>IF(R63="SI",S63,0)</f>
        <v/>
      </c>
      <c r="U63" s="21" t="n"/>
      <c r="V63" s="22">
        <f>IF(OR($E63=0,U$78=0),0,IF(AND(U63="N/A",$G63&lt;&gt;""),0,$F63+SUMPRODUCT(($G$14:$G$71=$A63)*($E$14:$E$71=1)*(U$14:U$71="N/A")*$F$14:$F$71)))</f>
        <v/>
      </c>
      <c r="W63" s="22">
        <f>IF(U63="SI",V63,0)</f>
        <v/>
      </c>
      <c r="X63" s="21" t="n"/>
      <c r="Y63" s="22">
        <f>IF(OR($E63=0,X$78=0),0,IF(AND(X63="N/A",$G63&lt;&gt;""),0,$F63+SUMPRODUCT(($G$14:$G$71=$A63)*($E$14:$E$71=1)*(X$14:X$71="N/A")*$F$14:$F$71)))</f>
        <v/>
      </c>
      <c r="Z63" s="22">
        <f>IF(X63="SI",Y63,0)</f>
        <v/>
      </c>
      <c r="AA63" s="22">
        <f>SUM(J63,M63,P63,S63,V63,Y63)</f>
        <v/>
      </c>
      <c r="AB63" s="22">
        <f>SUM(K63,N63,Q63,T63,W63,Z63)</f>
        <v/>
      </c>
      <c r="AC63" s="23">
        <f>IF(AA63=0,"",AB63/AA63)</f>
        <v/>
      </c>
      <c r="AD63" s="22">
        <f>CRITERIOS!Q51</f>
        <v/>
      </c>
      <c r="AE63" s="22">
        <f>IF(AND(E63=1,H63&lt;&gt;"X",((I63="N/A")+(L63="N/A")+(O63="N/A")+(R63="N/A")+(U63="N/A")+(X63="N/A"))&gt;0),"REVISAR","")</f>
        <v/>
      </c>
    </row>
    <row r="64">
      <c r="A64" s="22">
        <f>CRITERIOS!B52</f>
        <v/>
      </c>
      <c r="B64" s="22">
        <f>CRITERIOS!C52</f>
        <v/>
      </c>
      <c r="C64" s="8">
        <f>CRITERIOS!D52</f>
        <v/>
      </c>
      <c r="D64" s="22">
        <f>CRITERIOS!E52</f>
        <v/>
      </c>
      <c r="E64" s="22">
        <f>IFERROR(IF(AND(OR(CRITERIOS!F52="Todos",CRITERIOS!F52=$B$4),INDEX(CRITERIOS!H52:J52,MATCH($B$5,VARIABLES!$E$2:$E$4,0))=1),1,0),0)</f>
        <v/>
      </c>
      <c r="F64" s="22">
        <f>IFERROR(IF(E64=1,INDEX(CRITERIOS!K52:M52,MATCH($B$5,VARIABLES!$E$2:$E$4,0)),0),0)</f>
        <v/>
      </c>
      <c r="G64" s="22">
        <f>IF(CRITERIOS!N52="","",CRITERIOS!N52)</f>
        <v/>
      </c>
      <c r="H64" s="22">
        <f>IF(CRITERIOS!O52="","",CRITERIOS!O52)</f>
        <v/>
      </c>
      <c r="I64" s="21" t="n"/>
      <c r="J64" s="22">
        <f>IF(OR($E64=0,I$78=0),0,IF(AND(I64="N/A",$G64&lt;&gt;""),0,$F64+SUMPRODUCT(($G$14:$G$71=$A64)*($E$14:$E$71=1)*(I$14:I$71="N/A")*$F$14:$F$71)))</f>
        <v/>
      </c>
      <c r="K64" s="22">
        <f>IF(I64="SI",J64,0)</f>
        <v/>
      </c>
      <c r="L64" s="21" t="n"/>
      <c r="M64" s="22">
        <f>IF(OR($E64=0,L$78=0),0,IF(AND(L64="N/A",$G64&lt;&gt;""),0,$F64+SUMPRODUCT(($G$14:$G$71=$A64)*($E$14:$E$71=1)*(L$14:L$71="N/A")*$F$14:$F$71)))</f>
        <v/>
      </c>
      <c r="N64" s="22">
        <f>IF(L64="SI",M64,0)</f>
        <v/>
      </c>
      <c r="O64" s="21" t="n"/>
      <c r="P64" s="22">
        <f>IF(OR($E64=0,O$78=0),0,IF(AND(O64="N/A",$G64&lt;&gt;""),0,$F64+SUMPRODUCT(($G$14:$G$71=$A64)*($E$14:$E$71=1)*(O$14:O$71="N/A")*$F$14:$F$71)))</f>
        <v/>
      </c>
      <c r="Q64" s="22">
        <f>IF(O64="SI",P64,0)</f>
        <v/>
      </c>
      <c r="R64" s="21" t="n"/>
      <c r="S64" s="22">
        <f>IF(OR($E64=0,R$78=0),0,IF(AND(R64="N/A",$G64&lt;&gt;""),0,$F64+SUMPRODUCT(($G$14:$G$71=$A64)*($E$14:$E$71=1)*(R$14:R$71="N/A")*$F$14:$F$71)))</f>
        <v/>
      </c>
      <c r="T64" s="22">
        <f>IF(R64="SI",S64,0)</f>
        <v/>
      </c>
      <c r="U64" s="21" t="n"/>
      <c r="V64" s="22">
        <f>IF(OR($E64=0,U$78=0),0,IF(AND(U64="N/A",$G64&lt;&gt;""),0,$F64+SUMPRODUCT(($G$14:$G$71=$A64)*($E$14:$E$71=1)*(U$14:U$71="N/A")*$F$14:$F$71)))</f>
        <v/>
      </c>
      <c r="W64" s="22">
        <f>IF(U64="SI",V64,0)</f>
        <v/>
      </c>
      <c r="X64" s="21" t="n"/>
      <c r="Y64" s="22">
        <f>IF(OR($E64=0,X$78=0),0,IF(AND(X64="N/A",$G64&lt;&gt;""),0,$F64+SUMPRODUCT(($G$14:$G$71=$A64)*($E$14:$E$71=1)*(X$14:X$71="N/A")*$F$14:$F$71)))</f>
        <v/>
      </c>
      <c r="Z64" s="22">
        <f>IF(X64="SI",Y64,0)</f>
        <v/>
      </c>
      <c r="AA64" s="22">
        <f>SUM(J64,M64,P64,S64,V64,Y64)</f>
        <v/>
      </c>
      <c r="AB64" s="22">
        <f>SUM(K64,N64,Q64,T64,W64,Z64)</f>
        <v/>
      </c>
      <c r="AC64" s="23">
        <f>IF(AA64=0,"",AB64/AA64)</f>
        <v/>
      </c>
      <c r="AD64" s="22">
        <f>CRITERIOS!Q52</f>
        <v/>
      </c>
      <c r="AE64" s="22">
        <f>IF(AND(E64=1,H64&lt;&gt;"X",((I64="N/A")+(L64="N/A")+(O64="N/A")+(R64="N/A")+(U64="N/A")+(X64="N/A"))&gt;0),"REVISAR","")</f>
        <v/>
      </c>
    </row>
    <row r="65">
      <c r="A65" s="24">
        <f>CRITERIOS!B53</f>
        <v/>
      </c>
      <c r="B65" s="24">
        <f>CRITERIOS!C53</f>
        <v/>
      </c>
      <c r="C65" s="25">
        <f>CRITERIOS!D53</f>
        <v/>
      </c>
      <c r="D65" s="24">
        <f>CRITERIOS!E53</f>
        <v/>
      </c>
      <c r="E65" s="24">
        <f>IFERROR(IF(AND(OR(CRITERIOS!F53="Todos",CRITERIOS!F53=$B$4),INDEX(CRITERIOS!H53:J53,MATCH($B$5,VARIABLES!$E$2:$E$4,0))=1),1,0),0)</f>
        <v/>
      </c>
      <c r="F65" s="24">
        <f>IFERROR(IF(E65=1,INDEX(CRITERIOS!K53:M53,MATCH($B$5,VARIABLES!$E$2:$E$4,0)),0),0)</f>
        <v/>
      </c>
      <c r="G65" s="24">
        <f>IF(CRITERIOS!N53="","",CRITERIOS!N53)</f>
        <v/>
      </c>
      <c r="H65" s="24">
        <f>IF(CRITERIOS!O53="","",CRITERIOS!O53)</f>
        <v/>
      </c>
      <c r="I65" s="21" t="n"/>
      <c r="J65" s="22">
        <f>IF(OR($E65=0,I$78=0),0,IF(AND(I65="N/A",$G65&lt;&gt;""),0,$F65+SUMPRODUCT(($G$14:$G$71=$A65)*($E$14:$E$71=1)*(I$14:I$71="N/A")*$F$14:$F$71)))</f>
        <v/>
      </c>
      <c r="K65" s="22">
        <f>IF(I65="SI",J65,0)</f>
        <v/>
      </c>
      <c r="L65" s="21" t="n"/>
      <c r="M65" s="22">
        <f>IF(OR($E65=0,L$78=0),0,IF(AND(L65="N/A",$G65&lt;&gt;""),0,$F65+SUMPRODUCT(($G$14:$G$71=$A65)*($E$14:$E$71=1)*(L$14:L$71="N/A")*$F$14:$F$71)))</f>
        <v/>
      </c>
      <c r="N65" s="22">
        <f>IF(L65="SI",M65,0)</f>
        <v/>
      </c>
      <c r="O65" s="21" t="n"/>
      <c r="P65" s="22">
        <f>IF(OR($E65=0,O$78=0),0,IF(AND(O65="N/A",$G65&lt;&gt;""),0,$F65+SUMPRODUCT(($G$14:$G$71=$A65)*($E$14:$E$71=1)*(O$14:O$71="N/A")*$F$14:$F$71)))</f>
        <v/>
      </c>
      <c r="Q65" s="22">
        <f>IF(O65="SI",P65,0)</f>
        <v/>
      </c>
      <c r="R65" s="21" t="n"/>
      <c r="S65" s="22">
        <f>IF(OR($E65=0,R$78=0),0,IF(AND(R65="N/A",$G65&lt;&gt;""),0,$F65+SUMPRODUCT(($G$14:$G$71=$A65)*($E$14:$E$71=1)*(R$14:R$71="N/A")*$F$14:$F$71)))</f>
        <v/>
      </c>
      <c r="T65" s="22">
        <f>IF(R65="SI",S65,0)</f>
        <v/>
      </c>
      <c r="U65" s="21" t="n"/>
      <c r="V65" s="22">
        <f>IF(OR($E65=0,U$78=0),0,IF(AND(U65="N/A",$G65&lt;&gt;""),0,$F65+SUMPRODUCT(($G$14:$G$71=$A65)*($E$14:$E$71=1)*(U$14:U$71="N/A")*$F$14:$F$71)))</f>
        <v/>
      </c>
      <c r="W65" s="22">
        <f>IF(U65="SI",V65,0)</f>
        <v/>
      </c>
      <c r="X65" s="21" t="n"/>
      <c r="Y65" s="22">
        <f>IF(OR($E65=0,X$78=0),0,IF(AND(X65="N/A",$G65&lt;&gt;""),0,$F65+SUMPRODUCT(($G$14:$G$71=$A65)*($E$14:$E$71=1)*(X$14:X$71="N/A")*$F$14:$F$71)))</f>
        <v/>
      </c>
      <c r="Z65" s="22">
        <f>IF(X65="SI",Y65,0)</f>
        <v/>
      </c>
      <c r="AA65" s="22">
        <f>SUM(J65,M65,P65,S65,V65,Y65)</f>
        <v/>
      </c>
      <c r="AB65" s="22">
        <f>SUM(K65,N65,Q65,T65,W65,Z65)</f>
        <v/>
      </c>
      <c r="AC65" s="23">
        <f>IF(AA65=0,"",AB65/AA65)</f>
        <v/>
      </c>
      <c r="AD65" s="22">
        <f>CRITERIOS!Q53</f>
        <v/>
      </c>
      <c r="AE65" s="22">
        <f>IF(AND(E65=1,H65&lt;&gt;"X",((I65="N/A")+(L65="N/A")+(O65="N/A")+(R65="N/A")+(U65="N/A")+(X65="N/A"))&gt;0),"REVISAR","")</f>
        <v/>
      </c>
    </row>
    <row r="66">
      <c r="A66" s="24">
        <f>CRITERIOS!B54</f>
        <v/>
      </c>
      <c r="B66" s="24">
        <f>CRITERIOS!C54</f>
        <v/>
      </c>
      <c r="C66" s="25">
        <f>CRITERIOS!D54</f>
        <v/>
      </c>
      <c r="D66" s="24">
        <f>CRITERIOS!E54</f>
        <v/>
      </c>
      <c r="E66" s="24">
        <f>IFERROR(IF(AND(OR(CRITERIOS!F54="Todos",CRITERIOS!F54=$B$4),INDEX(CRITERIOS!H54:J54,MATCH($B$5,VARIABLES!$E$2:$E$4,0))=1),1,0),0)</f>
        <v/>
      </c>
      <c r="F66" s="24">
        <f>IFERROR(IF(E66=1,INDEX(CRITERIOS!K54:M54,MATCH($B$5,VARIABLES!$E$2:$E$4,0)),0),0)</f>
        <v/>
      </c>
      <c r="G66" s="24">
        <f>IF(CRITERIOS!N54="","",CRITERIOS!N54)</f>
        <v/>
      </c>
      <c r="H66" s="24">
        <f>IF(CRITERIOS!O54="","",CRITERIOS!O54)</f>
        <v/>
      </c>
      <c r="I66" s="21" t="n"/>
      <c r="J66" s="22">
        <f>IF(OR($E66=0,I$78=0),0,IF(AND(I66="N/A",$G66&lt;&gt;""),0,$F66+SUMPRODUCT(($G$14:$G$71=$A66)*($E$14:$E$71=1)*(I$14:I$71="N/A")*$F$14:$F$71)))</f>
        <v/>
      </c>
      <c r="K66" s="22">
        <f>IF(I66="SI",J66,0)</f>
        <v/>
      </c>
      <c r="L66" s="21" t="n"/>
      <c r="M66" s="22">
        <f>IF(OR($E66=0,L$78=0),0,IF(AND(L66="N/A",$G66&lt;&gt;""),0,$F66+SUMPRODUCT(($G$14:$G$71=$A66)*($E$14:$E$71=1)*(L$14:L$71="N/A")*$F$14:$F$71)))</f>
        <v/>
      </c>
      <c r="N66" s="22">
        <f>IF(L66="SI",M66,0)</f>
        <v/>
      </c>
      <c r="O66" s="21" t="n"/>
      <c r="P66" s="22">
        <f>IF(OR($E66=0,O$78=0),0,IF(AND(O66="N/A",$G66&lt;&gt;""),0,$F66+SUMPRODUCT(($G$14:$G$71=$A66)*($E$14:$E$71=1)*(O$14:O$71="N/A")*$F$14:$F$71)))</f>
        <v/>
      </c>
      <c r="Q66" s="22">
        <f>IF(O66="SI",P66,0)</f>
        <v/>
      </c>
      <c r="R66" s="21" t="n"/>
      <c r="S66" s="22">
        <f>IF(OR($E66=0,R$78=0),0,IF(AND(R66="N/A",$G66&lt;&gt;""),0,$F66+SUMPRODUCT(($G$14:$G$71=$A66)*($E$14:$E$71=1)*(R$14:R$71="N/A")*$F$14:$F$71)))</f>
        <v/>
      </c>
      <c r="T66" s="22">
        <f>IF(R66="SI",S66,0)</f>
        <v/>
      </c>
      <c r="U66" s="21" t="n"/>
      <c r="V66" s="22">
        <f>IF(OR($E66=0,U$78=0),0,IF(AND(U66="N/A",$G66&lt;&gt;""),0,$F66+SUMPRODUCT(($G$14:$G$71=$A66)*($E$14:$E$71=1)*(U$14:U$71="N/A")*$F$14:$F$71)))</f>
        <v/>
      </c>
      <c r="W66" s="22">
        <f>IF(U66="SI",V66,0)</f>
        <v/>
      </c>
      <c r="X66" s="21" t="n"/>
      <c r="Y66" s="22">
        <f>IF(OR($E66=0,X$78=0),0,IF(AND(X66="N/A",$G66&lt;&gt;""),0,$F66+SUMPRODUCT(($G$14:$G$71=$A66)*($E$14:$E$71=1)*(X$14:X$71="N/A")*$F$14:$F$71)))</f>
        <v/>
      </c>
      <c r="Z66" s="22">
        <f>IF(X66="SI",Y66,0)</f>
        <v/>
      </c>
      <c r="AA66" s="22">
        <f>SUM(J66,M66,P66,S66,V66,Y66)</f>
        <v/>
      </c>
      <c r="AB66" s="22">
        <f>SUM(K66,N66,Q66,T66,W66,Z66)</f>
        <v/>
      </c>
      <c r="AC66" s="23">
        <f>IF(AA66=0,"",AB66/AA66)</f>
        <v/>
      </c>
      <c r="AD66" s="22">
        <f>CRITERIOS!Q54</f>
        <v/>
      </c>
      <c r="AE66" s="22">
        <f>IF(AND(E66=1,H66&lt;&gt;"X",((I66="N/A")+(L66="N/A")+(O66="N/A")+(R66="N/A")+(U66="N/A")+(X66="N/A"))&gt;0),"REVISAR","")</f>
        <v/>
      </c>
    </row>
    <row r="67">
      <c r="A67" s="24">
        <f>CRITERIOS!B55</f>
        <v/>
      </c>
      <c r="B67" s="24">
        <f>CRITERIOS!C55</f>
        <v/>
      </c>
      <c r="C67" s="25">
        <f>CRITERIOS!D55</f>
        <v/>
      </c>
      <c r="D67" s="24">
        <f>CRITERIOS!E55</f>
        <v/>
      </c>
      <c r="E67" s="24">
        <f>IFERROR(IF(AND(OR(CRITERIOS!F55="Todos",CRITERIOS!F55=$B$4),INDEX(CRITERIOS!H55:J55,MATCH($B$5,VARIABLES!$E$2:$E$4,0))=1),1,0),0)</f>
        <v/>
      </c>
      <c r="F67" s="24">
        <f>IFERROR(IF(E67=1,INDEX(CRITERIOS!K55:M55,MATCH($B$5,VARIABLES!$E$2:$E$4,0)),0),0)</f>
        <v/>
      </c>
      <c r="G67" s="24">
        <f>IF(CRITERIOS!N55="","",CRITERIOS!N55)</f>
        <v/>
      </c>
      <c r="H67" s="24">
        <f>IF(CRITERIOS!O55="","",CRITERIOS!O55)</f>
        <v/>
      </c>
      <c r="I67" s="21" t="n"/>
      <c r="J67" s="22">
        <f>IF(OR($E67=0,I$78=0),0,IF(AND(I67="N/A",$G67&lt;&gt;""),0,$F67+SUMPRODUCT(($G$14:$G$71=$A67)*($E$14:$E$71=1)*(I$14:I$71="N/A")*$F$14:$F$71)))</f>
        <v/>
      </c>
      <c r="K67" s="22">
        <f>IF(I67="SI",J67,0)</f>
        <v/>
      </c>
      <c r="L67" s="21" t="n"/>
      <c r="M67" s="22">
        <f>IF(OR($E67=0,L$78=0),0,IF(AND(L67="N/A",$G67&lt;&gt;""),0,$F67+SUMPRODUCT(($G$14:$G$71=$A67)*($E$14:$E$71=1)*(L$14:L$71="N/A")*$F$14:$F$71)))</f>
        <v/>
      </c>
      <c r="N67" s="22">
        <f>IF(L67="SI",M67,0)</f>
        <v/>
      </c>
      <c r="O67" s="21" t="n"/>
      <c r="P67" s="22">
        <f>IF(OR($E67=0,O$78=0),0,IF(AND(O67="N/A",$G67&lt;&gt;""),0,$F67+SUMPRODUCT(($G$14:$G$71=$A67)*($E$14:$E$71=1)*(O$14:O$71="N/A")*$F$14:$F$71)))</f>
        <v/>
      </c>
      <c r="Q67" s="22">
        <f>IF(O67="SI",P67,0)</f>
        <v/>
      </c>
      <c r="R67" s="21" t="n"/>
      <c r="S67" s="22">
        <f>IF(OR($E67=0,R$78=0),0,IF(AND(R67="N/A",$G67&lt;&gt;""),0,$F67+SUMPRODUCT(($G$14:$G$71=$A67)*($E$14:$E$71=1)*(R$14:R$71="N/A")*$F$14:$F$71)))</f>
        <v/>
      </c>
      <c r="T67" s="22">
        <f>IF(R67="SI",S67,0)</f>
        <v/>
      </c>
      <c r="U67" s="21" t="n"/>
      <c r="V67" s="22">
        <f>IF(OR($E67=0,U$78=0),0,IF(AND(U67="N/A",$G67&lt;&gt;""),0,$F67+SUMPRODUCT(($G$14:$G$71=$A67)*($E$14:$E$71=1)*(U$14:U$71="N/A")*$F$14:$F$71)))</f>
        <v/>
      </c>
      <c r="W67" s="22">
        <f>IF(U67="SI",V67,0)</f>
        <v/>
      </c>
      <c r="X67" s="21" t="n"/>
      <c r="Y67" s="22">
        <f>IF(OR($E67=0,X$78=0),0,IF(AND(X67="N/A",$G67&lt;&gt;""),0,$F67+SUMPRODUCT(($G$14:$G$71=$A67)*($E$14:$E$71=1)*(X$14:X$71="N/A")*$F$14:$F$71)))</f>
        <v/>
      </c>
      <c r="Z67" s="22">
        <f>IF(X67="SI",Y67,0)</f>
        <v/>
      </c>
      <c r="AA67" s="22">
        <f>SUM(J67,M67,P67,S67,V67,Y67)</f>
        <v/>
      </c>
      <c r="AB67" s="22">
        <f>SUM(K67,N67,Q67,T67,W67,Z67)</f>
        <v/>
      </c>
      <c r="AC67" s="23">
        <f>IF(AA67=0,"",AB67/AA67)</f>
        <v/>
      </c>
      <c r="AD67" s="22">
        <f>CRITERIOS!Q55</f>
        <v/>
      </c>
      <c r="AE67" s="22">
        <f>IF(AND(E67=1,H67&lt;&gt;"X",((I67="N/A")+(L67="N/A")+(O67="N/A")+(R67="N/A")+(U67="N/A")+(X67="N/A"))&gt;0),"REVISAR","")</f>
        <v/>
      </c>
    </row>
    <row r="68">
      <c r="A68" s="24">
        <f>CRITERIOS!B56</f>
        <v/>
      </c>
      <c r="B68" s="24">
        <f>CRITERIOS!C56</f>
        <v/>
      </c>
      <c r="C68" s="25">
        <f>CRITERIOS!D56</f>
        <v/>
      </c>
      <c r="D68" s="24">
        <f>CRITERIOS!E56</f>
        <v/>
      </c>
      <c r="E68" s="24">
        <f>IFERROR(IF(AND(OR(CRITERIOS!F56="Todos",CRITERIOS!F56=$B$4),INDEX(CRITERIOS!H56:J56,MATCH($B$5,VARIABLES!$E$2:$E$4,0))=1),1,0),0)</f>
        <v/>
      </c>
      <c r="F68" s="24">
        <f>IFERROR(IF(E68=1,INDEX(CRITERIOS!K56:M56,MATCH($B$5,VARIABLES!$E$2:$E$4,0)),0),0)</f>
        <v/>
      </c>
      <c r="G68" s="24">
        <f>IF(CRITERIOS!N56="","",CRITERIOS!N56)</f>
        <v/>
      </c>
      <c r="H68" s="24">
        <f>IF(CRITERIOS!O56="","",CRITERIOS!O56)</f>
        <v/>
      </c>
      <c r="I68" s="21" t="n"/>
      <c r="J68" s="22">
        <f>IF(OR($E68=0,I$78=0),0,IF(AND(I68="N/A",$G68&lt;&gt;""),0,$F68+SUMPRODUCT(($G$14:$G$71=$A68)*($E$14:$E$71=1)*(I$14:I$71="N/A")*$F$14:$F$71)))</f>
        <v/>
      </c>
      <c r="K68" s="22">
        <f>IF(I68="SI",J68,0)</f>
        <v/>
      </c>
      <c r="L68" s="21" t="n"/>
      <c r="M68" s="22">
        <f>IF(OR($E68=0,L$78=0),0,IF(AND(L68="N/A",$G68&lt;&gt;""),0,$F68+SUMPRODUCT(($G$14:$G$71=$A68)*($E$14:$E$71=1)*(L$14:L$71="N/A")*$F$14:$F$71)))</f>
        <v/>
      </c>
      <c r="N68" s="22">
        <f>IF(L68="SI",M68,0)</f>
        <v/>
      </c>
      <c r="O68" s="21" t="n"/>
      <c r="P68" s="22">
        <f>IF(OR($E68=0,O$78=0),0,IF(AND(O68="N/A",$G68&lt;&gt;""),0,$F68+SUMPRODUCT(($G$14:$G$71=$A68)*($E$14:$E$71=1)*(O$14:O$71="N/A")*$F$14:$F$71)))</f>
        <v/>
      </c>
      <c r="Q68" s="22">
        <f>IF(O68="SI",P68,0)</f>
        <v/>
      </c>
      <c r="R68" s="21" t="n"/>
      <c r="S68" s="22">
        <f>IF(OR($E68=0,R$78=0),0,IF(AND(R68="N/A",$G68&lt;&gt;""),0,$F68+SUMPRODUCT(($G$14:$G$71=$A68)*($E$14:$E$71=1)*(R$14:R$71="N/A")*$F$14:$F$71)))</f>
        <v/>
      </c>
      <c r="T68" s="22">
        <f>IF(R68="SI",S68,0)</f>
        <v/>
      </c>
      <c r="U68" s="21" t="n"/>
      <c r="V68" s="22">
        <f>IF(OR($E68=0,U$78=0),0,IF(AND(U68="N/A",$G68&lt;&gt;""),0,$F68+SUMPRODUCT(($G$14:$G$71=$A68)*($E$14:$E$71=1)*(U$14:U$71="N/A")*$F$14:$F$71)))</f>
        <v/>
      </c>
      <c r="W68" s="22">
        <f>IF(U68="SI",V68,0)</f>
        <v/>
      </c>
      <c r="X68" s="21" t="n"/>
      <c r="Y68" s="22">
        <f>IF(OR($E68=0,X$78=0),0,IF(AND(X68="N/A",$G68&lt;&gt;""),0,$F68+SUMPRODUCT(($G$14:$G$71=$A68)*($E$14:$E$71=1)*(X$14:X$71="N/A")*$F$14:$F$71)))</f>
        <v/>
      </c>
      <c r="Z68" s="22">
        <f>IF(X68="SI",Y68,0)</f>
        <v/>
      </c>
      <c r="AA68" s="22">
        <f>SUM(J68,M68,P68,S68,V68,Y68)</f>
        <v/>
      </c>
      <c r="AB68" s="22">
        <f>SUM(K68,N68,Q68,T68,W68,Z68)</f>
        <v/>
      </c>
      <c r="AC68" s="23">
        <f>IF(AA68=0,"",AB68/AA68)</f>
        <v/>
      </c>
      <c r="AD68" s="22">
        <f>CRITERIOS!Q56</f>
        <v/>
      </c>
      <c r="AE68" s="22">
        <f>IF(AND(E68=1,H68&lt;&gt;"X",((I68="N/A")+(L68="N/A")+(O68="N/A")+(R68="N/A")+(U68="N/A")+(X68="N/A"))&gt;0),"REVISAR","")</f>
        <v/>
      </c>
    </row>
    <row r="69">
      <c r="A69" s="22">
        <f>CRITERIOS!B57</f>
        <v/>
      </c>
      <c r="B69" s="22">
        <f>CRITERIOS!C57</f>
        <v/>
      </c>
      <c r="C69" s="8">
        <f>CRITERIOS!D57</f>
        <v/>
      </c>
      <c r="D69" s="22">
        <f>CRITERIOS!E57</f>
        <v/>
      </c>
      <c r="E69" s="22">
        <f>IFERROR(IF(AND(OR(CRITERIOS!F57="Todos",CRITERIOS!F57=$B$4),INDEX(CRITERIOS!H57:J57,MATCH($B$5,VARIABLES!$E$2:$E$4,0))=1),1,0),0)</f>
        <v/>
      </c>
      <c r="F69" s="22">
        <f>IFERROR(IF(E69=1,INDEX(CRITERIOS!K57:M57,MATCH($B$5,VARIABLES!$E$2:$E$4,0)),0),0)</f>
        <v/>
      </c>
      <c r="G69" s="22">
        <f>IF(CRITERIOS!N57="","",CRITERIOS!N57)</f>
        <v/>
      </c>
      <c r="H69" s="22">
        <f>IF(CRITERIOS!O57="","",CRITERIOS!O57)</f>
        <v/>
      </c>
      <c r="I69" s="21" t="n"/>
      <c r="J69" s="22">
        <f>IF(OR($E69=0,I$78=0),0,IF(AND(I69="N/A",$G69&lt;&gt;""),0,$F69+SUMPRODUCT(($G$14:$G$71=$A69)*($E$14:$E$71=1)*(I$14:I$71="N/A")*$F$14:$F$71)))</f>
        <v/>
      </c>
      <c r="K69" s="22">
        <f>IF(I69="SI",J69,0)</f>
        <v/>
      </c>
      <c r="L69" s="21" t="n"/>
      <c r="M69" s="22">
        <f>IF(OR($E69=0,L$78=0),0,IF(AND(L69="N/A",$G69&lt;&gt;""),0,$F69+SUMPRODUCT(($G$14:$G$71=$A69)*($E$14:$E$71=1)*(L$14:L$71="N/A")*$F$14:$F$71)))</f>
        <v/>
      </c>
      <c r="N69" s="22">
        <f>IF(L69="SI",M69,0)</f>
        <v/>
      </c>
      <c r="O69" s="21" t="n"/>
      <c r="P69" s="22">
        <f>IF(OR($E69=0,O$78=0),0,IF(AND(O69="N/A",$G69&lt;&gt;""),0,$F69+SUMPRODUCT(($G$14:$G$71=$A69)*($E$14:$E$71=1)*(O$14:O$71="N/A")*$F$14:$F$71)))</f>
        <v/>
      </c>
      <c r="Q69" s="22">
        <f>IF(O69="SI",P69,0)</f>
        <v/>
      </c>
      <c r="R69" s="21" t="n"/>
      <c r="S69" s="22">
        <f>IF(OR($E69=0,R$78=0),0,IF(AND(R69="N/A",$G69&lt;&gt;""),0,$F69+SUMPRODUCT(($G$14:$G$71=$A69)*($E$14:$E$71=1)*(R$14:R$71="N/A")*$F$14:$F$71)))</f>
        <v/>
      </c>
      <c r="T69" s="22">
        <f>IF(R69="SI",S69,0)</f>
        <v/>
      </c>
      <c r="U69" s="21" t="n"/>
      <c r="V69" s="22">
        <f>IF(OR($E69=0,U$78=0),0,IF(AND(U69="N/A",$G69&lt;&gt;""),0,$F69+SUMPRODUCT(($G$14:$G$71=$A69)*($E$14:$E$71=1)*(U$14:U$71="N/A")*$F$14:$F$71)))</f>
        <v/>
      </c>
      <c r="W69" s="22">
        <f>IF(U69="SI",V69,0)</f>
        <v/>
      </c>
      <c r="X69" s="21" t="n"/>
      <c r="Y69" s="22">
        <f>IF(OR($E69=0,X$78=0),0,IF(AND(X69="N/A",$G69&lt;&gt;""),0,$F69+SUMPRODUCT(($G$14:$G$71=$A69)*($E$14:$E$71=1)*(X$14:X$71="N/A")*$F$14:$F$71)))</f>
        <v/>
      </c>
      <c r="Z69" s="22">
        <f>IF(X69="SI",Y69,0)</f>
        <v/>
      </c>
      <c r="AA69" s="22">
        <f>SUM(J69,M69,P69,S69,V69,Y69)</f>
        <v/>
      </c>
      <c r="AB69" s="22">
        <f>SUM(K69,N69,Q69,T69,W69,Z69)</f>
        <v/>
      </c>
      <c r="AC69" s="23">
        <f>IF(AA69=0,"",AB69/AA69)</f>
        <v/>
      </c>
      <c r="AD69" s="22">
        <f>CRITERIOS!Q57</f>
        <v/>
      </c>
      <c r="AE69" s="22">
        <f>IF(AND(E69=1,H69&lt;&gt;"X",((I69="N/A")+(L69="N/A")+(O69="N/A")+(R69="N/A")+(U69="N/A")+(X69="N/A"))&gt;0),"REVISAR","")</f>
        <v/>
      </c>
    </row>
    <row r="70">
      <c r="A70" s="22">
        <f>CRITERIOS!B58</f>
        <v/>
      </c>
      <c r="B70" s="22">
        <f>CRITERIOS!C58</f>
        <v/>
      </c>
      <c r="C70" s="8">
        <f>CRITERIOS!D58</f>
        <v/>
      </c>
      <c r="D70" s="22">
        <f>CRITERIOS!E58</f>
        <v/>
      </c>
      <c r="E70" s="22">
        <f>IFERROR(IF(AND(OR(CRITERIOS!F58="Todos",CRITERIOS!F58=$B$4),INDEX(CRITERIOS!H58:J58,MATCH($B$5,VARIABLES!$E$2:$E$4,0))=1),1,0),0)</f>
        <v/>
      </c>
      <c r="F70" s="22">
        <f>IFERROR(IF(E70=1,INDEX(CRITERIOS!K58:M58,MATCH($B$5,VARIABLES!$E$2:$E$4,0)),0),0)</f>
        <v/>
      </c>
      <c r="G70" s="22">
        <f>IF(CRITERIOS!N58="","",CRITERIOS!N58)</f>
        <v/>
      </c>
      <c r="H70" s="22">
        <f>IF(CRITERIOS!O58="","",CRITERIOS!O58)</f>
        <v/>
      </c>
      <c r="I70" s="21" t="n"/>
      <c r="J70" s="22">
        <f>IF(OR($E70=0,I$78=0),0,IF(AND(I70="N/A",$G70&lt;&gt;""),0,$F70+SUMPRODUCT(($G$14:$G$71=$A70)*($E$14:$E$71=1)*(I$14:I$71="N/A")*$F$14:$F$71)))</f>
        <v/>
      </c>
      <c r="K70" s="22">
        <f>IF(I70="SI",J70,0)</f>
        <v/>
      </c>
      <c r="L70" s="21" t="n"/>
      <c r="M70" s="22">
        <f>IF(OR($E70=0,L$78=0),0,IF(AND(L70="N/A",$G70&lt;&gt;""),0,$F70+SUMPRODUCT(($G$14:$G$71=$A70)*($E$14:$E$71=1)*(L$14:L$71="N/A")*$F$14:$F$71)))</f>
        <v/>
      </c>
      <c r="N70" s="22">
        <f>IF(L70="SI",M70,0)</f>
        <v/>
      </c>
      <c r="O70" s="21" t="n"/>
      <c r="P70" s="22">
        <f>IF(OR($E70=0,O$78=0),0,IF(AND(O70="N/A",$G70&lt;&gt;""),0,$F70+SUMPRODUCT(($G$14:$G$71=$A70)*($E$14:$E$71=1)*(O$14:O$71="N/A")*$F$14:$F$71)))</f>
        <v/>
      </c>
      <c r="Q70" s="22">
        <f>IF(O70="SI",P70,0)</f>
        <v/>
      </c>
      <c r="R70" s="21" t="n"/>
      <c r="S70" s="22">
        <f>IF(OR($E70=0,R$78=0),0,IF(AND(R70="N/A",$G70&lt;&gt;""),0,$F70+SUMPRODUCT(($G$14:$G$71=$A70)*($E$14:$E$71=1)*(R$14:R$71="N/A")*$F$14:$F$71)))</f>
        <v/>
      </c>
      <c r="T70" s="22">
        <f>IF(R70="SI",S70,0)</f>
        <v/>
      </c>
      <c r="U70" s="21" t="n"/>
      <c r="V70" s="22">
        <f>IF(OR($E70=0,U$78=0),0,IF(AND(U70="N/A",$G70&lt;&gt;""),0,$F70+SUMPRODUCT(($G$14:$G$71=$A70)*($E$14:$E$71=1)*(U$14:U$71="N/A")*$F$14:$F$71)))</f>
        <v/>
      </c>
      <c r="W70" s="22">
        <f>IF(U70="SI",V70,0)</f>
        <v/>
      </c>
      <c r="X70" s="21" t="n"/>
      <c r="Y70" s="22">
        <f>IF(OR($E70=0,X$78=0),0,IF(AND(X70="N/A",$G70&lt;&gt;""),0,$F70+SUMPRODUCT(($G$14:$G$71=$A70)*($E$14:$E$71=1)*(X$14:X$71="N/A")*$F$14:$F$71)))</f>
        <v/>
      </c>
      <c r="Z70" s="22">
        <f>IF(X70="SI",Y70,0)</f>
        <v/>
      </c>
      <c r="AA70" s="22">
        <f>SUM(J70,M70,P70,S70,V70,Y70)</f>
        <v/>
      </c>
      <c r="AB70" s="22">
        <f>SUM(K70,N70,Q70,T70,W70,Z70)</f>
        <v/>
      </c>
      <c r="AC70" s="23">
        <f>IF(AA70=0,"",AB70/AA70)</f>
        <v/>
      </c>
      <c r="AD70" s="22">
        <f>CRITERIOS!Q58</f>
        <v/>
      </c>
      <c r="AE70" s="22">
        <f>IF(AND(E70=1,H70&lt;&gt;"X",((I70="N/A")+(L70="N/A")+(O70="N/A")+(R70="N/A")+(U70="N/A")+(X70="N/A"))&gt;0),"REVISAR","")</f>
        <v/>
      </c>
    </row>
    <row r="71">
      <c r="A71" s="24">
        <f>CRITERIOS!B59</f>
        <v/>
      </c>
      <c r="B71" s="24">
        <f>CRITERIOS!C59</f>
        <v/>
      </c>
      <c r="C71" s="25">
        <f>CRITERIOS!D59</f>
        <v/>
      </c>
      <c r="D71" s="24">
        <f>CRITERIOS!E59</f>
        <v/>
      </c>
      <c r="E71" s="24">
        <f>IFERROR(IF(AND(OR(CRITERIOS!F59="Todos",CRITERIOS!F59=$B$4),INDEX(CRITERIOS!H59:J59,MATCH($B$5,VARIABLES!$E$2:$E$4,0))=1),1,0),0)</f>
        <v/>
      </c>
      <c r="F71" s="24">
        <f>IFERROR(IF(E71=1,INDEX(CRITERIOS!K59:M59,MATCH($B$5,VARIABLES!$E$2:$E$4,0)),0),0)</f>
        <v/>
      </c>
      <c r="G71" s="24">
        <f>IF(CRITERIOS!N59="","",CRITERIOS!N59)</f>
        <v/>
      </c>
      <c r="H71" s="24">
        <f>IF(CRITERIOS!O59="","",CRITERIOS!O59)</f>
        <v/>
      </c>
      <c r="I71" s="21" t="n"/>
      <c r="J71" s="22">
        <f>IF(OR($E71=0,I$78=0),0,IF(AND(I71="N/A",$G71&lt;&gt;""),0,$F71+SUMPRODUCT(($G$14:$G$71=$A71)*($E$14:$E$71=1)*(I$14:I$71="N/A")*$F$14:$F$71)))</f>
        <v/>
      </c>
      <c r="K71" s="22">
        <f>IF(I71="SI",J71,0)</f>
        <v/>
      </c>
      <c r="L71" s="21" t="n"/>
      <c r="M71" s="22">
        <f>IF(OR($E71=0,L$78=0),0,IF(AND(L71="N/A",$G71&lt;&gt;""),0,$F71+SUMPRODUCT(($G$14:$G$71=$A71)*($E$14:$E$71=1)*(L$14:L$71="N/A")*$F$14:$F$71)))</f>
        <v/>
      </c>
      <c r="N71" s="22">
        <f>IF(L71="SI",M71,0)</f>
        <v/>
      </c>
      <c r="O71" s="21" t="n"/>
      <c r="P71" s="22">
        <f>IF(OR($E71=0,O$78=0),0,IF(AND(O71="N/A",$G71&lt;&gt;""),0,$F71+SUMPRODUCT(($G$14:$G$71=$A71)*($E$14:$E$71=1)*(O$14:O$71="N/A")*$F$14:$F$71)))</f>
        <v/>
      </c>
      <c r="Q71" s="22">
        <f>IF(O71="SI",P71,0)</f>
        <v/>
      </c>
      <c r="R71" s="21" t="n"/>
      <c r="S71" s="22">
        <f>IF(OR($E71=0,R$78=0),0,IF(AND(R71="N/A",$G71&lt;&gt;""),0,$F71+SUMPRODUCT(($G$14:$G$71=$A71)*($E$14:$E$71=1)*(R$14:R$71="N/A")*$F$14:$F$71)))</f>
        <v/>
      </c>
      <c r="T71" s="22">
        <f>IF(R71="SI",S71,0)</f>
        <v/>
      </c>
      <c r="U71" s="21" t="n"/>
      <c r="V71" s="22">
        <f>IF(OR($E71=0,U$78=0),0,IF(AND(U71="N/A",$G71&lt;&gt;""),0,$F71+SUMPRODUCT(($G$14:$G$71=$A71)*($E$14:$E$71=1)*(U$14:U$71="N/A")*$F$14:$F$71)))</f>
        <v/>
      </c>
      <c r="W71" s="22">
        <f>IF(U71="SI",V71,0)</f>
        <v/>
      </c>
      <c r="X71" s="21" t="n"/>
      <c r="Y71" s="22">
        <f>IF(OR($E71=0,X$78=0),0,IF(AND(X71="N/A",$G71&lt;&gt;""),0,$F71+SUMPRODUCT(($G$14:$G$71=$A71)*($E$14:$E$71=1)*(X$14:X$71="N/A")*$F$14:$F$71)))</f>
        <v/>
      </c>
      <c r="Z71" s="22">
        <f>IF(X71="SI",Y71,0)</f>
        <v/>
      </c>
      <c r="AA71" s="22">
        <f>SUM(J71,M71,P71,S71,V71,Y71)</f>
        <v/>
      </c>
      <c r="AB71" s="22">
        <f>SUM(K71,N71,Q71,T71,W71,Z71)</f>
        <v/>
      </c>
      <c r="AC71" s="23">
        <f>IF(AA71=0,"",AB71/AA71)</f>
        <v/>
      </c>
      <c r="AD71" s="22">
        <f>CRITERIOS!Q59</f>
        <v/>
      </c>
      <c r="AE71" s="22">
        <f>IF(AND(E71=1,H71&lt;&gt;"X",((I71="N/A")+(L71="N/A")+(O71="N/A")+(R71="N/A")+(U71="N/A")+(X71="N/A"))&gt;0),"REVISAR","")</f>
        <v/>
      </c>
    </row>
    <row r="73">
      <c r="C73" s="4" t="inlineStr">
        <is>
          <t>Puntaje de la conversación (/100)</t>
        </is>
      </c>
      <c r="K73" s="26">
        <f>IF(I78=1,SUM(K14:K71),"")</f>
        <v/>
      </c>
      <c r="N73" s="26">
        <f>IF(L78=1,SUM(N14:N71),"")</f>
        <v/>
      </c>
      <c r="Q73" s="26">
        <f>IF(O78=1,SUM(Q14:Q71),"")</f>
        <v/>
      </c>
      <c r="T73" s="26">
        <f>IF(R78=1,SUM(T14:T71),"")</f>
        <v/>
      </c>
      <c r="W73" s="26">
        <f>IF(U78=1,SUM(W14:W71),"")</f>
        <v/>
      </c>
      <c r="Z73" s="26">
        <f>IF(X78=1,SUM(Z14:Z71),"")</f>
        <v/>
      </c>
    </row>
    <row r="74">
      <c r="C74" s="4" t="inlineStr">
        <is>
          <t>Fase I: HD con NO (1 = reprueba)</t>
        </is>
      </c>
      <c r="I74">
        <f>IF(I78=1,IF(COUNTIFS($D$14:$D$71,"Control HD",I14:I71,"NO")&gt;0,1,0),0)</f>
        <v/>
      </c>
      <c r="L74">
        <f>IF(L78=1,IF(COUNTIFS($D$14:$D$71,"Control HD",L14:L71,"NO")&gt;0,1,0),0)</f>
        <v/>
      </c>
      <c r="O74">
        <f>IF(O78=1,IF(COUNTIFS($D$14:$D$71,"Control HD",O14:O71,"NO")&gt;0,1,0),0)</f>
        <v/>
      </c>
      <c r="R74">
        <f>IF(R78=1,IF(COUNTIFS($D$14:$D$71,"Control HD",R14:R71,"NO")&gt;0,1,0),0)</f>
        <v/>
      </c>
      <c r="U74">
        <f>IF(U78=1,IF(COUNTIFS($D$14:$D$71,"Control HD",U14:U71,"NO")&gt;0,1,0),0)</f>
        <v/>
      </c>
      <c r="X74">
        <f>IF(X78=1,IF(COUNTIFS($D$14:$D$71,"Control HD",X14:X71,"NO")&gt;0,1,0),0)</f>
        <v/>
      </c>
    </row>
    <row r="75">
      <c r="C75" s="4" t="inlineStr">
        <is>
          <t>ECU con error (1 = sí)</t>
        </is>
      </c>
      <c r="I75">
        <f>IF(I78=1,IF(COUNTIFS($D$14:$D$71,"ECU",I14:I71,"NO")&gt;0,1,0),0)</f>
        <v/>
      </c>
      <c r="L75">
        <f>IF(L78=1,IF(COUNTIFS($D$14:$D$71,"ECU",L14:L71,"NO")&gt;0,1,0),0)</f>
        <v/>
      </c>
      <c r="O75">
        <f>IF(O78=1,IF(COUNTIFS($D$14:$D$71,"ECU",O14:O71,"NO")&gt;0,1,0),0)</f>
        <v/>
      </c>
      <c r="R75">
        <f>IF(R78=1,IF(COUNTIFS($D$14:$D$71,"ECU",R14:R71,"NO")&gt;0,1,0),0)</f>
        <v/>
      </c>
      <c r="U75">
        <f>IF(U78=1,IF(COUNTIFS($D$14:$D$71,"ECU",U14:U71,"NO")&gt;0,1,0),0)</f>
        <v/>
      </c>
      <c r="X75">
        <f>IF(X78=1,IF(COUNTIFS($D$14:$D$71,"ECU",X14:X71,"NO")&gt;0,1,0),0)</f>
        <v/>
      </c>
    </row>
    <row r="76">
      <c r="C76" s="4" t="inlineStr">
        <is>
          <t>ECN con error (1 = sí)</t>
        </is>
      </c>
      <c r="I76">
        <f>IF(I78=1,IF(COUNTIFS($D$14:$D$71,"ECN",I14:I71,"NO")&gt;0,1,0),0)</f>
        <v/>
      </c>
      <c r="L76">
        <f>IF(L78=1,IF(COUNTIFS($D$14:$D$71,"ECN",L14:L71,"NO")&gt;0,1,0),0)</f>
        <v/>
      </c>
      <c r="O76">
        <f>IF(O78=1,IF(COUNTIFS($D$14:$D$71,"ECN",O14:O71,"NO")&gt;0,1,0),0)</f>
        <v/>
      </c>
      <c r="R76">
        <f>IF(R78=1,IF(COUNTIFS($D$14:$D$71,"ECN",R14:R71,"NO")&gt;0,1,0),0)</f>
        <v/>
      </c>
      <c r="U76">
        <f>IF(U78=1,IF(COUNTIFS($D$14:$D$71,"ECN",U14:U71,"NO")&gt;0,1,0),0)</f>
        <v/>
      </c>
      <c r="X76">
        <f>IF(X78=1,IF(COUNTIFS($D$14:$D$71,"ECN",X14:X71,"NO")&gt;0,1,0),0)</f>
        <v/>
      </c>
    </row>
    <row r="77">
      <c r="C77" s="4" t="inlineStr">
        <is>
          <t>ECC con error (1 = sí)</t>
        </is>
      </c>
      <c r="I77">
        <f>IF(I78=1,IF(COUNTIFS($D$14:$D$71,"ECC",I14:I71,"NO")&gt;0,1,0),0)</f>
        <v/>
      </c>
      <c r="L77">
        <f>IF(L78=1,IF(COUNTIFS($D$14:$D$71,"ECC",L14:L71,"NO")&gt;0,1,0),0)</f>
        <v/>
      </c>
      <c r="O77">
        <f>IF(O78=1,IF(COUNTIFS($D$14:$D$71,"ECC",O14:O71,"NO")&gt;0,1,0),0)</f>
        <v/>
      </c>
      <c r="R77">
        <f>IF(R78=1,IF(COUNTIFS($D$14:$D$71,"ECC",R14:R71,"NO")&gt;0,1,0),0)</f>
        <v/>
      </c>
      <c r="U77">
        <f>IF(U78=1,IF(COUNTIFS($D$14:$D$71,"ECC",U14:U71,"NO")&gt;0,1,0),0)</f>
        <v/>
      </c>
      <c r="X77">
        <f>IF(X78=1,IF(COUNTIFS($D$14:$D$71,"ECC",X14:X71,"NO")&gt;0,1,0),0)</f>
        <v/>
      </c>
    </row>
    <row r="78">
      <c r="C78" s="4" t="inlineStr">
        <is>
          <t>Conversación evaluada (1 = sí)</t>
        </is>
      </c>
      <c r="I78">
        <f>IF(COUNTA(I14:I71)&gt;0,1,0)</f>
        <v/>
      </c>
      <c r="L78">
        <f>IF(COUNTA(L14:L71)&gt;0,1,0)</f>
        <v/>
      </c>
      <c r="O78">
        <f>IF(COUNTA(O14:O71)&gt;0,1,0)</f>
        <v/>
      </c>
      <c r="R78">
        <f>IF(COUNTA(R14:R71)&gt;0,1,0)</f>
        <v/>
      </c>
      <c r="U78">
        <f>IF(COUNTA(U14:U71)&gt;0,1,0)</f>
        <v/>
      </c>
      <c r="X78">
        <f>IF(COUNTA(X14:X71)&gt;0,1,0)</f>
        <v/>
      </c>
    </row>
    <row r="79">
      <c r="C79" s="4" t="inlineStr">
        <is>
          <t>Casillas aplicables sin diligenciar</t>
        </is>
      </c>
      <c r="I79">
        <f>IF(I78=1,SUMPRODUCT(($E$14:$E$71=1)*(I14:I71="")),0)</f>
        <v/>
      </c>
      <c r="L79">
        <f>IF(L78=1,SUMPRODUCT(($E$14:$E$71=1)*(L14:L71="")),0)</f>
        <v/>
      </c>
      <c r="O79">
        <f>IF(O78=1,SUMPRODUCT(($E$14:$E$71=1)*(O14:O71="")),0)</f>
        <v/>
      </c>
      <c r="R79">
        <f>IF(R78=1,SUMPRODUCT(($E$14:$E$71=1)*(R14:R71="")),0)</f>
        <v/>
      </c>
      <c r="U79">
        <f>IF(U78=1,SUMPRODUCT(($E$14:$E$71=1)*(U14:U71="")),0)</f>
        <v/>
      </c>
      <c r="X79">
        <f>IF(X78=1,SUMPRODUCT(($E$14:$E$71=1)*(X14:X71="")),0)</f>
        <v/>
      </c>
    </row>
  </sheetData>
  <mergeCells count="18">
    <mergeCell ref="X10:Z10"/>
    <mergeCell ref="I11:K11"/>
    <mergeCell ref="X11:Z11"/>
    <mergeCell ref="I10:K10"/>
    <mergeCell ref="L11:N11"/>
    <mergeCell ref="L10:N10"/>
    <mergeCell ref="R11:T11"/>
    <mergeCell ref="R10:T10"/>
    <mergeCell ref="X9:Z9"/>
    <mergeCell ref="U10:W10"/>
    <mergeCell ref="I9:K9"/>
    <mergeCell ref="O9:Q9"/>
    <mergeCell ref="L9:N9"/>
    <mergeCell ref="R9:T9"/>
    <mergeCell ref="U9:W9"/>
    <mergeCell ref="U11:W11"/>
    <mergeCell ref="O10:Q10"/>
    <mergeCell ref="O11:Q11"/>
  </mergeCells>
  <dataValidations count="5">
    <dataValidation sqref="I14:I71 L14:L71 O14:O71 R14:R71 U14:U71 X14:X71" showDropDown="0" showInputMessage="0" showErrorMessage="0" allowBlank="1" type="list">
      <formula1>"SI,NO,N/A"</formula1>
    </dataValidation>
    <dataValidation sqref="B4" showDropDown="0" showInputMessage="0" showErrorMessage="0" allowBlank="1" type="list">
      <formula1>VARIABLES!$D$2:$D$5</formula1>
    </dataValidation>
    <dataValidation sqref="B5" showDropDown="0" showInputMessage="0" showErrorMessage="0" allowBlank="1" type="list">
      <formula1>VARIABLES!$E$2:$E$4</formula1>
    </dataValidation>
    <dataValidation sqref="I11 L11 O11 R11 U11 X11" showDropDown="0" showInputMessage="0" showErrorMessage="0" allowBlank="1" type="list">
      <formula1>VARIABLES!$B$2:$B$3</formula1>
    </dataValidation>
    <dataValidation sqref="B6" showDropDown="0" showInputMessage="0" showErrorMessage="0" allowBlank="1" type="list">
      <formula1>VARIABLES!$C$2:$C$13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79"/>
  <sheetViews>
    <sheetView workbookViewId="0">
      <pane xSplit="3" ySplit="13" topLeftCell="D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60" customWidth="1" min="3" max="3"/>
    <col width="11" customWidth="1" min="4" max="4"/>
    <col outlineLevel="1" width="7" customWidth="1" min="5" max="5"/>
    <col outlineLevel="1" width="7" customWidth="1" min="6" max="6"/>
    <col outlineLevel="1" width="9" customWidth="1" min="7" max="7"/>
    <col outlineLevel="1" width="8" customWidth="1" min="8" max="8"/>
    <col width="11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11" customWidth="1" min="15" max="15"/>
    <col width="8" customWidth="1" min="16" max="16"/>
    <col width="8" customWidth="1" min="17" max="17"/>
    <col width="11" customWidth="1" min="18" max="18"/>
    <col width="8" customWidth="1" min="19" max="19"/>
    <col width="8" customWidth="1" min="20" max="20"/>
    <col width="11" customWidth="1" min="21" max="21"/>
    <col width="8" customWidth="1" min="22" max="22"/>
    <col width="8" customWidth="1" min="23" max="23"/>
    <col width="11" customWidth="1" min="24" max="24"/>
    <col width="8" customWidth="1" min="25" max="25"/>
    <col width="8" customWidth="1" min="26" max="26"/>
    <col outlineLevel="1" width="10" customWidth="1" min="27" max="27"/>
    <col outlineLevel="1" width="10" customWidth="1" min="28" max="28"/>
    <col width="10" customWidth="1" min="29" max="29"/>
    <col outlineLevel="1" width="10" customWidth="1" min="30" max="30"/>
    <col width="10" customWidth="1" min="31" max="31"/>
  </cols>
  <sheetData>
    <row r="1">
      <c r="A1" s="3" t="inlineStr">
        <is>
          <t>FORMATO DE MONITOREO COMERCIAL · PREVENTA Y VENTA</t>
        </is>
      </c>
    </row>
    <row r="3">
      <c r="A3" s="4" t="inlineStr">
        <is>
          <t>Asesor</t>
        </is>
      </c>
      <c r="B3" s="5" t="n"/>
      <c r="I3" s="4" t="inlineStr">
        <is>
          <t>Fase I (Habeas Data)</t>
        </is>
      </c>
      <c r="P3" s="16">
        <f>IF($B$7=0,"",IF(SUM(I74,L74,O74,R74,U74,X74)&gt;0,"Reprobada","Aprobada"))</f>
        <v/>
      </c>
      <c r="S3" s="4" t="inlineStr">
        <is>
          <t>ECU · % sin error</t>
        </is>
      </c>
      <c r="Z3" s="17">
        <f>IF($B$7=0,"",1-SUM(I75,L75,O75,R75,U75,X75)/$B$7)</f>
        <v/>
      </c>
    </row>
    <row r="4">
      <c r="A4" s="4" t="inlineStr">
        <is>
          <t>Canal</t>
        </is>
      </c>
      <c r="B4" s="5" t="n"/>
      <c r="I4" s="4" t="inlineStr">
        <is>
          <t>Nota /100</t>
        </is>
      </c>
      <c r="P4" s="18">
        <f>IF($B$7=0,"",IF(P3="Reprobada",0,AVERAGE(K73,N73,Q73,T73,W73,Z73)*1))</f>
        <v/>
      </c>
      <c r="S4" s="4" t="inlineStr">
        <is>
          <t>ECN · % sin error</t>
        </is>
      </c>
      <c r="Z4" s="17">
        <f>IF($B$7=0,"",1-SUM(I76,L76,O76,R76,U76,X76)/$B$7)</f>
        <v/>
      </c>
    </row>
    <row r="5">
      <c r="A5" s="4" t="inlineStr">
        <is>
          <t>Gestión</t>
        </is>
      </c>
      <c r="B5" s="5" t="n"/>
      <c r="I5" s="4" t="inlineStr">
        <is>
          <t>Nota /300</t>
        </is>
      </c>
      <c r="P5" s="18">
        <f>IF(P4="","",P4*3)</f>
        <v/>
      </c>
      <c r="S5" s="4" t="inlineStr">
        <is>
          <t>ECC · % sin error</t>
        </is>
      </c>
      <c r="Z5" s="17">
        <f>IF($B$7=0,"",1-SUM(I77,L77,O77,R77,U77,X77)/$B$7)</f>
        <v/>
      </c>
    </row>
    <row r="6">
      <c r="A6" s="4" t="inlineStr">
        <is>
          <t>Mes</t>
        </is>
      </c>
      <c r="B6" s="5" t="n"/>
      <c r="I6" s="4" t="inlineStr">
        <is>
          <t>Nivel</t>
        </is>
      </c>
      <c r="P6" s="16">
        <f>IF(P4="","",IF(P3="Reprobada","Crítico",LOOKUP(P4/100,'TABLA GENERAL'!$I$7:$I$10,'TABLA GENERAL'!$F$7:$F$10)))</f>
        <v/>
      </c>
      <c r="S6" s="4" t="inlineStr">
        <is>
          <t>Alerta Dirección</t>
        </is>
      </c>
      <c r="Z6" s="16">
        <f>IF($B$7=0,"",IF(SUMPRODUCT($AD$14:$AD$71*((I14:I71="NO")+(L14:L71="NO")+(O14:O71="NO")+(R14:R71="NO")+(U14:U71="NO")+(X14:X71="NO")))&gt;0,"SÍ - reportar","No"))</f>
        <v/>
      </c>
    </row>
    <row r="7">
      <c r="A7" s="4" t="inlineStr">
        <is>
          <t>Conversaciones evaluadas</t>
        </is>
      </c>
      <c r="B7">
        <f>SUM(I78,L78,O78,R78,U78,X78)</f>
        <v/>
      </c>
      <c r="I7" s="4" t="inlineStr">
        <is>
          <t>Estado</t>
        </is>
      </c>
      <c r="P7" s="16">
        <f>IF(P4="","",IF(P3="Reprobada","Reprobado",IF(P4/100&gt;='TABLA GENERAL'!$C$21,"Aprobado","Plan de acción")))</f>
        <v/>
      </c>
      <c r="S7" s="4" t="inlineStr">
        <is>
          <t>Casillas por revisar</t>
        </is>
      </c>
      <c r="Z7" s="16">
        <f>SUM(I79,L79,O79,R79,U79,X79)+COUNTIF(AE14:AE71,"REVISAR")</f>
        <v/>
      </c>
    </row>
    <row r="9">
      <c r="I9" s="6" t="inlineStr">
        <is>
          <t>Conversación 1</t>
        </is>
      </c>
      <c r="L9" s="6" t="inlineStr">
        <is>
          <t>Conversación 2</t>
        </is>
      </c>
      <c r="O9" s="6" t="inlineStr">
        <is>
          <t>Conversación 3</t>
        </is>
      </c>
      <c r="R9" s="6" t="inlineStr">
        <is>
          <t>Conversación 4</t>
        </is>
      </c>
      <c r="U9" s="6" t="inlineStr">
        <is>
          <t>Conversación 5</t>
        </is>
      </c>
      <c r="X9" s="6" t="inlineStr">
        <is>
          <t>Conversación 6</t>
        </is>
      </c>
    </row>
    <row r="10">
      <c r="C10" s="4" t="inlineStr">
        <is>
          <t>Fecha / ID de la conversación</t>
        </is>
      </c>
      <c r="I10" s="5" t="n"/>
      <c r="L10" s="5" t="n"/>
      <c r="O10" s="5" t="n"/>
      <c r="R10" s="5" t="n"/>
      <c r="U10" s="5" t="n"/>
      <c r="X10" s="5" t="n"/>
    </row>
    <row r="11">
      <c r="C11" s="4" t="inlineStr">
        <is>
          <t>Modalidad</t>
        </is>
      </c>
      <c r="I11" s="5" t="n"/>
      <c r="L11" s="5" t="n"/>
      <c r="O11" s="5" t="n"/>
      <c r="R11" s="5" t="n"/>
      <c r="U11" s="5" t="n"/>
      <c r="X11" s="5" t="n"/>
    </row>
    <row r="13" ht="32" customHeight="1">
      <c r="A13" s="6" t="inlineStr">
        <is>
          <t>Código</t>
        </is>
      </c>
      <c r="B13" s="6" t="inlineStr">
        <is>
          <t>Dimensión</t>
        </is>
      </c>
      <c r="C13" s="6" t="inlineStr">
        <is>
          <t>Descripción</t>
        </is>
      </c>
      <c r="D13" s="6" t="inlineStr">
        <is>
          <t>Tipo</t>
        </is>
      </c>
      <c r="E13" s="6" t="inlineStr">
        <is>
          <t>Aplica</t>
        </is>
      </c>
      <c r="F13" s="6" t="inlineStr">
        <is>
          <t>Peso base</t>
        </is>
      </c>
      <c r="G13" s="6" t="inlineStr">
        <is>
          <t>Receptor N/A</t>
        </is>
      </c>
      <c r="H13" s="6" t="inlineStr">
        <is>
          <t>Admite N/A</t>
        </is>
      </c>
      <c r="I13" s="6" t="inlineStr">
        <is>
          <t>Resultado</t>
        </is>
      </c>
      <c r="J13" s="6" t="inlineStr">
        <is>
          <t>Peso estab.</t>
        </is>
      </c>
      <c r="K13" s="6" t="inlineStr">
        <is>
          <t>Peso logrado</t>
        </is>
      </c>
      <c r="L13" s="6" t="inlineStr">
        <is>
          <t>Resultado</t>
        </is>
      </c>
      <c r="M13" s="6" t="inlineStr">
        <is>
          <t>Peso estab.</t>
        </is>
      </c>
      <c r="N13" s="6" t="inlineStr">
        <is>
          <t>Peso logrado</t>
        </is>
      </c>
      <c r="O13" s="6" t="inlineStr">
        <is>
          <t>Resultado</t>
        </is>
      </c>
      <c r="P13" s="6" t="inlineStr">
        <is>
          <t>Peso estab.</t>
        </is>
      </c>
      <c r="Q13" s="6" t="inlineStr">
        <is>
          <t>Peso logrado</t>
        </is>
      </c>
      <c r="R13" s="6" t="inlineStr">
        <is>
          <t>Resultado</t>
        </is>
      </c>
      <c r="S13" s="6" t="inlineStr">
        <is>
          <t>Peso estab.</t>
        </is>
      </c>
      <c r="T13" s="6" t="inlineStr">
        <is>
          <t>Peso logrado</t>
        </is>
      </c>
      <c r="U13" s="6" t="inlineStr">
        <is>
          <t>Resultado</t>
        </is>
      </c>
      <c r="V13" s="6" t="inlineStr">
        <is>
          <t>Peso estab.</t>
        </is>
      </c>
      <c r="W13" s="6" t="inlineStr">
        <is>
          <t>Peso logrado</t>
        </is>
      </c>
      <c r="X13" s="6" t="inlineStr">
        <is>
          <t>Resultado</t>
        </is>
      </c>
      <c r="Y13" s="6" t="inlineStr">
        <is>
          <t>Peso estab.</t>
        </is>
      </c>
      <c r="Z13" s="6" t="inlineStr">
        <is>
          <t>Peso logrado</t>
        </is>
      </c>
      <c r="AA13" s="6" t="inlineStr">
        <is>
          <t>Σ peso estab.</t>
        </is>
      </c>
      <c r="AB13" s="6" t="inlineStr">
        <is>
          <t>Σ peso logrado</t>
        </is>
      </c>
      <c r="AC13" s="6" t="inlineStr">
        <is>
          <t>% cumplimiento</t>
        </is>
      </c>
      <c r="AD13" s="6" t="inlineStr">
        <is>
          <t>Alerta</t>
        </is>
      </c>
      <c r="AE13" s="6" t="inlineStr">
        <is>
          <t>Validación</t>
        </is>
      </c>
    </row>
    <row r="14">
      <c r="A14" s="19">
        <f>CRITERIOS!B2</f>
        <v/>
      </c>
      <c r="B14" s="19">
        <f>CRITERIOS!C2</f>
        <v/>
      </c>
      <c r="C14" s="20">
        <f>CRITERIOS!D2</f>
        <v/>
      </c>
      <c r="D14" s="19">
        <f>CRITERIOS!E2</f>
        <v/>
      </c>
      <c r="E14" s="19">
        <f>IFERROR(IF(AND(OR(CRITERIOS!F2="Todos",CRITERIOS!F2=$B$4),INDEX(CRITERIOS!H2:J2,MATCH($B$5,VARIABLES!$E$2:$E$4,0))=1),1,0),0)</f>
        <v/>
      </c>
      <c r="F14" s="19">
        <f>IFERROR(IF(E14=1,INDEX(CRITERIOS!K2:M2,MATCH($B$5,VARIABLES!$E$2:$E$4,0)),0),0)</f>
        <v/>
      </c>
      <c r="G14" s="19">
        <f>IF(CRITERIOS!N2="","",CRITERIOS!N2)</f>
        <v/>
      </c>
      <c r="H14" s="19">
        <f>IF(CRITERIOS!O2="","",CRITERIOS!O2)</f>
        <v/>
      </c>
      <c r="I14" s="21" t="n"/>
      <c r="J14" s="22">
        <f>IF(OR($E14=0,I$78=0),0,IF(AND(I14="N/A",$G14&lt;&gt;""),0,$F14+SUMPRODUCT(($G$14:$G$71=$A14)*($E$14:$E$71=1)*(I$14:I$71="N/A")*$F$14:$F$71)))</f>
        <v/>
      </c>
      <c r="K14" s="22">
        <f>IF(I14="SI",J14,0)</f>
        <v/>
      </c>
      <c r="L14" s="21" t="n"/>
      <c r="M14" s="22">
        <f>IF(OR($E14=0,L$78=0),0,IF(AND(L14="N/A",$G14&lt;&gt;""),0,$F14+SUMPRODUCT(($G$14:$G$71=$A14)*($E$14:$E$71=1)*(L$14:L$71="N/A")*$F$14:$F$71)))</f>
        <v/>
      </c>
      <c r="N14" s="22">
        <f>IF(L14="SI",M14,0)</f>
        <v/>
      </c>
      <c r="O14" s="21" t="n"/>
      <c r="P14" s="22">
        <f>IF(OR($E14=0,O$78=0),0,IF(AND(O14="N/A",$G14&lt;&gt;""),0,$F14+SUMPRODUCT(($G$14:$G$71=$A14)*($E$14:$E$71=1)*(O$14:O$71="N/A")*$F$14:$F$71)))</f>
        <v/>
      </c>
      <c r="Q14" s="22">
        <f>IF(O14="SI",P14,0)</f>
        <v/>
      </c>
      <c r="R14" s="21" t="n"/>
      <c r="S14" s="22">
        <f>IF(OR($E14=0,R$78=0),0,IF(AND(R14="N/A",$G14&lt;&gt;""),0,$F14+SUMPRODUCT(($G$14:$G$71=$A14)*($E$14:$E$71=1)*(R$14:R$71="N/A")*$F$14:$F$71)))</f>
        <v/>
      </c>
      <c r="T14" s="22">
        <f>IF(R14="SI",S14,0)</f>
        <v/>
      </c>
      <c r="U14" s="21" t="n"/>
      <c r="V14" s="22">
        <f>IF(OR($E14=0,U$78=0),0,IF(AND(U14="N/A",$G14&lt;&gt;""),0,$F14+SUMPRODUCT(($G$14:$G$71=$A14)*($E$14:$E$71=1)*(U$14:U$71="N/A")*$F$14:$F$71)))</f>
        <v/>
      </c>
      <c r="W14" s="22">
        <f>IF(U14="SI",V14,0)</f>
        <v/>
      </c>
      <c r="X14" s="21" t="n"/>
      <c r="Y14" s="22">
        <f>IF(OR($E14=0,X$78=0),0,IF(AND(X14="N/A",$G14&lt;&gt;""),0,$F14+SUMPRODUCT(($G$14:$G$71=$A14)*($E$14:$E$71=1)*(X$14:X$71="N/A")*$F$14:$F$71)))</f>
        <v/>
      </c>
      <c r="Z14" s="22">
        <f>IF(X14="SI",Y14,0)</f>
        <v/>
      </c>
      <c r="AA14" s="22">
        <f>SUM(J14,M14,P14,S14,V14,Y14)</f>
        <v/>
      </c>
      <c r="AB14" s="22">
        <f>SUM(K14,N14,Q14,T14,W14,Z14)</f>
        <v/>
      </c>
      <c r="AC14" s="23">
        <f>IF(AA14=0,"",AB14/AA14)</f>
        <v/>
      </c>
      <c r="AD14" s="22">
        <f>CRITERIOS!Q2</f>
        <v/>
      </c>
      <c r="AE14" s="22">
        <f>IF(AND(E14=1,H14&lt;&gt;"X",((I14="N/A")+(L14="N/A")+(O14="N/A")+(R14="N/A")+(U14="N/A")+(X14="N/A"))&gt;0),"REVISAR","")</f>
        <v/>
      </c>
    </row>
    <row r="15">
      <c r="A15" s="19">
        <f>CRITERIOS!B3</f>
        <v/>
      </c>
      <c r="B15" s="19">
        <f>CRITERIOS!C3</f>
        <v/>
      </c>
      <c r="C15" s="20">
        <f>CRITERIOS!D3</f>
        <v/>
      </c>
      <c r="D15" s="19">
        <f>CRITERIOS!E3</f>
        <v/>
      </c>
      <c r="E15" s="19">
        <f>IFERROR(IF(AND(OR(CRITERIOS!F3="Todos",CRITERIOS!F3=$B$4),INDEX(CRITERIOS!H3:J3,MATCH($B$5,VARIABLES!$E$2:$E$4,0))=1),1,0),0)</f>
        <v/>
      </c>
      <c r="F15" s="19">
        <f>IFERROR(IF(E15=1,INDEX(CRITERIOS!K3:M3,MATCH($B$5,VARIABLES!$E$2:$E$4,0)),0),0)</f>
        <v/>
      </c>
      <c r="G15" s="19">
        <f>IF(CRITERIOS!N3="","",CRITERIOS!N3)</f>
        <v/>
      </c>
      <c r="H15" s="19">
        <f>IF(CRITERIOS!O3="","",CRITERIOS!O3)</f>
        <v/>
      </c>
      <c r="I15" s="21" t="n"/>
      <c r="J15" s="22">
        <f>IF(OR($E15=0,I$78=0),0,IF(AND(I15="N/A",$G15&lt;&gt;""),0,$F15+SUMPRODUCT(($G$14:$G$71=$A15)*($E$14:$E$71=1)*(I$14:I$71="N/A")*$F$14:$F$71)))</f>
        <v/>
      </c>
      <c r="K15" s="22">
        <f>IF(I15="SI",J15,0)</f>
        <v/>
      </c>
      <c r="L15" s="21" t="n"/>
      <c r="M15" s="22">
        <f>IF(OR($E15=0,L$78=0),0,IF(AND(L15="N/A",$G15&lt;&gt;""),0,$F15+SUMPRODUCT(($G$14:$G$71=$A15)*($E$14:$E$71=1)*(L$14:L$71="N/A")*$F$14:$F$71)))</f>
        <v/>
      </c>
      <c r="N15" s="22">
        <f>IF(L15="SI",M15,0)</f>
        <v/>
      </c>
      <c r="O15" s="21" t="n"/>
      <c r="P15" s="22">
        <f>IF(OR($E15=0,O$78=0),0,IF(AND(O15="N/A",$G15&lt;&gt;""),0,$F15+SUMPRODUCT(($G$14:$G$71=$A15)*($E$14:$E$71=1)*(O$14:O$71="N/A")*$F$14:$F$71)))</f>
        <v/>
      </c>
      <c r="Q15" s="22">
        <f>IF(O15="SI",P15,0)</f>
        <v/>
      </c>
      <c r="R15" s="21" t="n"/>
      <c r="S15" s="22">
        <f>IF(OR($E15=0,R$78=0),0,IF(AND(R15="N/A",$G15&lt;&gt;""),0,$F15+SUMPRODUCT(($G$14:$G$71=$A15)*($E$14:$E$71=1)*(R$14:R$71="N/A")*$F$14:$F$71)))</f>
        <v/>
      </c>
      <c r="T15" s="22">
        <f>IF(R15="SI",S15,0)</f>
        <v/>
      </c>
      <c r="U15" s="21" t="n"/>
      <c r="V15" s="22">
        <f>IF(OR($E15=0,U$78=0),0,IF(AND(U15="N/A",$G15&lt;&gt;""),0,$F15+SUMPRODUCT(($G$14:$G$71=$A15)*($E$14:$E$71=1)*(U$14:U$71="N/A")*$F$14:$F$71)))</f>
        <v/>
      </c>
      <c r="W15" s="22">
        <f>IF(U15="SI",V15,0)</f>
        <v/>
      </c>
      <c r="X15" s="21" t="n"/>
      <c r="Y15" s="22">
        <f>IF(OR($E15=0,X$78=0),0,IF(AND(X15="N/A",$G15&lt;&gt;""),0,$F15+SUMPRODUCT(($G$14:$G$71=$A15)*($E$14:$E$71=1)*(X$14:X$71="N/A")*$F$14:$F$71)))</f>
        <v/>
      </c>
      <c r="Z15" s="22">
        <f>IF(X15="SI",Y15,0)</f>
        <v/>
      </c>
      <c r="AA15" s="22">
        <f>SUM(J15,M15,P15,S15,V15,Y15)</f>
        <v/>
      </c>
      <c r="AB15" s="22">
        <f>SUM(K15,N15,Q15,T15,W15,Z15)</f>
        <v/>
      </c>
      <c r="AC15" s="23">
        <f>IF(AA15=0,"",AB15/AA15)</f>
        <v/>
      </c>
      <c r="AD15" s="22">
        <f>CRITERIOS!Q3</f>
        <v/>
      </c>
      <c r="AE15" s="22">
        <f>IF(AND(E15=1,H15&lt;&gt;"X",((I15="N/A")+(L15="N/A")+(O15="N/A")+(R15="N/A")+(U15="N/A")+(X15="N/A"))&gt;0),"REVISAR","")</f>
        <v/>
      </c>
    </row>
    <row r="16">
      <c r="A16" s="19">
        <f>CRITERIOS!B4</f>
        <v/>
      </c>
      <c r="B16" s="19">
        <f>CRITERIOS!C4</f>
        <v/>
      </c>
      <c r="C16" s="20">
        <f>CRITERIOS!D4</f>
        <v/>
      </c>
      <c r="D16" s="19">
        <f>CRITERIOS!E4</f>
        <v/>
      </c>
      <c r="E16" s="19">
        <f>IFERROR(IF(AND(OR(CRITERIOS!F4="Todos",CRITERIOS!F4=$B$4),INDEX(CRITERIOS!H4:J4,MATCH($B$5,VARIABLES!$E$2:$E$4,0))=1),1,0),0)</f>
        <v/>
      </c>
      <c r="F16" s="19">
        <f>IFERROR(IF(E16=1,INDEX(CRITERIOS!K4:M4,MATCH($B$5,VARIABLES!$E$2:$E$4,0)),0),0)</f>
        <v/>
      </c>
      <c r="G16" s="19">
        <f>IF(CRITERIOS!N4="","",CRITERIOS!N4)</f>
        <v/>
      </c>
      <c r="H16" s="19">
        <f>IF(CRITERIOS!O4="","",CRITERIOS!O4)</f>
        <v/>
      </c>
      <c r="I16" s="21" t="n"/>
      <c r="J16" s="22">
        <f>IF(OR($E16=0,I$78=0),0,IF(AND(I16="N/A",$G16&lt;&gt;""),0,$F16+SUMPRODUCT(($G$14:$G$71=$A16)*($E$14:$E$71=1)*(I$14:I$71="N/A")*$F$14:$F$71)))</f>
        <v/>
      </c>
      <c r="K16" s="22">
        <f>IF(I16="SI",J16,0)</f>
        <v/>
      </c>
      <c r="L16" s="21" t="n"/>
      <c r="M16" s="22">
        <f>IF(OR($E16=0,L$78=0),0,IF(AND(L16="N/A",$G16&lt;&gt;""),0,$F16+SUMPRODUCT(($G$14:$G$71=$A16)*($E$14:$E$71=1)*(L$14:L$71="N/A")*$F$14:$F$71)))</f>
        <v/>
      </c>
      <c r="N16" s="22">
        <f>IF(L16="SI",M16,0)</f>
        <v/>
      </c>
      <c r="O16" s="21" t="n"/>
      <c r="P16" s="22">
        <f>IF(OR($E16=0,O$78=0),0,IF(AND(O16="N/A",$G16&lt;&gt;""),0,$F16+SUMPRODUCT(($G$14:$G$71=$A16)*($E$14:$E$71=1)*(O$14:O$71="N/A")*$F$14:$F$71)))</f>
        <v/>
      </c>
      <c r="Q16" s="22">
        <f>IF(O16="SI",P16,0)</f>
        <v/>
      </c>
      <c r="R16" s="21" t="n"/>
      <c r="S16" s="22">
        <f>IF(OR($E16=0,R$78=0),0,IF(AND(R16="N/A",$G16&lt;&gt;""),0,$F16+SUMPRODUCT(($G$14:$G$71=$A16)*($E$14:$E$71=1)*(R$14:R$71="N/A")*$F$14:$F$71)))</f>
        <v/>
      </c>
      <c r="T16" s="22">
        <f>IF(R16="SI",S16,0)</f>
        <v/>
      </c>
      <c r="U16" s="21" t="n"/>
      <c r="V16" s="22">
        <f>IF(OR($E16=0,U$78=0),0,IF(AND(U16="N/A",$G16&lt;&gt;""),0,$F16+SUMPRODUCT(($G$14:$G$71=$A16)*($E$14:$E$71=1)*(U$14:U$71="N/A")*$F$14:$F$71)))</f>
        <v/>
      </c>
      <c r="W16" s="22">
        <f>IF(U16="SI",V16,0)</f>
        <v/>
      </c>
      <c r="X16" s="21" t="n"/>
      <c r="Y16" s="22">
        <f>IF(OR($E16=0,X$78=0),0,IF(AND(X16="N/A",$G16&lt;&gt;""),0,$F16+SUMPRODUCT(($G$14:$G$71=$A16)*($E$14:$E$71=1)*(X$14:X$71="N/A")*$F$14:$F$71)))</f>
        <v/>
      </c>
      <c r="Z16" s="22">
        <f>IF(X16="SI",Y16,0)</f>
        <v/>
      </c>
      <c r="AA16" s="22">
        <f>SUM(J16,M16,P16,S16,V16,Y16)</f>
        <v/>
      </c>
      <c r="AB16" s="22">
        <f>SUM(K16,N16,Q16,T16,W16,Z16)</f>
        <v/>
      </c>
      <c r="AC16" s="23">
        <f>IF(AA16=0,"",AB16/AA16)</f>
        <v/>
      </c>
      <c r="AD16" s="22">
        <f>CRITERIOS!Q4</f>
        <v/>
      </c>
      <c r="AE16" s="22">
        <f>IF(AND(E16=1,H16&lt;&gt;"X",((I16="N/A")+(L16="N/A")+(O16="N/A")+(R16="N/A")+(U16="N/A")+(X16="N/A"))&gt;0),"REVISAR","")</f>
        <v/>
      </c>
    </row>
    <row r="17">
      <c r="A17" s="19">
        <f>CRITERIOS!B5</f>
        <v/>
      </c>
      <c r="B17" s="19">
        <f>CRITERIOS!C5</f>
        <v/>
      </c>
      <c r="C17" s="20">
        <f>CRITERIOS!D5</f>
        <v/>
      </c>
      <c r="D17" s="19">
        <f>CRITERIOS!E5</f>
        <v/>
      </c>
      <c r="E17" s="19">
        <f>IFERROR(IF(AND(OR(CRITERIOS!F5="Todos",CRITERIOS!F5=$B$4),INDEX(CRITERIOS!H5:J5,MATCH($B$5,VARIABLES!$E$2:$E$4,0))=1),1,0),0)</f>
        <v/>
      </c>
      <c r="F17" s="19">
        <f>IFERROR(IF(E17=1,INDEX(CRITERIOS!K5:M5,MATCH($B$5,VARIABLES!$E$2:$E$4,0)),0),0)</f>
        <v/>
      </c>
      <c r="G17" s="19">
        <f>IF(CRITERIOS!N5="","",CRITERIOS!N5)</f>
        <v/>
      </c>
      <c r="H17" s="19">
        <f>IF(CRITERIOS!O5="","",CRITERIOS!O5)</f>
        <v/>
      </c>
      <c r="I17" s="21" t="n"/>
      <c r="J17" s="22">
        <f>IF(OR($E17=0,I$78=0),0,IF(AND(I17="N/A",$G17&lt;&gt;""),0,$F17+SUMPRODUCT(($G$14:$G$71=$A17)*($E$14:$E$71=1)*(I$14:I$71="N/A")*$F$14:$F$71)))</f>
        <v/>
      </c>
      <c r="K17" s="22">
        <f>IF(I17="SI",J17,0)</f>
        <v/>
      </c>
      <c r="L17" s="21" t="n"/>
      <c r="M17" s="22">
        <f>IF(OR($E17=0,L$78=0),0,IF(AND(L17="N/A",$G17&lt;&gt;""),0,$F17+SUMPRODUCT(($G$14:$G$71=$A17)*($E$14:$E$71=1)*(L$14:L$71="N/A")*$F$14:$F$71)))</f>
        <v/>
      </c>
      <c r="N17" s="22">
        <f>IF(L17="SI",M17,0)</f>
        <v/>
      </c>
      <c r="O17" s="21" t="n"/>
      <c r="P17" s="22">
        <f>IF(OR($E17=0,O$78=0),0,IF(AND(O17="N/A",$G17&lt;&gt;""),0,$F17+SUMPRODUCT(($G$14:$G$71=$A17)*($E$14:$E$71=1)*(O$14:O$71="N/A")*$F$14:$F$71)))</f>
        <v/>
      </c>
      <c r="Q17" s="22">
        <f>IF(O17="SI",P17,0)</f>
        <v/>
      </c>
      <c r="R17" s="21" t="n"/>
      <c r="S17" s="22">
        <f>IF(OR($E17=0,R$78=0),0,IF(AND(R17="N/A",$G17&lt;&gt;""),0,$F17+SUMPRODUCT(($G$14:$G$71=$A17)*($E$14:$E$71=1)*(R$14:R$71="N/A")*$F$14:$F$71)))</f>
        <v/>
      </c>
      <c r="T17" s="22">
        <f>IF(R17="SI",S17,0)</f>
        <v/>
      </c>
      <c r="U17" s="21" t="n"/>
      <c r="V17" s="22">
        <f>IF(OR($E17=0,U$78=0),0,IF(AND(U17="N/A",$G17&lt;&gt;""),0,$F17+SUMPRODUCT(($G$14:$G$71=$A17)*($E$14:$E$71=1)*(U$14:U$71="N/A")*$F$14:$F$71)))</f>
        <v/>
      </c>
      <c r="W17" s="22">
        <f>IF(U17="SI",V17,0)</f>
        <v/>
      </c>
      <c r="X17" s="21" t="n"/>
      <c r="Y17" s="22">
        <f>IF(OR($E17=0,X$78=0),0,IF(AND(X17="N/A",$G17&lt;&gt;""),0,$F17+SUMPRODUCT(($G$14:$G$71=$A17)*($E$14:$E$71=1)*(X$14:X$71="N/A")*$F$14:$F$71)))</f>
        <v/>
      </c>
      <c r="Z17" s="22">
        <f>IF(X17="SI",Y17,0)</f>
        <v/>
      </c>
      <c r="AA17" s="22">
        <f>SUM(J17,M17,P17,S17,V17,Y17)</f>
        <v/>
      </c>
      <c r="AB17" s="22">
        <f>SUM(K17,N17,Q17,T17,W17,Z17)</f>
        <v/>
      </c>
      <c r="AC17" s="23">
        <f>IF(AA17=0,"",AB17/AA17)</f>
        <v/>
      </c>
      <c r="AD17" s="22">
        <f>CRITERIOS!Q5</f>
        <v/>
      </c>
      <c r="AE17" s="22">
        <f>IF(AND(E17=1,H17&lt;&gt;"X",((I17="N/A")+(L17="N/A")+(O17="N/A")+(R17="N/A")+(U17="N/A")+(X17="N/A"))&gt;0),"REVISAR","")</f>
        <v/>
      </c>
    </row>
    <row r="18">
      <c r="A18" s="19">
        <f>CRITERIOS!B6</f>
        <v/>
      </c>
      <c r="B18" s="19">
        <f>CRITERIOS!C6</f>
        <v/>
      </c>
      <c r="C18" s="20">
        <f>CRITERIOS!D6</f>
        <v/>
      </c>
      <c r="D18" s="19">
        <f>CRITERIOS!E6</f>
        <v/>
      </c>
      <c r="E18" s="19">
        <f>IFERROR(IF(AND(OR(CRITERIOS!F6="Todos",CRITERIOS!F6=$B$4),INDEX(CRITERIOS!H6:J6,MATCH($B$5,VARIABLES!$E$2:$E$4,0))=1),1,0),0)</f>
        <v/>
      </c>
      <c r="F18" s="19">
        <f>IFERROR(IF(E18=1,INDEX(CRITERIOS!K6:M6,MATCH($B$5,VARIABLES!$E$2:$E$4,0)),0),0)</f>
        <v/>
      </c>
      <c r="G18" s="19">
        <f>IF(CRITERIOS!N6="","",CRITERIOS!N6)</f>
        <v/>
      </c>
      <c r="H18" s="19">
        <f>IF(CRITERIOS!O6="","",CRITERIOS!O6)</f>
        <v/>
      </c>
      <c r="I18" s="21" t="n"/>
      <c r="J18" s="22">
        <f>IF(OR($E18=0,I$78=0),0,IF(AND(I18="N/A",$G18&lt;&gt;""),0,$F18+SUMPRODUCT(($G$14:$G$71=$A18)*($E$14:$E$71=1)*(I$14:I$71="N/A")*$F$14:$F$71)))</f>
        <v/>
      </c>
      <c r="K18" s="22">
        <f>IF(I18="SI",J18,0)</f>
        <v/>
      </c>
      <c r="L18" s="21" t="n"/>
      <c r="M18" s="22">
        <f>IF(OR($E18=0,L$78=0),0,IF(AND(L18="N/A",$G18&lt;&gt;""),0,$F18+SUMPRODUCT(($G$14:$G$71=$A18)*($E$14:$E$71=1)*(L$14:L$71="N/A")*$F$14:$F$71)))</f>
        <v/>
      </c>
      <c r="N18" s="22">
        <f>IF(L18="SI",M18,0)</f>
        <v/>
      </c>
      <c r="O18" s="21" t="n"/>
      <c r="P18" s="22">
        <f>IF(OR($E18=0,O$78=0),0,IF(AND(O18="N/A",$G18&lt;&gt;""),0,$F18+SUMPRODUCT(($G$14:$G$71=$A18)*($E$14:$E$71=1)*(O$14:O$71="N/A")*$F$14:$F$71)))</f>
        <v/>
      </c>
      <c r="Q18" s="22">
        <f>IF(O18="SI",P18,0)</f>
        <v/>
      </c>
      <c r="R18" s="21" t="n"/>
      <c r="S18" s="22">
        <f>IF(OR($E18=0,R$78=0),0,IF(AND(R18="N/A",$G18&lt;&gt;""),0,$F18+SUMPRODUCT(($G$14:$G$71=$A18)*($E$14:$E$71=1)*(R$14:R$71="N/A")*$F$14:$F$71)))</f>
        <v/>
      </c>
      <c r="T18" s="22">
        <f>IF(R18="SI",S18,0)</f>
        <v/>
      </c>
      <c r="U18" s="21" t="n"/>
      <c r="V18" s="22">
        <f>IF(OR($E18=0,U$78=0),0,IF(AND(U18="N/A",$G18&lt;&gt;""),0,$F18+SUMPRODUCT(($G$14:$G$71=$A18)*($E$14:$E$71=1)*(U$14:U$71="N/A")*$F$14:$F$71)))</f>
        <v/>
      </c>
      <c r="W18" s="22">
        <f>IF(U18="SI",V18,0)</f>
        <v/>
      </c>
      <c r="X18" s="21" t="n"/>
      <c r="Y18" s="22">
        <f>IF(OR($E18=0,X$78=0),0,IF(AND(X18="N/A",$G18&lt;&gt;""),0,$F18+SUMPRODUCT(($G$14:$G$71=$A18)*($E$14:$E$71=1)*(X$14:X$71="N/A")*$F$14:$F$71)))</f>
        <v/>
      </c>
      <c r="Z18" s="22">
        <f>IF(X18="SI",Y18,0)</f>
        <v/>
      </c>
      <c r="AA18" s="22">
        <f>SUM(J18,M18,P18,S18,V18,Y18)</f>
        <v/>
      </c>
      <c r="AB18" s="22">
        <f>SUM(K18,N18,Q18,T18,W18,Z18)</f>
        <v/>
      </c>
      <c r="AC18" s="23">
        <f>IF(AA18=0,"",AB18/AA18)</f>
        <v/>
      </c>
      <c r="AD18" s="22">
        <f>CRITERIOS!Q6</f>
        <v/>
      </c>
      <c r="AE18" s="22">
        <f>IF(AND(E18=1,H18&lt;&gt;"X",((I18="N/A")+(L18="N/A")+(O18="N/A")+(R18="N/A")+(U18="N/A")+(X18="N/A"))&gt;0),"REVISAR","")</f>
        <v/>
      </c>
    </row>
    <row r="19">
      <c r="A19" s="19">
        <f>CRITERIOS!B7</f>
        <v/>
      </c>
      <c r="B19" s="19">
        <f>CRITERIOS!C7</f>
        <v/>
      </c>
      <c r="C19" s="20">
        <f>CRITERIOS!D7</f>
        <v/>
      </c>
      <c r="D19" s="19">
        <f>CRITERIOS!E7</f>
        <v/>
      </c>
      <c r="E19" s="19">
        <f>IFERROR(IF(AND(OR(CRITERIOS!F7="Todos",CRITERIOS!F7=$B$4),INDEX(CRITERIOS!H7:J7,MATCH($B$5,VARIABLES!$E$2:$E$4,0))=1),1,0),0)</f>
        <v/>
      </c>
      <c r="F19" s="19">
        <f>IFERROR(IF(E19=1,INDEX(CRITERIOS!K7:M7,MATCH($B$5,VARIABLES!$E$2:$E$4,0)),0),0)</f>
        <v/>
      </c>
      <c r="G19" s="19">
        <f>IF(CRITERIOS!N7="","",CRITERIOS!N7)</f>
        <v/>
      </c>
      <c r="H19" s="19">
        <f>IF(CRITERIOS!O7="","",CRITERIOS!O7)</f>
        <v/>
      </c>
      <c r="I19" s="21" t="n"/>
      <c r="J19" s="22">
        <f>IF(OR($E19=0,I$78=0),0,IF(AND(I19="N/A",$G19&lt;&gt;""),0,$F19+SUMPRODUCT(($G$14:$G$71=$A19)*($E$14:$E$71=1)*(I$14:I$71="N/A")*$F$14:$F$71)))</f>
        <v/>
      </c>
      <c r="K19" s="22">
        <f>IF(I19="SI",J19,0)</f>
        <v/>
      </c>
      <c r="L19" s="21" t="n"/>
      <c r="M19" s="22">
        <f>IF(OR($E19=0,L$78=0),0,IF(AND(L19="N/A",$G19&lt;&gt;""),0,$F19+SUMPRODUCT(($G$14:$G$71=$A19)*($E$14:$E$71=1)*(L$14:L$71="N/A")*$F$14:$F$71)))</f>
        <v/>
      </c>
      <c r="N19" s="22">
        <f>IF(L19="SI",M19,0)</f>
        <v/>
      </c>
      <c r="O19" s="21" t="n"/>
      <c r="P19" s="22">
        <f>IF(OR($E19=0,O$78=0),0,IF(AND(O19="N/A",$G19&lt;&gt;""),0,$F19+SUMPRODUCT(($G$14:$G$71=$A19)*($E$14:$E$71=1)*(O$14:O$71="N/A")*$F$14:$F$71)))</f>
        <v/>
      </c>
      <c r="Q19" s="22">
        <f>IF(O19="SI",P19,0)</f>
        <v/>
      </c>
      <c r="R19" s="21" t="n"/>
      <c r="S19" s="22">
        <f>IF(OR($E19=0,R$78=0),0,IF(AND(R19="N/A",$G19&lt;&gt;""),0,$F19+SUMPRODUCT(($G$14:$G$71=$A19)*($E$14:$E$71=1)*(R$14:R$71="N/A")*$F$14:$F$71)))</f>
        <v/>
      </c>
      <c r="T19" s="22">
        <f>IF(R19="SI",S19,0)</f>
        <v/>
      </c>
      <c r="U19" s="21" t="n"/>
      <c r="V19" s="22">
        <f>IF(OR($E19=0,U$78=0),0,IF(AND(U19="N/A",$G19&lt;&gt;""),0,$F19+SUMPRODUCT(($G$14:$G$71=$A19)*($E$14:$E$71=1)*(U$14:U$71="N/A")*$F$14:$F$71)))</f>
        <v/>
      </c>
      <c r="W19" s="22">
        <f>IF(U19="SI",V19,0)</f>
        <v/>
      </c>
      <c r="X19" s="21" t="n"/>
      <c r="Y19" s="22">
        <f>IF(OR($E19=0,X$78=0),0,IF(AND(X19="N/A",$G19&lt;&gt;""),0,$F19+SUMPRODUCT(($G$14:$G$71=$A19)*($E$14:$E$71=1)*(X$14:X$71="N/A")*$F$14:$F$71)))</f>
        <v/>
      </c>
      <c r="Z19" s="22">
        <f>IF(X19="SI",Y19,0)</f>
        <v/>
      </c>
      <c r="AA19" s="22">
        <f>SUM(J19,M19,P19,S19,V19,Y19)</f>
        <v/>
      </c>
      <c r="AB19" s="22">
        <f>SUM(K19,N19,Q19,T19,W19,Z19)</f>
        <v/>
      </c>
      <c r="AC19" s="23">
        <f>IF(AA19=0,"",AB19/AA19)</f>
        <v/>
      </c>
      <c r="AD19" s="22">
        <f>CRITERIOS!Q7</f>
        <v/>
      </c>
      <c r="AE19" s="22">
        <f>IF(AND(E19=1,H19&lt;&gt;"X",((I19="N/A")+(L19="N/A")+(O19="N/A")+(R19="N/A")+(U19="N/A")+(X19="N/A"))&gt;0),"REVISAR","")</f>
        <v/>
      </c>
    </row>
    <row r="20">
      <c r="A20" s="19">
        <f>CRITERIOS!B8</f>
        <v/>
      </c>
      <c r="B20" s="19">
        <f>CRITERIOS!C8</f>
        <v/>
      </c>
      <c r="C20" s="20">
        <f>CRITERIOS!D8</f>
        <v/>
      </c>
      <c r="D20" s="19">
        <f>CRITERIOS!E8</f>
        <v/>
      </c>
      <c r="E20" s="19">
        <f>IFERROR(IF(AND(OR(CRITERIOS!F8="Todos",CRITERIOS!F8=$B$4),INDEX(CRITERIOS!H8:J8,MATCH($B$5,VARIABLES!$E$2:$E$4,0))=1),1,0),0)</f>
        <v/>
      </c>
      <c r="F20" s="19">
        <f>IFERROR(IF(E20=1,INDEX(CRITERIOS!K8:M8,MATCH($B$5,VARIABLES!$E$2:$E$4,0)),0),0)</f>
        <v/>
      </c>
      <c r="G20" s="19">
        <f>IF(CRITERIOS!N8="","",CRITERIOS!N8)</f>
        <v/>
      </c>
      <c r="H20" s="19">
        <f>IF(CRITERIOS!O8="","",CRITERIOS!O8)</f>
        <v/>
      </c>
      <c r="I20" s="21" t="n"/>
      <c r="J20" s="22">
        <f>IF(OR($E20=0,I$78=0),0,IF(AND(I20="N/A",$G20&lt;&gt;""),0,$F20+SUMPRODUCT(($G$14:$G$71=$A20)*($E$14:$E$71=1)*(I$14:I$71="N/A")*$F$14:$F$71)))</f>
        <v/>
      </c>
      <c r="K20" s="22">
        <f>IF(I20="SI",J20,0)</f>
        <v/>
      </c>
      <c r="L20" s="21" t="n"/>
      <c r="M20" s="22">
        <f>IF(OR($E20=0,L$78=0),0,IF(AND(L20="N/A",$G20&lt;&gt;""),0,$F20+SUMPRODUCT(($G$14:$G$71=$A20)*($E$14:$E$71=1)*(L$14:L$71="N/A")*$F$14:$F$71)))</f>
        <v/>
      </c>
      <c r="N20" s="22">
        <f>IF(L20="SI",M20,0)</f>
        <v/>
      </c>
      <c r="O20" s="21" t="n"/>
      <c r="P20" s="22">
        <f>IF(OR($E20=0,O$78=0),0,IF(AND(O20="N/A",$G20&lt;&gt;""),0,$F20+SUMPRODUCT(($G$14:$G$71=$A20)*($E$14:$E$71=1)*(O$14:O$71="N/A")*$F$14:$F$71)))</f>
        <v/>
      </c>
      <c r="Q20" s="22">
        <f>IF(O20="SI",P20,0)</f>
        <v/>
      </c>
      <c r="R20" s="21" t="n"/>
      <c r="S20" s="22">
        <f>IF(OR($E20=0,R$78=0),0,IF(AND(R20="N/A",$G20&lt;&gt;""),0,$F20+SUMPRODUCT(($G$14:$G$71=$A20)*($E$14:$E$71=1)*(R$14:R$71="N/A")*$F$14:$F$71)))</f>
        <v/>
      </c>
      <c r="T20" s="22">
        <f>IF(R20="SI",S20,0)</f>
        <v/>
      </c>
      <c r="U20" s="21" t="n"/>
      <c r="V20" s="22">
        <f>IF(OR($E20=0,U$78=0),0,IF(AND(U20="N/A",$G20&lt;&gt;""),0,$F20+SUMPRODUCT(($G$14:$G$71=$A20)*($E$14:$E$71=1)*(U$14:U$71="N/A")*$F$14:$F$71)))</f>
        <v/>
      </c>
      <c r="W20" s="22">
        <f>IF(U20="SI",V20,0)</f>
        <v/>
      </c>
      <c r="X20" s="21" t="n"/>
      <c r="Y20" s="22">
        <f>IF(OR($E20=0,X$78=0),0,IF(AND(X20="N/A",$G20&lt;&gt;""),0,$F20+SUMPRODUCT(($G$14:$G$71=$A20)*($E$14:$E$71=1)*(X$14:X$71="N/A")*$F$14:$F$71)))</f>
        <v/>
      </c>
      <c r="Z20" s="22">
        <f>IF(X20="SI",Y20,0)</f>
        <v/>
      </c>
      <c r="AA20" s="22">
        <f>SUM(J20,M20,P20,S20,V20,Y20)</f>
        <v/>
      </c>
      <c r="AB20" s="22">
        <f>SUM(K20,N20,Q20,T20,W20,Z20)</f>
        <v/>
      </c>
      <c r="AC20" s="23">
        <f>IF(AA20=0,"",AB20/AA20)</f>
        <v/>
      </c>
      <c r="AD20" s="22">
        <f>CRITERIOS!Q8</f>
        <v/>
      </c>
      <c r="AE20" s="22">
        <f>IF(AND(E20=1,H20&lt;&gt;"X",((I20="N/A")+(L20="N/A")+(O20="N/A")+(R20="N/A")+(U20="N/A")+(X20="N/A"))&gt;0),"REVISAR","")</f>
        <v/>
      </c>
    </row>
    <row r="21">
      <c r="A21" s="19">
        <f>CRITERIOS!B9</f>
        <v/>
      </c>
      <c r="B21" s="19">
        <f>CRITERIOS!C9</f>
        <v/>
      </c>
      <c r="C21" s="20">
        <f>CRITERIOS!D9</f>
        <v/>
      </c>
      <c r="D21" s="19">
        <f>CRITERIOS!E9</f>
        <v/>
      </c>
      <c r="E21" s="19">
        <f>IFERROR(IF(AND(OR(CRITERIOS!F9="Todos",CRITERIOS!F9=$B$4),INDEX(CRITERIOS!H9:J9,MATCH($B$5,VARIABLES!$E$2:$E$4,0))=1),1,0),0)</f>
        <v/>
      </c>
      <c r="F21" s="19">
        <f>IFERROR(IF(E21=1,INDEX(CRITERIOS!K9:M9,MATCH($B$5,VARIABLES!$E$2:$E$4,0)),0),0)</f>
        <v/>
      </c>
      <c r="G21" s="19">
        <f>IF(CRITERIOS!N9="","",CRITERIOS!N9)</f>
        <v/>
      </c>
      <c r="H21" s="19">
        <f>IF(CRITERIOS!O9="","",CRITERIOS!O9)</f>
        <v/>
      </c>
      <c r="I21" s="21" t="n"/>
      <c r="J21" s="22">
        <f>IF(OR($E21=0,I$78=0),0,IF(AND(I21="N/A",$G21&lt;&gt;""),0,$F21+SUMPRODUCT(($G$14:$G$71=$A21)*($E$14:$E$71=1)*(I$14:I$71="N/A")*$F$14:$F$71)))</f>
        <v/>
      </c>
      <c r="K21" s="22">
        <f>IF(I21="SI",J21,0)</f>
        <v/>
      </c>
      <c r="L21" s="21" t="n"/>
      <c r="M21" s="22">
        <f>IF(OR($E21=0,L$78=0),0,IF(AND(L21="N/A",$G21&lt;&gt;""),0,$F21+SUMPRODUCT(($G$14:$G$71=$A21)*($E$14:$E$71=1)*(L$14:L$71="N/A")*$F$14:$F$71)))</f>
        <v/>
      </c>
      <c r="N21" s="22">
        <f>IF(L21="SI",M21,0)</f>
        <v/>
      </c>
      <c r="O21" s="21" t="n"/>
      <c r="P21" s="22">
        <f>IF(OR($E21=0,O$78=0),0,IF(AND(O21="N/A",$G21&lt;&gt;""),0,$F21+SUMPRODUCT(($G$14:$G$71=$A21)*($E$14:$E$71=1)*(O$14:O$71="N/A")*$F$14:$F$71)))</f>
        <v/>
      </c>
      <c r="Q21" s="22">
        <f>IF(O21="SI",P21,0)</f>
        <v/>
      </c>
      <c r="R21" s="21" t="n"/>
      <c r="S21" s="22">
        <f>IF(OR($E21=0,R$78=0),0,IF(AND(R21="N/A",$G21&lt;&gt;""),0,$F21+SUMPRODUCT(($G$14:$G$71=$A21)*($E$14:$E$71=1)*(R$14:R$71="N/A")*$F$14:$F$71)))</f>
        <v/>
      </c>
      <c r="T21" s="22">
        <f>IF(R21="SI",S21,0)</f>
        <v/>
      </c>
      <c r="U21" s="21" t="n"/>
      <c r="V21" s="22">
        <f>IF(OR($E21=0,U$78=0),0,IF(AND(U21="N/A",$G21&lt;&gt;""),0,$F21+SUMPRODUCT(($G$14:$G$71=$A21)*($E$14:$E$71=1)*(U$14:U$71="N/A")*$F$14:$F$71)))</f>
        <v/>
      </c>
      <c r="W21" s="22">
        <f>IF(U21="SI",V21,0)</f>
        <v/>
      </c>
      <c r="X21" s="21" t="n"/>
      <c r="Y21" s="22">
        <f>IF(OR($E21=0,X$78=0),0,IF(AND(X21="N/A",$G21&lt;&gt;""),0,$F21+SUMPRODUCT(($G$14:$G$71=$A21)*($E$14:$E$71=1)*(X$14:X$71="N/A")*$F$14:$F$71)))</f>
        <v/>
      </c>
      <c r="Z21" s="22">
        <f>IF(X21="SI",Y21,0)</f>
        <v/>
      </c>
      <c r="AA21" s="22">
        <f>SUM(J21,M21,P21,S21,V21,Y21)</f>
        <v/>
      </c>
      <c r="AB21" s="22">
        <f>SUM(K21,N21,Q21,T21,W21,Z21)</f>
        <v/>
      </c>
      <c r="AC21" s="23">
        <f>IF(AA21=0,"",AB21/AA21)</f>
        <v/>
      </c>
      <c r="AD21" s="22">
        <f>CRITERIOS!Q9</f>
        <v/>
      </c>
      <c r="AE21" s="22">
        <f>IF(AND(E21=1,H21&lt;&gt;"X",((I21="N/A")+(L21="N/A")+(O21="N/A")+(R21="N/A")+(U21="N/A")+(X21="N/A"))&gt;0),"REVISAR","")</f>
        <v/>
      </c>
    </row>
    <row r="22">
      <c r="A22" s="19">
        <f>CRITERIOS!B10</f>
        <v/>
      </c>
      <c r="B22" s="19">
        <f>CRITERIOS!C10</f>
        <v/>
      </c>
      <c r="C22" s="20">
        <f>CRITERIOS!D10</f>
        <v/>
      </c>
      <c r="D22" s="19">
        <f>CRITERIOS!E10</f>
        <v/>
      </c>
      <c r="E22" s="19">
        <f>IFERROR(IF(AND(OR(CRITERIOS!F10="Todos",CRITERIOS!F10=$B$4),INDEX(CRITERIOS!H10:J10,MATCH($B$5,VARIABLES!$E$2:$E$4,0))=1),1,0),0)</f>
        <v/>
      </c>
      <c r="F22" s="19">
        <f>IFERROR(IF(E22=1,INDEX(CRITERIOS!K10:M10,MATCH($B$5,VARIABLES!$E$2:$E$4,0)),0),0)</f>
        <v/>
      </c>
      <c r="G22" s="19">
        <f>IF(CRITERIOS!N10="","",CRITERIOS!N10)</f>
        <v/>
      </c>
      <c r="H22" s="19">
        <f>IF(CRITERIOS!O10="","",CRITERIOS!O10)</f>
        <v/>
      </c>
      <c r="I22" s="21" t="n"/>
      <c r="J22" s="22">
        <f>IF(OR($E22=0,I$78=0),0,IF(AND(I22="N/A",$G22&lt;&gt;""),0,$F22+SUMPRODUCT(($G$14:$G$71=$A22)*($E$14:$E$71=1)*(I$14:I$71="N/A")*$F$14:$F$71)))</f>
        <v/>
      </c>
      <c r="K22" s="22">
        <f>IF(I22="SI",J22,0)</f>
        <v/>
      </c>
      <c r="L22" s="21" t="n"/>
      <c r="M22" s="22">
        <f>IF(OR($E22=0,L$78=0),0,IF(AND(L22="N/A",$G22&lt;&gt;""),0,$F22+SUMPRODUCT(($G$14:$G$71=$A22)*($E$14:$E$71=1)*(L$14:L$71="N/A")*$F$14:$F$71)))</f>
        <v/>
      </c>
      <c r="N22" s="22">
        <f>IF(L22="SI",M22,0)</f>
        <v/>
      </c>
      <c r="O22" s="21" t="n"/>
      <c r="P22" s="22">
        <f>IF(OR($E22=0,O$78=0),0,IF(AND(O22="N/A",$G22&lt;&gt;""),0,$F22+SUMPRODUCT(($G$14:$G$71=$A22)*($E$14:$E$71=1)*(O$14:O$71="N/A")*$F$14:$F$71)))</f>
        <v/>
      </c>
      <c r="Q22" s="22">
        <f>IF(O22="SI",P22,0)</f>
        <v/>
      </c>
      <c r="R22" s="21" t="n"/>
      <c r="S22" s="22">
        <f>IF(OR($E22=0,R$78=0),0,IF(AND(R22="N/A",$G22&lt;&gt;""),0,$F22+SUMPRODUCT(($G$14:$G$71=$A22)*($E$14:$E$71=1)*(R$14:R$71="N/A")*$F$14:$F$71)))</f>
        <v/>
      </c>
      <c r="T22" s="22">
        <f>IF(R22="SI",S22,0)</f>
        <v/>
      </c>
      <c r="U22" s="21" t="n"/>
      <c r="V22" s="22">
        <f>IF(OR($E22=0,U$78=0),0,IF(AND(U22="N/A",$G22&lt;&gt;""),0,$F22+SUMPRODUCT(($G$14:$G$71=$A22)*($E$14:$E$71=1)*(U$14:U$71="N/A")*$F$14:$F$71)))</f>
        <v/>
      </c>
      <c r="W22" s="22">
        <f>IF(U22="SI",V22,0)</f>
        <v/>
      </c>
      <c r="X22" s="21" t="n"/>
      <c r="Y22" s="22">
        <f>IF(OR($E22=0,X$78=0),0,IF(AND(X22="N/A",$G22&lt;&gt;""),0,$F22+SUMPRODUCT(($G$14:$G$71=$A22)*($E$14:$E$71=1)*(X$14:X$71="N/A")*$F$14:$F$71)))</f>
        <v/>
      </c>
      <c r="Z22" s="22">
        <f>IF(X22="SI",Y22,0)</f>
        <v/>
      </c>
      <c r="AA22" s="22">
        <f>SUM(J22,M22,P22,S22,V22,Y22)</f>
        <v/>
      </c>
      <c r="AB22" s="22">
        <f>SUM(K22,N22,Q22,T22,W22,Z22)</f>
        <v/>
      </c>
      <c r="AC22" s="23">
        <f>IF(AA22=0,"",AB22/AA22)</f>
        <v/>
      </c>
      <c r="AD22" s="22">
        <f>CRITERIOS!Q10</f>
        <v/>
      </c>
      <c r="AE22" s="22">
        <f>IF(AND(E22=1,H22&lt;&gt;"X",((I22="N/A")+(L22="N/A")+(O22="N/A")+(R22="N/A")+(U22="N/A")+(X22="N/A"))&gt;0),"REVISAR","")</f>
        <v/>
      </c>
    </row>
    <row r="23">
      <c r="A23" s="19">
        <f>CRITERIOS!B11</f>
        <v/>
      </c>
      <c r="B23" s="19">
        <f>CRITERIOS!C11</f>
        <v/>
      </c>
      <c r="C23" s="20">
        <f>CRITERIOS!D11</f>
        <v/>
      </c>
      <c r="D23" s="19">
        <f>CRITERIOS!E11</f>
        <v/>
      </c>
      <c r="E23" s="19">
        <f>IFERROR(IF(AND(OR(CRITERIOS!F11="Todos",CRITERIOS!F11=$B$4),INDEX(CRITERIOS!H11:J11,MATCH($B$5,VARIABLES!$E$2:$E$4,0))=1),1,0),0)</f>
        <v/>
      </c>
      <c r="F23" s="19">
        <f>IFERROR(IF(E23=1,INDEX(CRITERIOS!K11:M11,MATCH($B$5,VARIABLES!$E$2:$E$4,0)),0),0)</f>
        <v/>
      </c>
      <c r="G23" s="19">
        <f>IF(CRITERIOS!N11="","",CRITERIOS!N11)</f>
        <v/>
      </c>
      <c r="H23" s="19">
        <f>IF(CRITERIOS!O11="","",CRITERIOS!O11)</f>
        <v/>
      </c>
      <c r="I23" s="21" t="n"/>
      <c r="J23" s="22">
        <f>IF(OR($E23=0,I$78=0),0,IF(AND(I23="N/A",$G23&lt;&gt;""),0,$F23+SUMPRODUCT(($G$14:$G$71=$A23)*($E$14:$E$71=1)*(I$14:I$71="N/A")*$F$14:$F$71)))</f>
        <v/>
      </c>
      <c r="K23" s="22">
        <f>IF(I23="SI",J23,0)</f>
        <v/>
      </c>
      <c r="L23" s="21" t="n"/>
      <c r="M23" s="22">
        <f>IF(OR($E23=0,L$78=0),0,IF(AND(L23="N/A",$G23&lt;&gt;""),0,$F23+SUMPRODUCT(($G$14:$G$71=$A23)*($E$14:$E$71=1)*(L$14:L$71="N/A")*$F$14:$F$71)))</f>
        <v/>
      </c>
      <c r="N23" s="22">
        <f>IF(L23="SI",M23,0)</f>
        <v/>
      </c>
      <c r="O23" s="21" t="n"/>
      <c r="P23" s="22">
        <f>IF(OR($E23=0,O$78=0),0,IF(AND(O23="N/A",$G23&lt;&gt;""),0,$F23+SUMPRODUCT(($G$14:$G$71=$A23)*($E$14:$E$71=1)*(O$14:O$71="N/A")*$F$14:$F$71)))</f>
        <v/>
      </c>
      <c r="Q23" s="22">
        <f>IF(O23="SI",P23,0)</f>
        <v/>
      </c>
      <c r="R23" s="21" t="n"/>
      <c r="S23" s="22">
        <f>IF(OR($E23=0,R$78=0),0,IF(AND(R23="N/A",$G23&lt;&gt;""),0,$F23+SUMPRODUCT(($G$14:$G$71=$A23)*($E$14:$E$71=1)*(R$14:R$71="N/A")*$F$14:$F$71)))</f>
        <v/>
      </c>
      <c r="T23" s="22">
        <f>IF(R23="SI",S23,0)</f>
        <v/>
      </c>
      <c r="U23" s="21" t="n"/>
      <c r="V23" s="22">
        <f>IF(OR($E23=0,U$78=0),0,IF(AND(U23="N/A",$G23&lt;&gt;""),0,$F23+SUMPRODUCT(($G$14:$G$71=$A23)*($E$14:$E$71=1)*(U$14:U$71="N/A")*$F$14:$F$71)))</f>
        <v/>
      </c>
      <c r="W23" s="22">
        <f>IF(U23="SI",V23,0)</f>
        <v/>
      </c>
      <c r="X23" s="21" t="n"/>
      <c r="Y23" s="22">
        <f>IF(OR($E23=0,X$78=0),0,IF(AND(X23="N/A",$G23&lt;&gt;""),0,$F23+SUMPRODUCT(($G$14:$G$71=$A23)*($E$14:$E$71=1)*(X$14:X$71="N/A")*$F$14:$F$71)))</f>
        <v/>
      </c>
      <c r="Z23" s="22">
        <f>IF(X23="SI",Y23,0)</f>
        <v/>
      </c>
      <c r="AA23" s="22">
        <f>SUM(J23,M23,P23,S23,V23,Y23)</f>
        <v/>
      </c>
      <c r="AB23" s="22">
        <f>SUM(K23,N23,Q23,T23,W23,Z23)</f>
        <v/>
      </c>
      <c r="AC23" s="23">
        <f>IF(AA23=0,"",AB23/AA23)</f>
        <v/>
      </c>
      <c r="AD23" s="22">
        <f>CRITERIOS!Q11</f>
        <v/>
      </c>
      <c r="AE23" s="22">
        <f>IF(AND(E23=1,H23&lt;&gt;"X",((I23="N/A")+(L23="N/A")+(O23="N/A")+(R23="N/A")+(U23="N/A")+(X23="N/A"))&gt;0),"REVISAR","")</f>
        <v/>
      </c>
    </row>
    <row r="24">
      <c r="A24" s="19">
        <f>CRITERIOS!B12</f>
        <v/>
      </c>
      <c r="B24" s="19">
        <f>CRITERIOS!C12</f>
        <v/>
      </c>
      <c r="C24" s="20">
        <f>CRITERIOS!D12</f>
        <v/>
      </c>
      <c r="D24" s="19">
        <f>CRITERIOS!E12</f>
        <v/>
      </c>
      <c r="E24" s="19">
        <f>IFERROR(IF(AND(OR(CRITERIOS!F12="Todos",CRITERIOS!F12=$B$4),INDEX(CRITERIOS!H12:J12,MATCH($B$5,VARIABLES!$E$2:$E$4,0))=1),1,0),0)</f>
        <v/>
      </c>
      <c r="F24" s="19">
        <f>IFERROR(IF(E24=1,INDEX(CRITERIOS!K12:M12,MATCH($B$5,VARIABLES!$E$2:$E$4,0)),0),0)</f>
        <v/>
      </c>
      <c r="G24" s="19">
        <f>IF(CRITERIOS!N12="","",CRITERIOS!N12)</f>
        <v/>
      </c>
      <c r="H24" s="19">
        <f>IF(CRITERIOS!O12="","",CRITERIOS!O12)</f>
        <v/>
      </c>
      <c r="I24" s="21" t="n"/>
      <c r="J24" s="22">
        <f>IF(OR($E24=0,I$78=0),0,IF(AND(I24="N/A",$G24&lt;&gt;""),0,$F24+SUMPRODUCT(($G$14:$G$71=$A24)*($E$14:$E$71=1)*(I$14:I$71="N/A")*$F$14:$F$71)))</f>
        <v/>
      </c>
      <c r="K24" s="22">
        <f>IF(I24="SI",J24,0)</f>
        <v/>
      </c>
      <c r="L24" s="21" t="n"/>
      <c r="M24" s="22">
        <f>IF(OR($E24=0,L$78=0),0,IF(AND(L24="N/A",$G24&lt;&gt;""),0,$F24+SUMPRODUCT(($G$14:$G$71=$A24)*($E$14:$E$71=1)*(L$14:L$71="N/A")*$F$14:$F$71)))</f>
        <v/>
      </c>
      <c r="N24" s="22">
        <f>IF(L24="SI",M24,0)</f>
        <v/>
      </c>
      <c r="O24" s="21" t="n"/>
      <c r="P24" s="22">
        <f>IF(OR($E24=0,O$78=0),0,IF(AND(O24="N/A",$G24&lt;&gt;""),0,$F24+SUMPRODUCT(($G$14:$G$71=$A24)*($E$14:$E$71=1)*(O$14:O$71="N/A")*$F$14:$F$71)))</f>
        <v/>
      </c>
      <c r="Q24" s="22">
        <f>IF(O24="SI",P24,0)</f>
        <v/>
      </c>
      <c r="R24" s="21" t="n"/>
      <c r="S24" s="22">
        <f>IF(OR($E24=0,R$78=0),0,IF(AND(R24="N/A",$G24&lt;&gt;""),0,$F24+SUMPRODUCT(($G$14:$G$71=$A24)*($E$14:$E$71=1)*(R$14:R$71="N/A")*$F$14:$F$71)))</f>
        <v/>
      </c>
      <c r="T24" s="22">
        <f>IF(R24="SI",S24,0)</f>
        <v/>
      </c>
      <c r="U24" s="21" t="n"/>
      <c r="V24" s="22">
        <f>IF(OR($E24=0,U$78=0),0,IF(AND(U24="N/A",$G24&lt;&gt;""),0,$F24+SUMPRODUCT(($G$14:$G$71=$A24)*($E$14:$E$71=1)*(U$14:U$71="N/A")*$F$14:$F$71)))</f>
        <v/>
      </c>
      <c r="W24" s="22">
        <f>IF(U24="SI",V24,0)</f>
        <v/>
      </c>
      <c r="X24" s="21" t="n"/>
      <c r="Y24" s="22">
        <f>IF(OR($E24=0,X$78=0),0,IF(AND(X24="N/A",$G24&lt;&gt;""),0,$F24+SUMPRODUCT(($G$14:$G$71=$A24)*($E$14:$E$71=1)*(X$14:X$71="N/A")*$F$14:$F$71)))</f>
        <v/>
      </c>
      <c r="Z24" s="22">
        <f>IF(X24="SI",Y24,0)</f>
        <v/>
      </c>
      <c r="AA24" s="22">
        <f>SUM(J24,M24,P24,S24,V24,Y24)</f>
        <v/>
      </c>
      <c r="AB24" s="22">
        <f>SUM(K24,N24,Q24,T24,W24,Z24)</f>
        <v/>
      </c>
      <c r="AC24" s="23">
        <f>IF(AA24=0,"",AB24/AA24)</f>
        <v/>
      </c>
      <c r="AD24" s="22">
        <f>CRITERIOS!Q12</f>
        <v/>
      </c>
      <c r="AE24" s="22">
        <f>IF(AND(E24=1,H24&lt;&gt;"X",((I24="N/A")+(L24="N/A")+(O24="N/A")+(R24="N/A")+(U24="N/A")+(X24="N/A"))&gt;0),"REVISAR","")</f>
        <v/>
      </c>
    </row>
    <row r="25">
      <c r="A25" s="19">
        <f>CRITERIOS!B13</f>
        <v/>
      </c>
      <c r="B25" s="19">
        <f>CRITERIOS!C13</f>
        <v/>
      </c>
      <c r="C25" s="20">
        <f>CRITERIOS!D13</f>
        <v/>
      </c>
      <c r="D25" s="19">
        <f>CRITERIOS!E13</f>
        <v/>
      </c>
      <c r="E25" s="19">
        <f>IFERROR(IF(AND(OR(CRITERIOS!F13="Todos",CRITERIOS!F13=$B$4),INDEX(CRITERIOS!H13:J13,MATCH($B$5,VARIABLES!$E$2:$E$4,0))=1),1,0),0)</f>
        <v/>
      </c>
      <c r="F25" s="19">
        <f>IFERROR(IF(E25=1,INDEX(CRITERIOS!K13:M13,MATCH($B$5,VARIABLES!$E$2:$E$4,0)),0),0)</f>
        <v/>
      </c>
      <c r="G25" s="19">
        <f>IF(CRITERIOS!N13="","",CRITERIOS!N13)</f>
        <v/>
      </c>
      <c r="H25" s="19">
        <f>IF(CRITERIOS!O13="","",CRITERIOS!O13)</f>
        <v/>
      </c>
      <c r="I25" s="21" t="n"/>
      <c r="J25" s="22">
        <f>IF(OR($E25=0,I$78=0),0,IF(AND(I25="N/A",$G25&lt;&gt;""),0,$F25+SUMPRODUCT(($G$14:$G$71=$A25)*($E$14:$E$71=1)*(I$14:I$71="N/A")*$F$14:$F$71)))</f>
        <v/>
      </c>
      <c r="K25" s="22">
        <f>IF(I25="SI",J25,0)</f>
        <v/>
      </c>
      <c r="L25" s="21" t="n"/>
      <c r="M25" s="22">
        <f>IF(OR($E25=0,L$78=0),0,IF(AND(L25="N/A",$G25&lt;&gt;""),0,$F25+SUMPRODUCT(($G$14:$G$71=$A25)*($E$14:$E$71=1)*(L$14:L$71="N/A")*$F$14:$F$71)))</f>
        <v/>
      </c>
      <c r="N25" s="22">
        <f>IF(L25="SI",M25,0)</f>
        <v/>
      </c>
      <c r="O25" s="21" t="n"/>
      <c r="P25" s="22">
        <f>IF(OR($E25=0,O$78=0),0,IF(AND(O25="N/A",$G25&lt;&gt;""),0,$F25+SUMPRODUCT(($G$14:$G$71=$A25)*($E$14:$E$71=1)*(O$14:O$71="N/A")*$F$14:$F$71)))</f>
        <v/>
      </c>
      <c r="Q25" s="22">
        <f>IF(O25="SI",P25,0)</f>
        <v/>
      </c>
      <c r="R25" s="21" t="n"/>
      <c r="S25" s="22">
        <f>IF(OR($E25=0,R$78=0),0,IF(AND(R25="N/A",$G25&lt;&gt;""),0,$F25+SUMPRODUCT(($G$14:$G$71=$A25)*($E$14:$E$71=1)*(R$14:R$71="N/A")*$F$14:$F$71)))</f>
        <v/>
      </c>
      <c r="T25" s="22">
        <f>IF(R25="SI",S25,0)</f>
        <v/>
      </c>
      <c r="U25" s="21" t="n"/>
      <c r="V25" s="22">
        <f>IF(OR($E25=0,U$78=0),0,IF(AND(U25="N/A",$G25&lt;&gt;""),0,$F25+SUMPRODUCT(($G$14:$G$71=$A25)*($E$14:$E$71=1)*(U$14:U$71="N/A")*$F$14:$F$71)))</f>
        <v/>
      </c>
      <c r="W25" s="22">
        <f>IF(U25="SI",V25,0)</f>
        <v/>
      </c>
      <c r="X25" s="21" t="n"/>
      <c r="Y25" s="22">
        <f>IF(OR($E25=0,X$78=0),0,IF(AND(X25="N/A",$G25&lt;&gt;""),0,$F25+SUMPRODUCT(($G$14:$G$71=$A25)*($E$14:$E$71=1)*(X$14:X$71="N/A")*$F$14:$F$71)))</f>
        <v/>
      </c>
      <c r="Z25" s="22">
        <f>IF(X25="SI",Y25,0)</f>
        <v/>
      </c>
      <c r="AA25" s="22">
        <f>SUM(J25,M25,P25,S25,V25,Y25)</f>
        <v/>
      </c>
      <c r="AB25" s="22">
        <f>SUM(K25,N25,Q25,T25,W25,Z25)</f>
        <v/>
      </c>
      <c r="AC25" s="23">
        <f>IF(AA25=0,"",AB25/AA25)</f>
        <v/>
      </c>
      <c r="AD25" s="22">
        <f>CRITERIOS!Q13</f>
        <v/>
      </c>
      <c r="AE25" s="22">
        <f>IF(AND(E25=1,H25&lt;&gt;"X",((I25="N/A")+(L25="N/A")+(O25="N/A")+(R25="N/A")+(U25="N/A")+(X25="N/A"))&gt;0),"REVISAR","")</f>
        <v/>
      </c>
    </row>
    <row r="26">
      <c r="A26" s="19">
        <f>CRITERIOS!B14</f>
        <v/>
      </c>
      <c r="B26" s="19">
        <f>CRITERIOS!C14</f>
        <v/>
      </c>
      <c r="C26" s="20">
        <f>CRITERIOS!D14</f>
        <v/>
      </c>
      <c r="D26" s="19">
        <f>CRITERIOS!E14</f>
        <v/>
      </c>
      <c r="E26" s="19">
        <f>IFERROR(IF(AND(OR(CRITERIOS!F14="Todos",CRITERIOS!F14=$B$4),INDEX(CRITERIOS!H14:J14,MATCH($B$5,VARIABLES!$E$2:$E$4,0))=1),1,0),0)</f>
        <v/>
      </c>
      <c r="F26" s="19">
        <f>IFERROR(IF(E26=1,INDEX(CRITERIOS!K14:M14,MATCH($B$5,VARIABLES!$E$2:$E$4,0)),0),0)</f>
        <v/>
      </c>
      <c r="G26" s="19">
        <f>IF(CRITERIOS!N14="","",CRITERIOS!N14)</f>
        <v/>
      </c>
      <c r="H26" s="19">
        <f>IF(CRITERIOS!O14="","",CRITERIOS!O14)</f>
        <v/>
      </c>
      <c r="I26" s="21" t="n"/>
      <c r="J26" s="22">
        <f>IF(OR($E26=0,I$78=0),0,IF(AND(I26="N/A",$G26&lt;&gt;""),0,$F26+SUMPRODUCT(($G$14:$G$71=$A26)*($E$14:$E$71=1)*(I$14:I$71="N/A")*$F$14:$F$71)))</f>
        <v/>
      </c>
      <c r="K26" s="22">
        <f>IF(I26="SI",J26,0)</f>
        <v/>
      </c>
      <c r="L26" s="21" t="n"/>
      <c r="M26" s="22">
        <f>IF(OR($E26=0,L$78=0),0,IF(AND(L26="N/A",$G26&lt;&gt;""),0,$F26+SUMPRODUCT(($G$14:$G$71=$A26)*($E$14:$E$71=1)*(L$14:L$71="N/A")*$F$14:$F$71)))</f>
        <v/>
      </c>
      <c r="N26" s="22">
        <f>IF(L26="SI",M26,0)</f>
        <v/>
      </c>
      <c r="O26" s="21" t="n"/>
      <c r="P26" s="22">
        <f>IF(OR($E26=0,O$78=0),0,IF(AND(O26="N/A",$G26&lt;&gt;""),0,$F26+SUMPRODUCT(($G$14:$G$71=$A26)*($E$14:$E$71=1)*(O$14:O$71="N/A")*$F$14:$F$71)))</f>
        <v/>
      </c>
      <c r="Q26" s="22">
        <f>IF(O26="SI",P26,0)</f>
        <v/>
      </c>
      <c r="R26" s="21" t="n"/>
      <c r="S26" s="22">
        <f>IF(OR($E26=0,R$78=0),0,IF(AND(R26="N/A",$G26&lt;&gt;""),0,$F26+SUMPRODUCT(($G$14:$G$71=$A26)*($E$14:$E$71=1)*(R$14:R$71="N/A")*$F$14:$F$71)))</f>
        <v/>
      </c>
      <c r="T26" s="22">
        <f>IF(R26="SI",S26,0)</f>
        <v/>
      </c>
      <c r="U26" s="21" t="n"/>
      <c r="V26" s="22">
        <f>IF(OR($E26=0,U$78=0),0,IF(AND(U26="N/A",$G26&lt;&gt;""),0,$F26+SUMPRODUCT(($G$14:$G$71=$A26)*($E$14:$E$71=1)*(U$14:U$71="N/A")*$F$14:$F$71)))</f>
        <v/>
      </c>
      <c r="W26" s="22">
        <f>IF(U26="SI",V26,0)</f>
        <v/>
      </c>
      <c r="X26" s="21" t="n"/>
      <c r="Y26" s="22">
        <f>IF(OR($E26=0,X$78=0),0,IF(AND(X26="N/A",$G26&lt;&gt;""),0,$F26+SUMPRODUCT(($G$14:$G$71=$A26)*($E$14:$E$71=1)*(X$14:X$71="N/A")*$F$14:$F$71)))</f>
        <v/>
      </c>
      <c r="Z26" s="22">
        <f>IF(X26="SI",Y26,0)</f>
        <v/>
      </c>
      <c r="AA26" s="22">
        <f>SUM(J26,M26,P26,S26,V26,Y26)</f>
        <v/>
      </c>
      <c r="AB26" s="22">
        <f>SUM(K26,N26,Q26,T26,W26,Z26)</f>
        <v/>
      </c>
      <c r="AC26" s="23">
        <f>IF(AA26=0,"",AB26/AA26)</f>
        <v/>
      </c>
      <c r="AD26" s="22">
        <f>CRITERIOS!Q14</f>
        <v/>
      </c>
      <c r="AE26" s="22">
        <f>IF(AND(E26=1,H26&lt;&gt;"X",((I26="N/A")+(L26="N/A")+(O26="N/A")+(R26="N/A")+(U26="N/A")+(X26="N/A"))&gt;0),"REVISAR","")</f>
        <v/>
      </c>
    </row>
    <row r="27">
      <c r="A27" s="19">
        <f>CRITERIOS!B15</f>
        <v/>
      </c>
      <c r="B27" s="19">
        <f>CRITERIOS!C15</f>
        <v/>
      </c>
      <c r="C27" s="20">
        <f>CRITERIOS!D15</f>
        <v/>
      </c>
      <c r="D27" s="19">
        <f>CRITERIOS!E15</f>
        <v/>
      </c>
      <c r="E27" s="19">
        <f>IFERROR(IF(AND(OR(CRITERIOS!F15="Todos",CRITERIOS!F15=$B$4),INDEX(CRITERIOS!H15:J15,MATCH($B$5,VARIABLES!$E$2:$E$4,0))=1),1,0),0)</f>
        <v/>
      </c>
      <c r="F27" s="19">
        <f>IFERROR(IF(E27=1,INDEX(CRITERIOS!K15:M15,MATCH($B$5,VARIABLES!$E$2:$E$4,0)),0),0)</f>
        <v/>
      </c>
      <c r="G27" s="19">
        <f>IF(CRITERIOS!N15="","",CRITERIOS!N15)</f>
        <v/>
      </c>
      <c r="H27" s="19">
        <f>IF(CRITERIOS!O15="","",CRITERIOS!O15)</f>
        <v/>
      </c>
      <c r="I27" s="21" t="n"/>
      <c r="J27" s="22">
        <f>IF(OR($E27=0,I$78=0),0,IF(AND(I27="N/A",$G27&lt;&gt;""),0,$F27+SUMPRODUCT(($G$14:$G$71=$A27)*($E$14:$E$71=1)*(I$14:I$71="N/A")*$F$14:$F$71)))</f>
        <v/>
      </c>
      <c r="K27" s="22">
        <f>IF(I27="SI",J27,0)</f>
        <v/>
      </c>
      <c r="L27" s="21" t="n"/>
      <c r="M27" s="22">
        <f>IF(OR($E27=0,L$78=0),0,IF(AND(L27="N/A",$G27&lt;&gt;""),0,$F27+SUMPRODUCT(($G$14:$G$71=$A27)*($E$14:$E$71=1)*(L$14:L$71="N/A")*$F$14:$F$71)))</f>
        <v/>
      </c>
      <c r="N27" s="22">
        <f>IF(L27="SI",M27,0)</f>
        <v/>
      </c>
      <c r="O27" s="21" t="n"/>
      <c r="P27" s="22">
        <f>IF(OR($E27=0,O$78=0),0,IF(AND(O27="N/A",$G27&lt;&gt;""),0,$F27+SUMPRODUCT(($G$14:$G$71=$A27)*($E$14:$E$71=1)*(O$14:O$71="N/A")*$F$14:$F$71)))</f>
        <v/>
      </c>
      <c r="Q27" s="22">
        <f>IF(O27="SI",P27,0)</f>
        <v/>
      </c>
      <c r="R27" s="21" t="n"/>
      <c r="S27" s="22">
        <f>IF(OR($E27=0,R$78=0),0,IF(AND(R27="N/A",$G27&lt;&gt;""),0,$F27+SUMPRODUCT(($G$14:$G$71=$A27)*($E$14:$E$71=1)*(R$14:R$71="N/A")*$F$14:$F$71)))</f>
        <v/>
      </c>
      <c r="T27" s="22">
        <f>IF(R27="SI",S27,0)</f>
        <v/>
      </c>
      <c r="U27" s="21" t="n"/>
      <c r="V27" s="22">
        <f>IF(OR($E27=0,U$78=0),0,IF(AND(U27="N/A",$G27&lt;&gt;""),0,$F27+SUMPRODUCT(($G$14:$G$71=$A27)*($E$14:$E$71=1)*(U$14:U$71="N/A")*$F$14:$F$71)))</f>
        <v/>
      </c>
      <c r="W27" s="22">
        <f>IF(U27="SI",V27,0)</f>
        <v/>
      </c>
      <c r="X27" s="21" t="n"/>
      <c r="Y27" s="22">
        <f>IF(OR($E27=0,X$78=0),0,IF(AND(X27="N/A",$G27&lt;&gt;""),0,$F27+SUMPRODUCT(($G$14:$G$71=$A27)*($E$14:$E$71=1)*(X$14:X$71="N/A")*$F$14:$F$71)))</f>
        <v/>
      </c>
      <c r="Z27" s="22">
        <f>IF(X27="SI",Y27,0)</f>
        <v/>
      </c>
      <c r="AA27" s="22">
        <f>SUM(J27,M27,P27,S27,V27,Y27)</f>
        <v/>
      </c>
      <c r="AB27" s="22">
        <f>SUM(K27,N27,Q27,T27,W27,Z27)</f>
        <v/>
      </c>
      <c r="AC27" s="23">
        <f>IF(AA27=0,"",AB27/AA27)</f>
        <v/>
      </c>
      <c r="AD27" s="22">
        <f>CRITERIOS!Q15</f>
        <v/>
      </c>
      <c r="AE27" s="22">
        <f>IF(AND(E27=1,H27&lt;&gt;"X",((I27="N/A")+(L27="N/A")+(O27="N/A")+(R27="N/A")+(U27="N/A")+(X27="N/A"))&gt;0),"REVISAR","")</f>
        <v/>
      </c>
    </row>
    <row r="28">
      <c r="A28" s="19">
        <f>CRITERIOS!B16</f>
        <v/>
      </c>
      <c r="B28" s="19">
        <f>CRITERIOS!C16</f>
        <v/>
      </c>
      <c r="C28" s="20">
        <f>CRITERIOS!D16</f>
        <v/>
      </c>
      <c r="D28" s="19">
        <f>CRITERIOS!E16</f>
        <v/>
      </c>
      <c r="E28" s="19">
        <f>IFERROR(IF(AND(OR(CRITERIOS!F16="Todos",CRITERIOS!F16=$B$4),INDEX(CRITERIOS!H16:J16,MATCH($B$5,VARIABLES!$E$2:$E$4,0))=1),1,0),0)</f>
        <v/>
      </c>
      <c r="F28" s="19">
        <f>IFERROR(IF(E28=1,INDEX(CRITERIOS!K16:M16,MATCH($B$5,VARIABLES!$E$2:$E$4,0)),0),0)</f>
        <v/>
      </c>
      <c r="G28" s="19">
        <f>IF(CRITERIOS!N16="","",CRITERIOS!N16)</f>
        <v/>
      </c>
      <c r="H28" s="19">
        <f>IF(CRITERIOS!O16="","",CRITERIOS!O16)</f>
        <v/>
      </c>
      <c r="I28" s="21" t="n"/>
      <c r="J28" s="22">
        <f>IF(OR($E28=0,I$78=0),0,IF(AND(I28="N/A",$G28&lt;&gt;""),0,$F28+SUMPRODUCT(($G$14:$G$71=$A28)*($E$14:$E$71=1)*(I$14:I$71="N/A")*$F$14:$F$71)))</f>
        <v/>
      </c>
      <c r="K28" s="22">
        <f>IF(I28="SI",J28,0)</f>
        <v/>
      </c>
      <c r="L28" s="21" t="n"/>
      <c r="M28" s="22">
        <f>IF(OR($E28=0,L$78=0),0,IF(AND(L28="N/A",$G28&lt;&gt;""),0,$F28+SUMPRODUCT(($G$14:$G$71=$A28)*($E$14:$E$71=1)*(L$14:L$71="N/A")*$F$14:$F$71)))</f>
        <v/>
      </c>
      <c r="N28" s="22">
        <f>IF(L28="SI",M28,0)</f>
        <v/>
      </c>
      <c r="O28" s="21" t="n"/>
      <c r="P28" s="22">
        <f>IF(OR($E28=0,O$78=0),0,IF(AND(O28="N/A",$G28&lt;&gt;""),0,$F28+SUMPRODUCT(($G$14:$G$71=$A28)*($E$14:$E$71=1)*(O$14:O$71="N/A")*$F$14:$F$71)))</f>
        <v/>
      </c>
      <c r="Q28" s="22">
        <f>IF(O28="SI",P28,0)</f>
        <v/>
      </c>
      <c r="R28" s="21" t="n"/>
      <c r="S28" s="22">
        <f>IF(OR($E28=0,R$78=0),0,IF(AND(R28="N/A",$G28&lt;&gt;""),0,$F28+SUMPRODUCT(($G$14:$G$71=$A28)*($E$14:$E$71=1)*(R$14:R$71="N/A")*$F$14:$F$71)))</f>
        <v/>
      </c>
      <c r="T28" s="22">
        <f>IF(R28="SI",S28,0)</f>
        <v/>
      </c>
      <c r="U28" s="21" t="n"/>
      <c r="V28" s="22">
        <f>IF(OR($E28=0,U$78=0),0,IF(AND(U28="N/A",$G28&lt;&gt;""),0,$F28+SUMPRODUCT(($G$14:$G$71=$A28)*($E$14:$E$71=1)*(U$14:U$71="N/A")*$F$14:$F$71)))</f>
        <v/>
      </c>
      <c r="W28" s="22">
        <f>IF(U28="SI",V28,0)</f>
        <v/>
      </c>
      <c r="X28" s="21" t="n"/>
      <c r="Y28" s="22">
        <f>IF(OR($E28=0,X$78=0),0,IF(AND(X28="N/A",$G28&lt;&gt;""),0,$F28+SUMPRODUCT(($G$14:$G$71=$A28)*($E$14:$E$71=1)*(X$14:X$71="N/A")*$F$14:$F$71)))</f>
        <v/>
      </c>
      <c r="Z28" s="22">
        <f>IF(X28="SI",Y28,0)</f>
        <v/>
      </c>
      <c r="AA28" s="22">
        <f>SUM(J28,M28,P28,S28,V28,Y28)</f>
        <v/>
      </c>
      <c r="AB28" s="22">
        <f>SUM(K28,N28,Q28,T28,W28,Z28)</f>
        <v/>
      </c>
      <c r="AC28" s="23">
        <f>IF(AA28=0,"",AB28/AA28)</f>
        <v/>
      </c>
      <c r="AD28" s="22">
        <f>CRITERIOS!Q16</f>
        <v/>
      </c>
      <c r="AE28" s="22">
        <f>IF(AND(E28=1,H28&lt;&gt;"X",((I28="N/A")+(L28="N/A")+(O28="N/A")+(R28="N/A")+(U28="N/A")+(X28="N/A"))&gt;0),"REVISAR","")</f>
        <v/>
      </c>
    </row>
    <row r="29">
      <c r="A29" s="19">
        <f>CRITERIOS!B17</f>
        <v/>
      </c>
      <c r="B29" s="19">
        <f>CRITERIOS!C17</f>
        <v/>
      </c>
      <c r="C29" s="20">
        <f>CRITERIOS!D17</f>
        <v/>
      </c>
      <c r="D29" s="19">
        <f>CRITERIOS!E17</f>
        <v/>
      </c>
      <c r="E29" s="19">
        <f>IFERROR(IF(AND(OR(CRITERIOS!F17="Todos",CRITERIOS!F17=$B$4),INDEX(CRITERIOS!H17:J17,MATCH($B$5,VARIABLES!$E$2:$E$4,0))=1),1,0),0)</f>
        <v/>
      </c>
      <c r="F29" s="19">
        <f>IFERROR(IF(E29=1,INDEX(CRITERIOS!K17:M17,MATCH($B$5,VARIABLES!$E$2:$E$4,0)),0),0)</f>
        <v/>
      </c>
      <c r="G29" s="19">
        <f>IF(CRITERIOS!N17="","",CRITERIOS!N17)</f>
        <v/>
      </c>
      <c r="H29" s="19">
        <f>IF(CRITERIOS!O17="","",CRITERIOS!O17)</f>
        <v/>
      </c>
      <c r="I29" s="21" t="n"/>
      <c r="J29" s="22">
        <f>IF(OR($E29=0,I$78=0),0,IF(AND(I29="N/A",$G29&lt;&gt;""),0,$F29+SUMPRODUCT(($G$14:$G$71=$A29)*($E$14:$E$71=1)*(I$14:I$71="N/A")*$F$14:$F$71)))</f>
        <v/>
      </c>
      <c r="K29" s="22">
        <f>IF(I29="SI",J29,0)</f>
        <v/>
      </c>
      <c r="L29" s="21" t="n"/>
      <c r="M29" s="22">
        <f>IF(OR($E29=0,L$78=0),0,IF(AND(L29="N/A",$G29&lt;&gt;""),0,$F29+SUMPRODUCT(($G$14:$G$71=$A29)*($E$14:$E$71=1)*(L$14:L$71="N/A")*$F$14:$F$71)))</f>
        <v/>
      </c>
      <c r="N29" s="22">
        <f>IF(L29="SI",M29,0)</f>
        <v/>
      </c>
      <c r="O29" s="21" t="n"/>
      <c r="P29" s="22">
        <f>IF(OR($E29=0,O$78=0),0,IF(AND(O29="N/A",$G29&lt;&gt;""),0,$F29+SUMPRODUCT(($G$14:$G$71=$A29)*($E$14:$E$71=1)*(O$14:O$71="N/A")*$F$14:$F$71)))</f>
        <v/>
      </c>
      <c r="Q29" s="22">
        <f>IF(O29="SI",P29,0)</f>
        <v/>
      </c>
      <c r="R29" s="21" t="n"/>
      <c r="S29" s="22">
        <f>IF(OR($E29=0,R$78=0),0,IF(AND(R29="N/A",$G29&lt;&gt;""),0,$F29+SUMPRODUCT(($G$14:$G$71=$A29)*($E$14:$E$71=1)*(R$14:R$71="N/A")*$F$14:$F$71)))</f>
        <v/>
      </c>
      <c r="T29" s="22">
        <f>IF(R29="SI",S29,0)</f>
        <v/>
      </c>
      <c r="U29" s="21" t="n"/>
      <c r="V29" s="22">
        <f>IF(OR($E29=0,U$78=0),0,IF(AND(U29="N/A",$G29&lt;&gt;""),0,$F29+SUMPRODUCT(($G$14:$G$71=$A29)*($E$14:$E$71=1)*(U$14:U$71="N/A")*$F$14:$F$71)))</f>
        <v/>
      </c>
      <c r="W29" s="22">
        <f>IF(U29="SI",V29,0)</f>
        <v/>
      </c>
      <c r="X29" s="21" t="n"/>
      <c r="Y29" s="22">
        <f>IF(OR($E29=0,X$78=0),0,IF(AND(X29="N/A",$G29&lt;&gt;""),0,$F29+SUMPRODUCT(($G$14:$G$71=$A29)*($E$14:$E$71=1)*(X$14:X$71="N/A")*$F$14:$F$71)))</f>
        <v/>
      </c>
      <c r="Z29" s="22">
        <f>IF(X29="SI",Y29,0)</f>
        <v/>
      </c>
      <c r="AA29" s="22">
        <f>SUM(J29,M29,P29,S29,V29,Y29)</f>
        <v/>
      </c>
      <c r="AB29" s="22">
        <f>SUM(K29,N29,Q29,T29,W29,Z29)</f>
        <v/>
      </c>
      <c r="AC29" s="23">
        <f>IF(AA29=0,"",AB29/AA29)</f>
        <v/>
      </c>
      <c r="AD29" s="22">
        <f>CRITERIOS!Q17</f>
        <v/>
      </c>
      <c r="AE29" s="22">
        <f>IF(AND(E29=1,H29&lt;&gt;"X",((I29="N/A")+(L29="N/A")+(O29="N/A")+(R29="N/A")+(U29="N/A")+(X29="N/A"))&gt;0),"REVISAR","")</f>
        <v/>
      </c>
    </row>
    <row r="30">
      <c r="A30" s="22">
        <f>CRITERIOS!B18</f>
        <v/>
      </c>
      <c r="B30" s="22">
        <f>CRITERIOS!C18</f>
        <v/>
      </c>
      <c r="C30" s="8">
        <f>CRITERIOS!D18</f>
        <v/>
      </c>
      <c r="D30" s="22">
        <f>CRITERIOS!E18</f>
        <v/>
      </c>
      <c r="E30" s="22">
        <f>IFERROR(IF(AND(OR(CRITERIOS!F18="Todos",CRITERIOS!F18=$B$4),INDEX(CRITERIOS!H18:J18,MATCH($B$5,VARIABLES!$E$2:$E$4,0))=1),1,0),0)</f>
        <v/>
      </c>
      <c r="F30" s="22">
        <f>IFERROR(IF(E30=1,INDEX(CRITERIOS!K18:M18,MATCH($B$5,VARIABLES!$E$2:$E$4,0)),0),0)</f>
        <v/>
      </c>
      <c r="G30" s="22">
        <f>IF(CRITERIOS!N18="","",CRITERIOS!N18)</f>
        <v/>
      </c>
      <c r="H30" s="22">
        <f>IF(CRITERIOS!O18="","",CRITERIOS!O18)</f>
        <v/>
      </c>
      <c r="I30" s="21" t="n"/>
      <c r="J30" s="22">
        <f>IF(OR($E30=0,I$78=0),0,IF(AND(I30="N/A",$G30&lt;&gt;""),0,$F30+SUMPRODUCT(($G$14:$G$71=$A30)*($E$14:$E$71=1)*(I$14:I$71="N/A")*$F$14:$F$71)))</f>
        <v/>
      </c>
      <c r="K30" s="22">
        <f>IF(I30="SI",J30,0)</f>
        <v/>
      </c>
      <c r="L30" s="21" t="n"/>
      <c r="M30" s="22">
        <f>IF(OR($E30=0,L$78=0),0,IF(AND(L30="N/A",$G30&lt;&gt;""),0,$F30+SUMPRODUCT(($G$14:$G$71=$A30)*($E$14:$E$71=1)*(L$14:L$71="N/A")*$F$14:$F$71)))</f>
        <v/>
      </c>
      <c r="N30" s="22">
        <f>IF(L30="SI",M30,0)</f>
        <v/>
      </c>
      <c r="O30" s="21" t="n"/>
      <c r="P30" s="22">
        <f>IF(OR($E30=0,O$78=0),0,IF(AND(O30="N/A",$G30&lt;&gt;""),0,$F30+SUMPRODUCT(($G$14:$G$71=$A30)*($E$14:$E$71=1)*(O$14:O$71="N/A")*$F$14:$F$71)))</f>
        <v/>
      </c>
      <c r="Q30" s="22">
        <f>IF(O30="SI",P30,0)</f>
        <v/>
      </c>
      <c r="R30" s="21" t="n"/>
      <c r="S30" s="22">
        <f>IF(OR($E30=0,R$78=0),0,IF(AND(R30="N/A",$G30&lt;&gt;""),0,$F30+SUMPRODUCT(($G$14:$G$71=$A30)*($E$14:$E$71=1)*(R$14:R$71="N/A")*$F$14:$F$71)))</f>
        <v/>
      </c>
      <c r="T30" s="22">
        <f>IF(R30="SI",S30,0)</f>
        <v/>
      </c>
      <c r="U30" s="21" t="n"/>
      <c r="V30" s="22">
        <f>IF(OR($E30=0,U$78=0),0,IF(AND(U30="N/A",$G30&lt;&gt;""),0,$F30+SUMPRODUCT(($G$14:$G$71=$A30)*($E$14:$E$71=1)*(U$14:U$71="N/A")*$F$14:$F$71)))</f>
        <v/>
      </c>
      <c r="W30" s="22">
        <f>IF(U30="SI",V30,0)</f>
        <v/>
      </c>
      <c r="X30" s="21" t="n"/>
      <c r="Y30" s="22">
        <f>IF(OR($E30=0,X$78=0),0,IF(AND(X30="N/A",$G30&lt;&gt;""),0,$F30+SUMPRODUCT(($G$14:$G$71=$A30)*($E$14:$E$71=1)*(X$14:X$71="N/A")*$F$14:$F$71)))</f>
        <v/>
      </c>
      <c r="Z30" s="22">
        <f>IF(X30="SI",Y30,0)</f>
        <v/>
      </c>
      <c r="AA30" s="22">
        <f>SUM(J30,M30,P30,S30,V30,Y30)</f>
        <v/>
      </c>
      <c r="AB30" s="22">
        <f>SUM(K30,N30,Q30,T30,W30,Z30)</f>
        <v/>
      </c>
      <c r="AC30" s="23">
        <f>IF(AA30=0,"",AB30/AA30)</f>
        <v/>
      </c>
      <c r="AD30" s="22">
        <f>CRITERIOS!Q18</f>
        <v/>
      </c>
      <c r="AE30" s="22">
        <f>IF(AND(E30=1,H30&lt;&gt;"X",((I30="N/A")+(L30="N/A")+(O30="N/A")+(R30="N/A")+(U30="N/A")+(X30="N/A"))&gt;0),"REVISAR","")</f>
        <v/>
      </c>
    </row>
    <row r="31">
      <c r="A31" s="24">
        <f>CRITERIOS!B19</f>
        <v/>
      </c>
      <c r="B31" s="24">
        <f>CRITERIOS!C19</f>
        <v/>
      </c>
      <c r="C31" s="25">
        <f>CRITERIOS!D19</f>
        <v/>
      </c>
      <c r="D31" s="24">
        <f>CRITERIOS!E19</f>
        <v/>
      </c>
      <c r="E31" s="24">
        <f>IFERROR(IF(AND(OR(CRITERIOS!F19="Todos",CRITERIOS!F19=$B$4),INDEX(CRITERIOS!H19:J19,MATCH($B$5,VARIABLES!$E$2:$E$4,0))=1),1,0),0)</f>
        <v/>
      </c>
      <c r="F31" s="24">
        <f>IFERROR(IF(E31=1,INDEX(CRITERIOS!K19:M19,MATCH($B$5,VARIABLES!$E$2:$E$4,0)),0),0)</f>
        <v/>
      </c>
      <c r="G31" s="24">
        <f>IF(CRITERIOS!N19="","",CRITERIOS!N19)</f>
        <v/>
      </c>
      <c r="H31" s="24">
        <f>IF(CRITERIOS!O19="","",CRITERIOS!O19)</f>
        <v/>
      </c>
      <c r="I31" s="21" t="n"/>
      <c r="J31" s="22">
        <f>IF(OR($E31=0,I$78=0),0,IF(AND(I31="N/A",$G31&lt;&gt;""),0,$F31+SUMPRODUCT(($G$14:$G$71=$A31)*($E$14:$E$71=1)*(I$14:I$71="N/A")*$F$14:$F$71)))</f>
        <v/>
      </c>
      <c r="K31" s="22">
        <f>IF(I31="SI",J31,0)</f>
        <v/>
      </c>
      <c r="L31" s="21" t="n"/>
      <c r="M31" s="22">
        <f>IF(OR($E31=0,L$78=0),0,IF(AND(L31="N/A",$G31&lt;&gt;""),0,$F31+SUMPRODUCT(($G$14:$G$71=$A31)*($E$14:$E$71=1)*(L$14:L$71="N/A")*$F$14:$F$71)))</f>
        <v/>
      </c>
      <c r="N31" s="22">
        <f>IF(L31="SI",M31,0)</f>
        <v/>
      </c>
      <c r="O31" s="21" t="n"/>
      <c r="P31" s="22">
        <f>IF(OR($E31=0,O$78=0),0,IF(AND(O31="N/A",$G31&lt;&gt;""),0,$F31+SUMPRODUCT(($G$14:$G$71=$A31)*($E$14:$E$71=1)*(O$14:O$71="N/A")*$F$14:$F$71)))</f>
        <v/>
      </c>
      <c r="Q31" s="22">
        <f>IF(O31="SI",P31,0)</f>
        <v/>
      </c>
      <c r="R31" s="21" t="n"/>
      <c r="S31" s="22">
        <f>IF(OR($E31=0,R$78=0),0,IF(AND(R31="N/A",$G31&lt;&gt;""),0,$F31+SUMPRODUCT(($G$14:$G$71=$A31)*($E$14:$E$71=1)*(R$14:R$71="N/A")*$F$14:$F$71)))</f>
        <v/>
      </c>
      <c r="T31" s="22">
        <f>IF(R31="SI",S31,0)</f>
        <v/>
      </c>
      <c r="U31" s="21" t="n"/>
      <c r="V31" s="22">
        <f>IF(OR($E31=0,U$78=0),0,IF(AND(U31="N/A",$G31&lt;&gt;""),0,$F31+SUMPRODUCT(($G$14:$G$71=$A31)*($E$14:$E$71=1)*(U$14:U$71="N/A")*$F$14:$F$71)))</f>
        <v/>
      </c>
      <c r="W31" s="22">
        <f>IF(U31="SI",V31,0)</f>
        <v/>
      </c>
      <c r="X31" s="21" t="n"/>
      <c r="Y31" s="22">
        <f>IF(OR($E31=0,X$78=0),0,IF(AND(X31="N/A",$G31&lt;&gt;""),0,$F31+SUMPRODUCT(($G$14:$G$71=$A31)*($E$14:$E$71=1)*(X$14:X$71="N/A")*$F$14:$F$71)))</f>
        <v/>
      </c>
      <c r="Z31" s="22">
        <f>IF(X31="SI",Y31,0)</f>
        <v/>
      </c>
      <c r="AA31" s="22">
        <f>SUM(J31,M31,P31,S31,V31,Y31)</f>
        <v/>
      </c>
      <c r="AB31" s="22">
        <f>SUM(K31,N31,Q31,T31,W31,Z31)</f>
        <v/>
      </c>
      <c r="AC31" s="23">
        <f>IF(AA31=0,"",AB31/AA31)</f>
        <v/>
      </c>
      <c r="AD31" s="22">
        <f>CRITERIOS!Q19</f>
        <v/>
      </c>
      <c r="AE31" s="22">
        <f>IF(AND(E31=1,H31&lt;&gt;"X",((I31="N/A")+(L31="N/A")+(O31="N/A")+(R31="N/A")+(U31="N/A")+(X31="N/A"))&gt;0),"REVISAR","")</f>
        <v/>
      </c>
    </row>
    <row r="32">
      <c r="A32" s="24">
        <f>CRITERIOS!B20</f>
        <v/>
      </c>
      <c r="B32" s="24">
        <f>CRITERIOS!C20</f>
        <v/>
      </c>
      <c r="C32" s="25">
        <f>CRITERIOS!D20</f>
        <v/>
      </c>
      <c r="D32" s="24">
        <f>CRITERIOS!E20</f>
        <v/>
      </c>
      <c r="E32" s="24">
        <f>IFERROR(IF(AND(OR(CRITERIOS!F20="Todos",CRITERIOS!F20=$B$4),INDEX(CRITERIOS!H20:J20,MATCH($B$5,VARIABLES!$E$2:$E$4,0))=1),1,0),0)</f>
        <v/>
      </c>
      <c r="F32" s="24">
        <f>IFERROR(IF(E32=1,INDEX(CRITERIOS!K20:M20,MATCH($B$5,VARIABLES!$E$2:$E$4,0)),0),0)</f>
        <v/>
      </c>
      <c r="G32" s="24">
        <f>IF(CRITERIOS!N20="","",CRITERIOS!N20)</f>
        <v/>
      </c>
      <c r="H32" s="24">
        <f>IF(CRITERIOS!O20="","",CRITERIOS!O20)</f>
        <v/>
      </c>
      <c r="I32" s="21" t="n"/>
      <c r="J32" s="22">
        <f>IF(OR($E32=0,I$78=0),0,IF(AND(I32="N/A",$G32&lt;&gt;""),0,$F32+SUMPRODUCT(($G$14:$G$71=$A32)*($E$14:$E$71=1)*(I$14:I$71="N/A")*$F$14:$F$71)))</f>
        <v/>
      </c>
      <c r="K32" s="22">
        <f>IF(I32="SI",J32,0)</f>
        <v/>
      </c>
      <c r="L32" s="21" t="n"/>
      <c r="M32" s="22">
        <f>IF(OR($E32=0,L$78=0),0,IF(AND(L32="N/A",$G32&lt;&gt;""),0,$F32+SUMPRODUCT(($G$14:$G$71=$A32)*($E$14:$E$71=1)*(L$14:L$71="N/A")*$F$14:$F$71)))</f>
        <v/>
      </c>
      <c r="N32" s="22">
        <f>IF(L32="SI",M32,0)</f>
        <v/>
      </c>
      <c r="O32" s="21" t="n"/>
      <c r="P32" s="22">
        <f>IF(OR($E32=0,O$78=0),0,IF(AND(O32="N/A",$G32&lt;&gt;""),0,$F32+SUMPRODUCT(($G$14:$G$71=$A32)*($E$14:$E$71=1)*(O$14:O$71="N/A")*$F$14:$F$71)))</f>
        <v/>
      </c>
      <c r="Q32" s="22">
        <f>IF(O32="SI",P32,0)</f>
        <v/>
      </c>
      <c r="R32" s="21" t="n"/>
      <c r="S32" s="22">
        <f>IF(OR($E32=0,R$78=0),0,IF(AND(R32="N/A",$G32&lt;&gt;""),0,$F32+SUMPRODUCT(($G$14:$G$71=$A32)*($E$14:$E$71=1)*(R$14:R$71="N/A")*$F$14:$F$71)))</f>
        <v/>
      </c>
      <c r="T32" s="22">
        <f>IF(R32="SI",S32,0)</f>
        <v/>
      </c>
      <c r="U32" s="21" t="n"/>
      <c r="V32" s="22">
        <f>IF(OR($E32=0,U$78=0),0,IF(AND(U32="N/A",$G32&lt;&gt;""),0,$F32+SUMPRODUCT(($G$14:$G$71=$A32)*($E$14:$E$71=1)*(U$14:U$71="N/A")*$F$14:$F$71)))</f>
        <v/>
      </c>
      <c r="W32" s="22">
        <f>IF(U32="SI",V32,0)</f>
        <v/>
      </c>
      <c r="X32" s="21" t="n"/>
      <c r="Y32" s="22">
        <f>IF(OR($E32=0,X$78=0),0,IF(AND(X32="N/A",$G32&lt;&gt;""),0,$F32+SUMPRODUCT(($G$14:$G$71=$A32)*($E$14:$E$71=1)*(X$14:X$71="N/A")*$F$14:$F$71)))</f>
        <v/>
      </c>
      <c r="Z32" s="22">
        <f>IF(X32="SI",Y32,0)</f>
        <v/>
      </c>
      <c r="AA32" s="22">
        <f>SUM(J32,M32,P32,S32,V32,Y32)</f>
        <v/>
      </c>
      <c r="AB32" s="22">
        <f>SUM(K32,N32,Q32,T32,W32,Z32)</f>
        <v/>
      </c>
      <c r="AC32" s="23">
        <f>IF(AA32=0,"",AB32/AA32)</f>
        <v/>
      </c>
      <c r="AD32" s="22">
        <f>CRITERIOS!Q20</f>
        <v/>
      </c>
      <c r="AE32" s="22">
        <f>IF(AND(E32=1,H32&lt;&gt;"X",((I32="N/A")+(L32="N/A")+(O32="N/A")+(R32="N/A")+(U32="N/A")+(X32="N/A"))&gt;0),"REVISAR","")</f>
        <v/>
      </c>
    </row>
    <row r="33">
      <c r="A33" s="24">
        <f>CRITERIOS!B21</f>
        <v/>
      </c>
      <c r="B33" s="24">
        <f>CRITERIOS!C21</f>
        <v/>
      </c>
      <c r="C33" s="25">
        <f>CRITERIOS!D21</f>
        <v/>
      </c>
      <c r="D33" s="24">
        <f>CRITERIOS!E21</f>
        <v/>
      </c>
      <c r="E33" s="24">
        <f>IFERROR(IF(AND(OR(CRITERIOS!F21="Todos",CRITERIOS!F21=$B$4),INDEX(CRITERIOS!H21:J21,MATCH($B$5,VARIABLES!$E$2:$E$4,0))=1),1,0),0)</f>
        <v/>
      </c>
      <c r="F33" s="24">
        <f>IFERROR(IF(E33=1,INDEX(CRITERIOS!K21:M21,MATCH($B$5,VARIABLES!$E$2:$E$4,0)),0),0)</f>
        <v/>
      </c>
      <c r="G33" s="24">
        <f>IF(CRITERIOS!N21="","",CRITERIOS!N21)</f>
        <v/>
      </c>
      <c r="H33" s="24">
        <f>IF(CRITERIOS!O21="","",CRITERIOS!O21)</f>
        <v/>
      </c>
      <c r="I33" s="21" t="n"/>
      <c r="J33" s="22">
        <f>IF(OR($E33=0,I$78=0),0,IF(AND(I33="N/A",$G33&lt;&gt;""),0,$F33+SUMPRODUCT(($G$14:$G$71=$A33)*($E$14:$E$71=1)*(I$14:I$71="N/A")*$F$14:$F$71)))</f>
        <v/>
      </c>
      <c r="K33" s="22">
        <f>IF(I33="SI",J33,0)</f>
        <v/>
      </c>
      <c r="L33" s="21" t="n"/>
      <c r="M33" s="22">
        <f>IF(OR($E33=0,L$78=0),0,IF(AND(L33="N/A",$G33&lt;&gt;""),0,$F33+SUMPRODUCT(($G$14:$G$71=$A33)*($E$14:$E$71=1)*(L$14:L$71="N/A")*$F$14:$F$71)))</f>
        <v/>
      </c>
      <c r="N33" s="22">
        <f>IF(L33="SI",M33,0)</f>
        <v/>
      </c>
      <c r="O33" s="21" t="n"/>
      <c r="P33" s="22">
        <f>IF(OR($E33=0,O$78=0),0,IF(AND(O33="N/A",$G33&lt;&gt;""),0,$F33+SUMPRODUCT(($G$14:$G$71=$A33)*($E$14:$E$71=1)*(O$14:O$71="N/A")*$F$14:$F$71)))</f>
        <v/>
      </c>
      <c r="Q33" s="22">
        <f>IF(O33="SI",P33,0)</f>
        <v/>
      </c>
      <c r="R33" s="21" t="n"/>
      <c r="S33" s="22">
        <f>IF(OR($E33=0,R$78=0),0,IF(AND(R33="N/A",$G33&lt;&gt;""),0,$F33+SUMPRODUCT(($G$14:$G$71=$A33)*($E$14:$E$71=1)*(R$14:R$71="N/A")*$F$14:$F$71)))</f>
        <v/>
      </c>
      <c r="T33" s="22">
        <f>IF(R33="SI",S33,0)</f>
        <v/>
      </c>
      <c r="U33" s="21" t="n"/>
      <c r="V33" s="22">
        <f>IF(OR($E33=0,U$78=0),0,IF(AND(U33="N/A",$G33&lt;&gt;""),0,$F33+SUMPRODUCT(($G$14:$G$71=$A33)*($E$14:$E$71=1)*(U$14:U$71="N/A")*$F$14:$F$71)))</f>
        <v/>
      </c>
      <c r="W33" s="22">
        <f>IF(U33="SI",V33,0)</f>
        <v/>
      </c>
      <c r="X33" s="21" t="n"/>
      <c r="Y33" s="22">
        <f>IF(OR($E33=0,X$78=0),0,IF(AND(X33="N/A",$G33&lt;&gt;""),0,$F33+SUMPRODUCT(($G$14:$G$71=$A33)*($E$14:$E$71=1)*(X$14:X$71="N/A")*$F$14:$F$71)))</f>
        <v/>
      </c>
      <c r="Z33" s="22">
        <f>IF(X33="SI",Y33,0)</f>
        <v/>
      </c>
      <c r="AA33" s="22">
        <f>SUM(J33,M33,P33,S33,V33,Y33)</f>
        <v/>
      </c>
      <c r="AB33" s="22">
        <f>SUM(K33,N33,Q33,T33,W33,Z33)</f>
        <v/>
      </c>
      <c r="AC33" s="23">
        <f>IF(AA33=0,"",AB33/AA33)</f>
        <v/>
      </c>
      <c r="AD33" s="22">
        <f>CRITERIOS!Q21</f>
        <v/>
      </c>
      <c r="AE33" s="22">
        <f>IF(AND(E33=1,H33&lt;&gt;"X",((I33="N/A")+(L33="N/A")+(O33="N/A")+(R33="N/A")+(U33="N/A")+(X33="N/A"))&gt;0),"REVISAR","")</f>
        <v/>
      </c>
    </row>
    <row r="34">
      <c r="A34" s="22">
        <f>CRITERIOS!B22</f>
        <v/>
      </c>
      <c r="B34" s="22">
        <f>CRITERIOS!C22</f>
        <v/>
      </c>
      <c r="C34" s="8">
        <f>CRITERIOS!D22</f>
        <v/>
      </c>
      <c r="D34" s="22">
        <f>CRITERIOS!E22</f>
        <v/>
      </c>
      <c r="E34" s="22">
        <f>IFERROR(IF(AND(OR(CRITERIOS!F22="Todos",CRITERIOS!F22=$B$4),INDEX(CRITERIOS!H22:J22,MATCH($B$5,VARIABLES!$E$2:$E$4,0))=1),1,0),0)</f>
        <v/>
      </c>
      <c r="F34" s="22">
        <f>IFERROR(IF(E34=1,INDEX(CRITERIOS!K22:M22,MATCH($B$5,VARIABLES!$E$2:$E$4,0)),0),0)</f>
        <v/>
      </c>
      <c r="G34" s="22">
        <f>IF(CRITERIOS!N22="","",CRITERIOS!N22)</f>
        <v/>
      </c>
      <c r="H34" s="22">
        <f>IF(CRITERIOS!O22="","",CRITERIOS!O22)</f>
        <v/>
      </c>
      <c r="I34" s="21" t="n"/>
      <c r="J34" s="22">
        <f>IF(OR($E34=0,I$78=0),0,IF(AND(I34="N/A",$G34&lt;&gt;""),0,$F34+SUMPRODUCT(($G$14:$G$71=$A34)*($E$14:$E$71=1)*(I$14:I$71="N/A")*$F$14:$F$71)))</f>
        <v/>
      </c>
      <c r="K34" s="22">
        <f>IF(I34="SI",J34,0)</f>
        <v/>
      </c>
      <c r="L34" s="21" t="n"/>
      <c r="M34" s="22">
        <f>IF(OR($E34=0,L$78=0),0,IF(AND(L34="N/A",$G34&lt;&gt;""),0,$F34+SUMPRODUCT(($G$14:$G$71=$A34)*($E$14:$E$71=1)*(L$14:L$71="N/A")*$F$14:$F$71)))</f>
        <v/>
      </c>
      <c r="N34" s="22">
        <f>IF(L34="SI",M34,0)</f>
        <v/>
      </c>
      <c r="O34" s="21" t="n"/>
      <c r="P34" s="22">
        <f>IF(OR($E34=0,O$78=0),0,IF(AND(O34="N/A",$G34&lt;&gt;""),0,$F34+SUMPRODUCT(($G$14:$G$71=$A34)*($E$14:$E$71=1)*(O$14:O$71="N/A")*$F$14:$F$71)))</f>
        <v/>
      </c>
      <c r="Q34" s="22">
        <f>IF(O34="SI",P34,0)</f>
        <v/>
      </c>
      <c r="R34" s="21" t="n"/>
      <c r="S34" s="22">
        <f>IF(OR($E34=0,R$78=0),0,IF(AND(R34="N/A",$G34&lt;&gt;""),0,$F34+SUMPRODUCT(($G$14:$G$71=$A34)*($E$14:$E$71=1)*(R$14:R$71="N/A")*$F$14:$F$71)))</f>
        <v/>
      </c>
      <c r="T34" s="22">
        <f>IF(R34="SI",S34,0)</f>
        <v/>
      </c>
      <c r="U34" s="21" t="n"/>
      <c r="V34" s="22">
        <f>IF(OR($E34=0,U$78=0),0,IF(AND(U34="N/A",$G34&lt;&gt;""),0,$F34+SUMPRODUCT(($G$14:$G$71=$A34)*($E$14:$E$71=1)*(U$14:U$71="N/A")*$F$14:$F$71)))</f>
        <v/>
      </c>
      <c r="W34" s="22">
        <f>IF(U34="SI",V34,0)</f>
        <v/>
      </c>
      <c r="X34" s="21" t="n"/>
      <c r="Y34" s="22">
        <f>IF(OR($E34=0,X$78=0),0,IF(AND(X34="N/A",$G34&lt;&gt;""),0,$F34+SUMPRODUCT(($G$14:$G$71=$A34)*($E$14:$E$71=1)*(X$14:X$71="N/A")*$F$14:$F$71)))</f>
        <v/>
      </c>
      <c r="Z34" s="22">
        <f>IF(X34="SI",Y34,0)</f>
        <v/>
      </c>
      <c r="AA34" s="22">
        <f>SUM(J34,M34,P34,S34,V34,Y34)</f>
        <v/>
      </c>
      <c r="AB34" s="22">
        <f>SUM(K34,N34,Q34,T34,W34,Z34)</f>
        <v/>
      </c>
      <c r="AC34" s="23">
        <f>IF(AA34=0,"",AB34/AA34)</f>
        <v/>
      </c>
      <c r="AD34" s="22">
        <f>CRITERIOS!Q22</f>
        <v/>
      </c>
      <c r="AE34" s="22">
        <f>IF(AND(E34=1,H34&lt;&gt;"X",((I34="N/A")+(L34="N/A")+(O34="N/A")+(R34="N/A")+(U34="N/A")+(X34="N/A"))&gt;0),"REVISAR","")</f>
        <v/>
      </c>
    </row>
    <row r="35">
      <c r="A35" s="22">
        <f>CRITERIOS!B23</f>
        <v/>
      </c>
      <c r="B35" s="22">
        <f>CRITERIOS!C23</f>
        <v/>
      </c>
      <c r="C35" s="8">
        <f>CRITERIOS!D23</f>
        <v/>
      </c>
      <c r="D35" s="22">
        <f>CRITERIOS!E23</f>
        <v/>
      </c>
      <c r="E35" s="22">
        <f>IFERROR(IF(AND(OR(CRITERIOS!F23="Todos",CRITERIOS!F23=$B$4),INDEX(CRITERIOS!H23:J23,MATCH($B$5,VARIABLES!$E$2:$E$4,0))=1),1,0),0)</f>
        <v/>
      </c>
      <c r="F35" s="22">
        <f>IFERROR(IF(E35=1,INDEX(CRITERIOS!K23:M23,MATCH($B$5,VARIABLES!$E$2:$E$4,0)),0),0)</f>
        <v/>
      </c>
      <c r="G35" s="22">
        <f>IF(CRITERIOS!N23="","",CRITERIOS!N23)</f>
        <v/>
      </c>
      <c r="H35" s="22">
        <f>IF(CRITERIOS!O23="","",CRITERIOS!O23)</f>
        <v/>
      </c>
      <c r="I35" s="21" t="n"/>
      <c r="J35" s="22">
        <f>IF(OR($E35=0,I$78=0),0,IF(AND(I35="N/A",$G35&lt;&gt;""),0,$F35+SUMPRODUCT(($G$14:$G$71=$A35)*($E$14:$E$71=1)*(I$14:I$71="N/A")*$F$14:$F$71)))</f>
        <v/>
      </c>
      <c r="K35" s="22">
        <f>IF(I35="SI",J35,0)</f>
        <v/>
      </c>
      <c r="L35" s="21" t="n"/>
      <c r="M35" s="22">
        <f>IF(OR($E35=0,L$78=0),0,IF(AND(L35="N/A",$G35&lt;&gt;""),0,$F35+SUMPRODUCT(($G$14:$G$71=$A35)*($E$14:$E$71=1)*(L$14:L$71="N/A")*$F$14:$F$71)))</f>
        <v/>
      </c>
      <c r="N35" s="22">
        <f>IF(L35="SI",M35,0)</f>
        <v/>
      </c>
      <c r="O35" s="21" t="n"/>
      <c r="P35" s="22">
        <f>IF(OR($E35=0,O$78=0),0,IF(AND(O35="N/A",$G35&lt;&gt;""),0,$F35+SUMPRODUCT(($G$14:$G$71=$A35)*($E$14:$E$71=1)*(O$14:O$71="N/A")*$F$14:$F$71)))</f>
        <v/>
      </c>
      <c r="Q35" s="22">
        <f>IF(O35="SI",P35,0)</f>
        <v/>
      </c>
      <c r="R35" s="21" t="n"/>
      <c r="S35" s="22">
        <f>IF(OR($E35=0,R$78=0),0,IF(AND(R35="N/A",$G35&lt;&gt;""),0,$F35+SUMPRODUCT(($G$14:$G$71=$A35)*($E$14:$E$71=1)*(R$14:R$71="N/A")*$F$14:$F$71)))</f>
        <v/>
      </c>
      <c r="T35" s="22">
        <f>IF(R35="SI",S35,0)</f>
        <v/>
      </c>
      <c r="U35" s="21" t="n"/>
      <c r="V35" s="22">
        <f>IF(OR($E35=0,U$78=0),0,IF(AND(U35="N/A",$G35&lt;&gt;""),0,$F35+SUMPRODUCT(($G$14:$G$71=$A35)*($E$14:$E$71=1)*(U$14:U$71="N/A")*$F$14:$F$71)))</f>
        <v/>
      </c>
      <c r="W35" s="22">
        <f>IF(U35="SI",V35,0)</f>
        <v/>
      </c>
      <c r="X35" s="21" t="n"/>
      <c r="Y35" s="22">
        <f>IF(OR($E35=0,X$78=0),0,IF(AND(X35="N/A",$G35&lt;&gt;""),0,$F35+SUMPRODUCT(($G$14:$G$71=$A35)*($E$14:$E$71=1)*(X$14:X$71="N/A")*$F$14:$F$71)))</f>
        <v/>
      </c>
      <c r="Z35" s="22">
        <f>IF(X35="SI",Y35,0)</f>
        <v/>
      </c>
      <c r="AA35" s="22">
        <f>SUM(J35,M35,P35,S35,V35,Y35)</f>
        <v/>
      </c>
      <c r="AB35" s="22">
        <f>SUM(K35,N35,Q35,T35,W35,Z35)</f>
        <v/>
      </c>
      <c r="AC35" s="23">
        <f>IF(AA35=0,"",AB35/AA35)</f>
        <v/>
      </c>
      <c r="AD35" s="22">
        <f>CRITERIOS!Q23</f>
        <v/>
      </c>
      <c r="AE35" s="22">
        <f>IF(AND(E35=1,H35&lt;&gt;"X",((I35="N/A")+(L35="N/A")+(O35="N/A")+(R35="N/A")+(U35="N/A")+(X35="N/A"))&gt;0),"REVISAR","")</f>
        <v/>
      </c>
    </row>
    <row r="36">
      <c r="A36" s="22">
        <f>CRITERIOS!B24</f>
        <v/>
      </c>
      <c r="B36" s="22">
        <f>CRITERIOS!C24</f>
        <v/>
      </c>
      <c r="C36" s="8">
        <f>CRITERIOS!D24</f>
        <v/>
      </c>
      <c r="D36" s="22">
        <f>CRITERIOS!E24</f>
        <v/>
      </c>
      <c r="E36" s="22">
        <f>IFERROR(IF(AND(OR(CRITERIOS!F24="Todos",CRITERIOS!F24=$B$4),INDEX(CRITERIOS!H24:J24,MATCH($B$5,VARIABLES!$E$2:$E$4,0))=1),1,0),0)</f>
        <v/>
      </c>
      <c r="F36" s="22">
        <f>IFERROR(IF(E36=1,INDEX(CRITERIOS!K24:M24,MATCH($B$5,VARIABLES!$E$2:$E$4,0)),0),0)</f>
        <v/>
      </c>
      <c r="G36" s="22">
        <f>IF(CRITERIOS!N24="","",CRITERIOS!N24)</f>
        <v/>
      </c>
      <c r="H36" s="22">
        <f>IF(CRITERIOS!O24="","",CRITERIOS!O24)</f>
        <v/>
      </c>
      <c r="I36" s="21" t="n"/>
      <c r="J36" s="22">
        <f>IF(OR($E36=0,I$78=0),0,IF(AND(I36="N/A",$G36&lt;&gt;""),0,$F36+SUMPRODUCT(($G$14:$G$71=$A36)*($E$14:$E$71=1)*(I$14:I$71="N/A")*$F$14:$F$71)))</f>
        <v/>
      </c>
      <c r="K36" s="22">
        <f>IF(I36="SI",J36,0)</f>
        <v/>
      </c>
      <c r="L36" s="21" t="n"/>
      <c r="M36" s="22">
        <f>IF(OR($E36=0,L$78=0),0,IF(AND(L36="N/A",$G36&lt;&gt;""),0,$F36+SUMPRODUCT(($G$14:$G$71=$A36)*($E$14:$E$71=1)*(L$14:L$71="N/A")*$F$14:$F$71)))</f>
        <v/>
      </c>
      <c r="N36" s="22">
        <f>IF(L36="SI",M36,0)</f>
        <v/>
      </c>
      <c r="O36" s="21" t="n"/>
      <c r="P36" s="22">
        <f>IF(OR($E36=0,O$78=0),0,IF(AND(O36="N/A",$G36&lt;&gt;""),0,$F36+SUMPRODUCT(($G$14:$G$71=$A36)*($E$14:$E$71=1)*(O$14:O$71="N/A")*$F$14:$F$71)))</f>
        <v/>
      </c>
      <c r="Q36" s="22">
        <f>IF(O36="SI",P36,0)</f>
        <v/>
      </c>
      <c r="R36" s="21" t="n"/>
      <c r="S36" s="22">
        <f>IF(OR($E36=0,R$78=0),0,IF(AND(R36="N/A",$G36&lt;&gt;""),0,$F36+SUMPRODUCT(($G$14:$G$71=$A36)*($E$14:$E$71=1)*(R$14:R$71="N/A")*$F$14:$F$71)))</f>
        <v/>
      </c>
      <c r="T36" s="22">
        <f>IF(R36="SI",S36,0)</f>
        <v/>
      </c>
      <c r="U36" s="21" t="n"/>
      <c r="V36" s="22">
        <f>IF(OR($E36=0,U$78=0),0,IF(AND(U36="N/A",$G36&lt;&gt;""),0,$F36+SUMPRODUCT(($G$14:$G$71=$A36)*($E$14:$E$71=1)*(U$14:U$71="N/A")*$F$14:$F$71)))</f>
        <v/>
      </c>
      <c r="W36" s="22">
        <f>IF(U36="SI",V36,0)</f>
        <v/>
      </c>
      <c r="X36" s="21" t="n"/>
      <c r="Y36" s="22">
        <f>IF(OR($E36=0,X$78=0),0,IF(AND(X36="N/A",$G36&lt;&gt;""),0,$F36+SUMPRODUCT(($G$14:$G$71=$A36)*($E$14:$E$71=1)*(X$14:X$71="N/A")*$F$14:$F$71)))</f>
        <v/>
      </c>
      <c r="Z36" s="22">
        <f>IF(X36="SI",Y36,0)</f>
        <v/>
      </c>
      <c r="AA36" s="22">
        <f>SUM(J36,M36,P36,S36,V36,Y36)</f>
        <v/>
      </c>
      <c r="AB36" s="22">
        <f>SUM(K36,N36,Q36,T36,W36,Z36)</f>
        <v/>
      </c>
      <c r="AC36" s="23">
        <f>IF(AA36=0,"",AB36/AA36)</f>
        <v/>
      </c>
      <c r="AD36" s="22">
        <f>CRITERIOS!Q24</f>
        <v/>
      </c>
      <c r="AE36" s="22">
        <f>IF(AND(E36=1,H36&lt;&gt;"X",((I36="N/A")+(L36="N/A")+(O36="N/A")+(R36="N/A")+(U36="N/A")+(X36="N/A"))&gt;0),"REVISAR","")</f>
        <v/>
      </c>
    </row>
    <row r="37">
      <c r="A37" s="22">
        <f>CRITERIOS!B25</f>
        <v/>
      </c>
      <c r="B37" s="22">
        <f>CRITERIOS!C25</f>
        <v/>
      </c>
      <c r="C37" s="8">
        <f>CRITERIOS!D25</f>
        <v/>
      </c>
      <c r="D37" s="22">
        <f>CRITERIOS!E25</f>
        <v/>
      </c>
      <c r="E37" s="22">
        <f>IFERROR(IF(AND(OR(CRITERIOS!F25="Todos",CRITERIOS!F25=$B$4),INDEX(CRITERIOS!H25:J25,MATCH($B$5,VARIABLES!$E$2:$E$4,0))=1),1,0),0)</f>
        <v/>
      </c>
      <c r="F37" s="22">
        <f>IFERROR(IF(E37=1,INDEX(CRITERIOS!K25:M25,MATCH($B$5,VARIABLES!$E$2:$E$4,0)),0),0)</f>
        <v/>
      </c>
      <c r="G37" s="22">
        <f>IF(CRITERIOS!N25="","",CRITERIOS!N25)</f>
        <v/>
      </c>
      <c r="H37" s="22">
        <f>IF(CRITERIOS!O25="","",CRITERIOS!O25)</f>
        <v/>
      </c>
      <c r="I37" s="21" t="n"/>
      <c r="J37" s="22">
        <f>IF(OR($E37=0,I$78=0),0,IF(AND(I37="N/A",$G37&lt;&gt;""),0,$F37+SUMPRODUCT(($G$14:$G$71=$A37)*($E$14:$E$71=1)*(I$14:I$71="N/A")*$F$14:$F$71)))</f>
        <v/>
      </c>
      <c r="K37" s="22">
        <f>IF(I37="SI",J37,0)</f>
        <v/>
      </c>
      <c r="L37" s="21" t="n"/>
      <c r="M37" s="22">
        <f>IF(OR($E37=0,L$78=0),0,IF(AND(L37="N/A",$G37&lt;&gt;""),0,$F37+SUMPRODUCT(($G$14:$G$71=$A37)*($E$14:$E$71=1)*(L$14:L$71="N/A")*$F$14:$F$71)))</f>
        <v/>
      </c>
      <c r="N37" s="22">
        <f>IF(L37="SI",M37,0)</f>
        <v/>
      </c>
      <c r="O37" s="21" t="n"/>
      <c r="P37" s="22">
        <f>IF(OR($E37=0,O$78=0),0,IF(AND(O37="N/A",$G37&lt;&gt;""),0,$F37+SUMPRODUCT(($G$14:$G$71=$A37)*($E$14:$E$71=1)*(O$14:O$71="N/A")*$F$14:$F$71)))</f>
        <v/>
      </c>
      <c r="Q37" s="22">
        <f>IF(O37="SI",P37,0)</f>
        <v/>
      </c>
      <c r="R37" s="21" t="n"/>
      <c r="S37" s="22">
        <f>IF(OR($E37=0,R$78=0),0,IF(AND(R37="N/A",$G37&lt;&gt;""),0,$F37+SUMPRODUCT(($G$14:$G$71=$A37)*($E$14:$E$71=1)*(R$14:R$71="N/A")*$F$14:$F$71)))</f>
        <v/>
      </c>
      <c r="T37" s="22">
        <f>IF(R37="SI",S37,0)</f>
        <v/>
      </c>
      <c r="U37" s="21" t="n"/>
      <c r="V37" s="22">
        <f>IF(OR($E37=0,U$78=0),0,IF(AND(U37="N/A",$G37&lt;&gt;""),0,$F37+SUMPRODUCT(($G$14:$G$71=$A37)*($E$14:$E$71=1)*(U$14:U$71="N/A")*$F$14:$F$71)))</f>
        <v/>
      </c>
      <c r="W37" s="22">
        <f>IF(U37="SI",V37,0)</f>
        <v/>
      </c>
      <c r="X37" s="21" t="n"/>
      <c r="Y37" s="22">
        <f>IF(OR($E37=0,X$78=0),0,IF(AND(X37="N/A",$G37&lt;&gt;""),0,$F37+SUMPRODUCT(($G$14:$G$71=$A37)*($E$14:$E$71=1)*(X$14:X$71="N/A")*$F$14:$F$71)))</f>
        <v/>
      </c>
      <c r="Z37" s="22">
        <f>IF(X37="SI",Y37,0)</f>
        <v/>
      </c>
      <c r="AA37" s="22">
        <f>SUM(J37,M37,P37,S37,V37,Y37)</f>
        <v/>
      </c>
      <c r="AB37" s="22">
        <f>SUM(K37,N37,Q37,T37,W37,Z37)</f>
        <v/>
      </c>
      <c r="AC37" s="23">
        <f>IF(AA37=0,"",AB37/AA37)</f>
        <v/>
      </c>
      <c r="AD37" s="22">
        <f>CRITERIOS!Q25</f>
        <v/>
      </c>
      <c r="AE37" s="22">
        <f>IF(AND(E37=1,H37&lt;&gt;"X",((I37="N/A")+(L37="N/A")+(O37="N/A")+(R37="N/A")+(U37="N/A")+(X37="N/A"))&gt;0),"REVISAR","")</f>
        <v/>
      </c>
    </row>
    <row r="38">
      <c r="A38" s="22">
        <f>CRITERIOS!B26</f>
        <v/>
      </c>
      <c r="B38" s="22">
        <f>CRITERIOS!C26</f>
        <v/>
      </c>
      <c r="C38" s="8">
        <f>CRITERIOS!D26</f>
        <v/>
      </c>
      <c r="D38" s="22">
        <f>CRITERIOS!E26</f>
        <v/>
      </c>
      <c r="E38" s="22">
        <f>IFERROR(IF(AND(OR(CRITERIOS!F26="Todos",CRITERIOS!F26=$B$4),INDEX(CRITERIOS!H26:J26,MATCH($B$5,VARIABLES!$E$2:$E$4,0))=1),1,0),0)</f>
        <v/>
      </c>
      <c r="F38" s="22">
        <f>IFERROR(IF(E38=1,INDEX(CRITERIOS!K26:M26,MATCH($B$5,VARIABLES!$E$2:$E$4,0)),0),0)</f>
        <v/>
      </c>
      <c r="G38" s="22">
        <f>IF(CRITERIOS!N26="","",CRITERIOS!N26)</f>
        <v/>
      </c>
      <c r="H38" s="22">
        <f>IF(CRITERIOS!O26="","",CRITERIOS!O26)</f>
        <v/>
      </c>
      <c r="I38" s="21" t="n"/>
      <c r="J38" s="22">
        <f>IF(OR($E38=0,I$78=0),0,IF(AND(I38="N/A",$G38&lt;&gt;""),0,$F38+SUMPRODUCT(($G$14:$G$71=$A38)*($E$14:$E$71=1)*(I$14:I$71="N/A")*$F$14:$F$71)))</f>
        <v/>
      </c>
      <c r="K38" s="22">
        <f>IF(I38="SI",J38,0)</f>
        <v/>
      </c>
      <c r="L38" s="21" t="n"/>
      <c r="M38" s="22">
        <f>IF(OR($E38=0,L$78=0),0,IF(AND(L38="N/A",$G38&lt;&gt;""),0,$F38+SUMPRODUCT(($G$14:$G$71=$A38)*($E$14:$E$71=1)*(L$14:L$71="N/A")*$F$14:$F$71)))</f>
        <v/>
      </c>
      <c r="N38" s="22">
        <f>IF(L38="SI",M38,0)</f>
        <v/>
      </c>
      <c r="O38" s="21" t="n"/>
      <c r="P38" s="22">
        <f>IF(OR($E38=0,O$78=0),0,IF(AND(O38="N/A",$G38&lt;&gt;""),0,$F38+SUMPRODUCT(($G$14:$G$71=$A38)*($E$14:$E$71=1)*(O$14:O$71="N/A")*$F$14:$F$71)))</f>
        <v/>
      </c>
      <c r="Q38" s="22">
        <f>IF(O38="SI",P38,0)</f>
        <v/>
      </c>
      <c r="R38" s="21" t="n"/>
      <c r="S38" s="22">
        <f>IF(OR($E38=0,R$78=0),0,IF(AND(R38="N/A",$G38&lt;&gt;""),0,$F38+SUMPRODUCT(($G$14:$G$71=$A38)*($E$14:$E$71=1)*(R$14:R$71="N/A")*$F$14:$F$71)))</f>
        <v/>
      </c>
      <c r="T38" s="22">
        <f>IF(R38="SI",S38,0)</f>
        <v/>
      </c>
      <c r="U38" s="21" t="n"/>
      <c r="V38" s="22">
        <f>IF(OR($E38=0,U$78=0),0,IF(AND(U38="N/A",$G38&lt;&gt;""),0,$F38+SUMPRODUCT(($G$14:$G$71=$A38)*($E$14:$E$71=1)*(U$14:U$71="N/A")*$F$14:$F$71)))</f>
        <v/>
      </c>
      <c r="W38" s="22">
        <f>IF(U38="SI",V38,0)</f>
        <v/>
      </c>
      <c r="X38" s="21" t="n"/>
      <c r="Y38" s="22">
        <f>IF(OR($E38=0,X$78=0),0,IF(AND(X38="N/A",$G38&lt;&gt;""),0,$F38+SUMPRODUCT(($G$14:$G$71=$A38)*($E$14:$E$71=1)*(X$14:X$71="N/A")*$F$14:$F$71)))</f>
        <v/>
      </c>
      <c r="Z38" s="22">
        <f>IF(X38="SI",Y38,0)</f>
        <v/>
      </c>
      <c r="AA38" s="22">
        <f>SUM(J38,M38,P38,S38,V38,Y38)</f>
        <v/>
      </c>
      <c r="AB38" s="22">
        <f>SUM(K38,N38,Q38,T38,W38,Z38)</f>
        <v/>
      </c>
      <c r="AC38" s="23">
        <f>IF(AA38=0,"",AB38/AA38)</f>
        <v/>
      </c>
      <c r="AD38" s="22">
        <f>CRITERIOS!Q26</f>
        <v/>
      </c>
      <c r="AE38" s="22">
        <f>IF(AND(E38=1,H38&lt;&gt;"X",((I38="N/A")+(L38="N/A")+(O38="N/A")+(R38="N/A")+(U38="N/A")+(X38="N/A"))&gt;0),"REVISAR","")</f>
        <v/>
      </c>
    </row>
    <row r="39">
      <c r="A39" s="22">
        <f>CRITERIOS!B27</f>
        <v/>
      </c>
      <c r="B39" s="22">
        <f>CRITERIOS!C27</f>
        <v/>
      </c>
      <c r="C39" s="8">
        <f>CRITERIOS!D27</f>
        <v/>
      </c>
      <c r="D39" s="22">
        <f>CRITERIOS!E27</f>
        <v/>
      </c>
      <c r="E39" s="22">
        <f>IFERROR(IF(AND(OR(CRITERIOS!F27="Todos",CRITERIOS!F27=$B$4),INDEX(CRITERIOS!H27:J27,MATCH($B$5,VARIABLES!$E$2:$E$4,0))=1),1,0),0)</f>
        <v/>
      </c>
      <c r="F39" s="22">
        <f>IFERROR(IF(E39=1,INDEX(CRITERIOS!K27:M27,MATCH($B$5,VARIABLES!$E$2:$E$4,0)),0),0)</f>
        <v/>
      </c>
      <c r="G39" s="22">
        <f>IF(CRITERIOS!N27="","",CRITERIOS!N27)</f>
        <v/>
      </c>
      <c r="H39" s="22">
        <f>IF(CRITERIOS!O27="","",CRITERIOS!O27)</f>
        <v/>
      </c>
      <c r="I39" s="21" t="n"/>
      <c r="J39" s="22">
        <f>IF(OR($E39=0,I$78=0),0,IF(AND(I39="N/A",$G39&lt;&gt;""),0,$F39+SUMPRODUCT(($G$14:$G$71=$A39)*($E$14:$E$71=1)*(I$14:I$71="N/A")*$F$14:$F$71)))</f>
        <v/>
      </c>
      <c r="K39" s="22">
        <f>IF(I39="SI",J39,0)</f>
        <v/>
      </c>
      <c r="L39" s="21" t="n"/>
      <c r="M39" s="22">
        <f>IF(OR($E39=0,L$78=0),0,IF(AND(L39="N/A",$G39&lt;&gt;""),0,$F39+SUMPRODUCT(($G$14:$G$71=$A39)*($E$14:$E$71=1)*(L$14:L$71="N/A")*$F$14:$F$71)))</f>
        <v/>
      </c>
      <c r="N39" s="22">
        <f>IF(L39="SI",M39,0)</f>
        <v/>
      </c>
      <c r="O39" s="21" t="n"/>
      <c r="P39" s="22">
        <f>IF(OR($E39=0,O$78=0),0,IF(AND(O39="N/A",$G39&lt;&gt;""),0,$F39+SUMPRODUCT(($G$14:$G$71=$A39)*($E$14:$E$71=1)*(O$14:O$71="N/A")*$F$14:$F$71)))</f>
        <v/>
      </c>
      <c r="Q39" s="22">
        <f>IF(O39="SI",P39,0)</f>
        <v/>
      </c>
      <c r="R39" s="21" t="n"/>
      <c r="S39" s="22">
        <f>IF(OR($E39=0,R$78=0),0,IF(AND(R39="N/A",$G39&lt;&gt;""),0,$F39+SUMPRODUCT(($G$14:$G$71=$A39)*($E$14:$E$71=1)*(R$14:R$71="N/A")*$F$14:$F$71)))</f>
        <v/>
      </c>
      <c r="T39" s="22">
        <f>IF(R39="SI",S39,0)</f>
        <v/>
      </c>
      <c r="U39" s="21" t="n"/>
      <c r="V39" s="22">
        <f>IF(OR($E39=0,U$78=0),0,IF(AND(U39="N/A",$G39&lt;&gt;""),0,$F39+SUMPRODUCT(($G$14:$G$71=$A39)*($E$14:$E$71=1)*(U$14:U$71="N/A")*$F$14:$F$71)))</f>
        <v/>
      </c>
      <c r="W39" s="22">
        <f>IF(U39="SI",V39,0)</f>
        <v/>
      </c>
      <c r="X39" s="21" t="n"/>
      <c r="Y39" s="22">
        <f>IF(OR($E39=0,X$78=0),0,IF(AND(X39="N/A",$G39&lt;&gt;""),0,$F39+SUMPRODUCT(($G$14:$G$71=$A39)*($E$14:$E$71=1)*(X$14:X$71="N/A")*$F$14:$F$71)))</f>
        <v/>
      </c>
      <c r="Z39" s="22">
        <f>IF(X39="SI",Y39,0)</f>
        <v/>
      </c>
      <c r="AA39" s="22">
        <f>SUM(J39,M39,P39,S39,V39,Y39)</f>
        <v/>
      </c>
      <c r="AB39" s="22">
        <f>SUM(K39,N39,Q39,T39,W39,Z39)</f>
        <v/>
      </c>
      <c r="AC39" s="23">
        <f>IF(AA39=0,"",AB39/AA39)</f>
        <v/>
      </c>
      <c r="AD39" s="22">
        <f>CRITERIOS!Q27</f>
        <v/>
      </c>
      <c r="AE39" s="22">
        <f>IF(AND(E39=1,H39&lt;&gt;"X",((I39="N/A")+(L39="N/A")+(O39="N/A")+(R39="N/A")+(U39="N/A")+(X39="N/A"))&gt;0),"REVISAR","")</f>
        <v/>
      </c>
    </row>
    <row r="40">
      <c r="A40" s="22">
        <f>CRITERIOS!B28</f>
        <v/>
      </c>
      <c r="B40" s="22">
        <f>CRITERIOS!C28</f>
        <v/>
      </c>
      <c r="C40" s="8">
        <f>CRITERIOS!D28</f>
        <v/>
      </c>
      <c r="D40" s="22">
        <f>CRITERIOS!E28</f>
        <v/>
      </c>
      <c r="E40" s="22">
        <f>IFERROR(IF(AND(OR(CRITERIOS!F28="Todos",CRITERIOS!F28=$B$4),INDEX(CRITERIOS!H28:J28,MATCH($B$5,VARIABLES!$E$2:$E$4,0))=1),1,0),0)</f>
        <v/>
      </c>
      <c r="F40" s="22">
        <f>IFERROR(IF(E40=1,INDEX(CRITERIOS!K28:M28,MATCH($B$5,VARIABLES!$E$2:$E$4,0)),0),0)</f>
        <v/>
      </c>
      <c r="G40" s="22">
        <f>IF(CRITERIOS!N28="","",CRITERIOS!N28)</f>
        <v/>
      </c>
      <c r="H40" s="22">
        <f>IF(CRITERIOS!O28="","",CRITERIOS!O28)</f>
        <v/>
      </c>
      <c r="I40" s="21" t="n"/>
      <c r="J40" s="22">
        <f>IF(OR($E40=0,I$78=0),0,IF(AND(I40="N/A",$G40&lt;&gt;""),0,$F40+SUMPRODUCT(($G$14:$G$71=$A40)*($E$14:$E$71=1)*(I$14:I$71="N/A")*$F$14:$F$71)))</f>
        <v/>
      </c>
      <c r="K40" s="22">
        <f>IF(I40="SI",J40,0)</f>
        <v/>
      </c>
      <c r="L40" s="21" t="n"/>
      <c r="M40" s="22">
        <f>IF(OR($E40=0,L$78=0),0,IF(AND(L40="N/A",$G40&lt;&gt;""),0,$F40+SUMPRODUCT(($G$14:$G$71=$A40)*($E$14:$E$71=1)*(L$14:L$71="N/A")*$F$14:$F$71)))</f>
        <v/>
      </c>
      <c r="N40" s="22">
        <f>IF(L40="SI",M40,0)</f>
        <v/>
      </c>
      <c r="O40" s="21" t="n"/>
      <c r="P40" s="22">
        <f>IF(OR($E40=0,O$78=0),0,IF(AND(O40="N/A",$G40&lt;&gt;""),0,$F40+SUMPRODUCT(($G$14:$G$71=$A40)*($E$14:$E$71=1)*(O$14:O$71="N/A")*$F$14:$F$71)))</f>
        <v/>
      </c>
      <c r="Q40" s="22">
        <f>IF(O40="SI",P40,0)</f>
        <v/>
      </c>
      <c r="R40" s="21" t="n"/>
      <c r="S40" s="22">
        <f>IF(OR($E40=0,R$78=0),0,IF(AND(R40="N/A",$G40&lt;&gt;""),0,$F40+SUMPRODUCT(($G$14:$G$71=$A40)*($E$14:$E$71=1)*(R$14:R$71="N/A")*$F$14:$F$71)))</f>
        <v/>
      </c>
      <c r="T40" s="22">
        <f>IF(R40="SI",S40,0)</f>
        <v/>
      </c>
      <c r="U40" s="21" t="n"/>
      <c r="V40" s="22">
        <f>IF(OR($E40=0,U$78=0),0,IF(AND(U40="N/A",$G40&lt;&gt;""),0,$F40+SUMPRODUCT(($G$14:$G$71=$A40)*($E$14:$E$71=1)*(U$14:U$71="N/A")*$F$14:$F$71)))</f>
        <v/>
      </c>
      <c r="W40" s="22">
        <f>IF(U40="SI",V40,0)</f>
        <v/>
      </c>
      <c r="X40" s="21" t="n"/>
      <c r="Y40" s="22">
        <f>IF(OR($E40=0,X$78=0),0,IF(AND(X40="N/A",$G40&lt;&gt;""),0,$F40+SUMPRODUCT(($G$14:$G$71=$A40)*($E$14:$E$71=1)*(X$14:X$71="N/A")*$F$14:$F$71)))</f>
        <v/>
      </c>
      <c r="Z40" s="22">
        <f>IF(X40="SI",Y40,0)</f>
        <v/>
      </c>
      <c r="AA40" s="22">
        <f>SUM(J40,M40,P40,S40,V40,Y40)</f>
        <v/>
      </c>
      <c r="AB40" s="22">
        <f>SUM(K40,N40,Q40,T40,W40,Z40)</f>
        <v/>
      </c>
      <c r="AC40" s="23">
        <f>IF(AA40=0,"",AB40/AA40)</f>
        <v/>
      </c>
      <c r="AD40" s="22">
        <f>CRITERIOS!Q28</f>
        <v/>
      </c>
      <c r="AE40" s="22">
        <f>IF(AND(E40=1,H40&lt;&gt;"X",((I40="N/A")+(L40="N/A")+(O40="N/A")+(R40="N/A")+(U40="N/A")+(X40="N/A"))&gt;0),"REVISAR","")</f>
        <v/>
      </c>
    </row>
    <row r="41">
      <c r="A41" s="22">
        <f>CRITERIOS!B29</f>
        <v/>
      </c>
      <c r="B41" s="22">
        <f>CRITERIOS!C29</f>
        <v/>
      </c>
      <c r="C41" s="8">
        <f>CRITERIOS!D29</f>
        <v/>
      </c>
      <c r="D41" s="22">
        <f>CRITERIOS!E29</f>
        <v/>
      </c>
      <c r="E41" s="22">
        <f>IFERROR(IF(AND(OR(CRITERIOS!F29="Todos",CRITERIOS!F29=$B$4),INDEX(CRITERIOS!H29:J29,MATCH($B$5,VARIABLES!$E$2:$E$4,0))=1),1,0),0)</f>
        <v/>
      </c>
      <c r="F41" s="22">
        <f>IFERROR(IF(E41=1,INDEX(CRITERIOS!K29:M29,MATCH($B$5,VARIABLES!$E$2:$E$4,0)),0),0)</f>
        <v/>
      </c>
      <c r="G41" s="22">
        <f>IF(CRITERIOS!N29="","",CRITERIOS!N29)</f>
        <v/>
      </c>
      <c r="H41" s="22">
        <f>IF(CRITERIOS!O29="","",CRITERIOS!O29)</f>
        <v/>
      </c>
      <c r="I41" s="21" t="n"/>
      <c r="J41" s="22">
        <f>IF(OR($E41=0,I$78=0),0,IF(AND(I41="N/A",$G41&lt;&gt;""),0,$F41+SUMPRODUCT(($G$14:$G$71=$A41)*($E$14:$E$71=1)*(I$14:I$71="N/A")*$F$14:$F$71)))</f>
        <v/>
      </c>
      <c r="K41" s="22">
        <f>IF(I41="SI",J41,0)</f>
        <v/>
      </c>
      <c r="L41" s="21" t="n"/>
      <c r="M41" s="22">
        <f>IF(OR($E41=0,L$78=0),0,IF(AND(L41="N/A",$G41&lt;&gt;""),0,$F41+SUMPRODUCT(($G$14:$G$71=$A41)*($E$14:$E$71=1)*(L$14:L$71="N/A")*$F$14:$F$71)))</f>
        <v/>
      </c>
      <c r="N41" s="22">
        <f>IF(L41="SI",M41,0)</f>
        <v/>
      </c>
      <c r="O41" s="21" t="n"/>
      <c r="P41" s="22">
        <f>IF(OR($E41=0,O$78=0),0,IF(AND(O41="N/A",$G41&lt;&gt;""),0,$F41+SUMPRODUCT(($G$14:$G$71=$A41)*($E$14:$E$71=1)*(O$14:O$71="N/A")*$F$14:$F$71)))</f>
        <v/>
      </c>
      <c r="Q41" s="22">
        <f>IF(O41="SI",P41,0)</f>
        <v/>
      </c>
      <c r="R41" s="21" t="n"/>
      <c r="S41" s="22">
        <f>IF(OR($E41=0,R$78=0),0,IF(AND(R41="N/A",$G41&lt;&gt;""),0,$F41+SUMPRODUCT(($G$14:$G$71=$A41)*($E$14:$E$71=1)*(R$14:R$71="N/A")*$F$14:$F$71)))</f>
        <v/>
      </c>
      <c r="T41" s="22">
        <f>IF(R41="SI",S41,0)</f>
        <v/>
      </c>
      <c r="U41" s="21" t="n"/>
      <c r="V41" s="22">
        <f>IF(OR($E41=0,U$78=0),0,IF(AND(U41="N/A",$G41&lt;&gt;""),0,$F41+SUMPRODUCT(($G$14:$G$71=$A41)*($E$14:$E$71=1)*(U$14:U$71="N/A")*$F$14:$F$71)))</f>
        <v/>
      </c>
      <c r="W41" s="22">
        <f>IF(U41="SI",V41,0)</f>
        <v/>
      </c>
      <c r="X41" s="21" t="n"/>
      <c r="Y41" s="22">
        <f>IF(OR($E41=0,X$78=0),0,IF(AND(X41="N/A",$G41&lt;&gt;""),0,$F41+SUMPRODUCT(($G$14:$G$71=$A41)*($E$14:$E$71=1)*(X$14:X$71="N/A")*$F$14:$F$71)))</f>
        <v/>
      </c>
      <c r="Z41" s="22">
        <f>IF(X41="SI",Y41,0)</f>
        <v/>
      </c>
      <c r="AA41" s="22">
        <f>SUM(J41,M41,P41,S41,V41,Y41)</f>
        <v/>
      </c>
      <c r="AB41" s="22">
        <f>SUM(K41,N41,Q41,T41,W41,Z41)</f>
        <v/>
      </c>
      <c r="AC41" s="23">
        <f>IF(AA41=0,"",AB41/AA41)</f>
        <v/>
      </c>
      <c r="AD41" s="22">
        <f>CRITERIOS!Q29</f>
        <v/>
      </c>
      <c r="AE41" s="22">
        <f>IF(AND(E41=1,H41&lt;&gt;"X",((I41="N/A")+(L41="N/A")+(O41="N/A")+(R41="N/A")+(U41="N/A")+(X41="N/A"))&gt;0),"REVISAR","")</f>
        <v/>
      </c>
    </row>
    <row r="42">
      <c r="A42" s="24">
        <f>CRITERIOS!B30</f>
        <v/>
      </c>
      <c r="B42" s="24">
        <f>CRITERIOS!C30</f>
        <v/>
      </c>
      <c r="C42" s="25">
        <f>CRITERIOS!D30</f>
        <v/>
      </c>
      <c r="D42" s="24">
        <f>CRITERIOS!E30</f>
        <v/>
      </c>
      <c r="E42" s="24">
        <f>IFERROR(IF(AND(OR(CRITERIOS!F30="Todos",CRITERIOS!F30=$B$4),INDEX(CRITERIOS!H30:J30,MATCH($B$5,VARIABLES!$E$2:$E$4,0))=1),1,0),0)</f>
        <v/>
      </c>
      <c r="F42" s="24">
        <f>IFERROR(IF(E42=1,INDEX(CRITERIOS!K30:M30,MATCH($B$5,VARIABLES!$E$2:$E$4,0)),0),0)</f>
        <v/>
      </c>
      <c r="G42" s="24">
        <f>IF(CRITERIOS!N30="","",CRITERIOS!N30)</f>
        <v/>
      </c>
      <c r="H42" s="24">
        <f>IF(CRITERIOS!O30="","",CRITERIOS!O30)</f>
        <v/>
      </c>
      <c r="I42" s="21" t="n"/>
      <c r="J42" s="22">
        <f>IF(OR($E42=0,I$78=0),0,IF(AND(I42="N/A",$G42&lt;&gt;""),0,$F42+SUMPRODUCT(($G$14:$G$71=$A42)*($E$14:$E$71=1)*(I$14:I$71="N/A")*$F$14:$F$71)))</f>
        <v/>
      </c>
      <c r="K42" s="22">
        <f>IF(I42="SI",J42,0)</f>
        <v/>
      </c>
      <c r="L42" s="21" t="n"/>
      <c r="M42" s="22">
        <f>IF(OR($E42=0,L$78=0),0,IF(AND(L42="N/A",$G42&lt;&gt;""),0,$F42+SUMPRODUCT(($G$14:$G$71=$A42)*($E$14:$E$71=1)*(L$14:L$71="N/A")*$F$14:$F$71)))</f>
        <v/>
      </c>
      <c r="N42" s="22">
        <f>IF(L42="SI",M42,0)</f>
        <v/>
      </c>
      <c r="O42" s="21" t="n"/>
      <c r="P42" s="22">
        <f>IF(OR($E42=0,O$78=0),0,IF(AND(O42="N/A",$G42&lt;&gt;""),0,$F42+SUMPRODUCT(($G$14:$G$71=$A42)*($E$14:$E$71=1)*(O$14:O$71="N/A")*$F$14:$F$71)))</f>
        <v/>
      </c>
      <c r="Q42" s="22">
        <f>IF(O42="SI",P42,0)</f>
        <v/>
      </c>
      <c r="R42" s="21" t="n"/>
      <c r="S42" s="22">
        <f>IF(OR($E42=0,R$78=0),0,IF(AND(R42="N/A",$G42&lt;&gt;""),0,$F42+SUMPRODUCT(($G$14:$G$71=$A42)*($E$14:$E$71=1)*(R$14:R$71="N/A")*$F$14:$F$71)))</f>
        <v/>
      </c>
      <c r="T42" s="22">
        <f>IF(R42="SI",S42,0)</f>
        <v/>
      </c>
      <c r="U42" s="21" t="n"/>
      <c r="V42" s="22">
        <f>IF(OR($E42=0,U$78=0),0,IF(AND(U42="N/A",$G42&lt;&gt;""),0,$F42+SUMPRODUCT(($G$14:$G$71=$A42)*($E$14:$E$71=1)*(U$14:U$71="N/A")*$F$14:$F$71)))</f>
        <v/>
      </c>
      <c r="W42" s="22">
        <f>IF(U42="SI",V42,0)</f>
        <v/>
      </c>
      <c r="X42" s="21" t="n"/>
      <c r="Y42" s="22">
        <f>IF(OR($E42=0,X$78=0),0,IF(AND(X42="N/A",$G42&lt;&gt;""),0,$F42+SUMPRODUCT(($G$14:$G$71=$A42)*($E$14:$E$71=1)*(X$14:X$71="N/A")*$F$14:$F$71)))</f>
        <v/>
      </c>
      <c r="Z42" s="22">
        <f>IF(X42="SI",Y42,0)</f>
        <v/>
      </c>
      <c r="AA42" s="22">
        <f>SUM(J42,M42,P42,S42,V42,Y42)</f>
        <v/>
      </c>
      <c r="AB42" s="22">
        <f>SUM(K42,N42,Q42,T42,W42,Z42)</f>
        <v/>
      </c>
      <c r="AC42" s="23">
        <f>IF(AA42=0,"",AB42/AA42)</f>
        <v/>
      </c>
      <c r="AD42" s="22">
        <f>CRITERIOS!Q30</f>
        <v/>
      </c>
      <c r="AE42" s="22">
        <f>IF(AND(E42=1,H42&lt;&gt;"X",((I42="N/A")+(L42="N/A")+(O42="N/A")+(R42="N/A")+(U42="N/A")+(X42="N/A"))&gt;0),"REVISAR","")</f>
        <v/>
      </c>
    </row>
    <row r="43">
      <c r="A43" s="22">
        <f>CRITERIOS!B31</f>
        <v/>
      </c>
      <c r="B43" s="22">
        <f>CRITERIOS!C31</f>
        <v/>
      </c>
      <c r="C43" s="8">
        <f>CRITERIOS!D31</f>
        <v/>
      </c>
      <c r="D43" s="22">
        <f>CRITERIOS!E31</f>
        <v/>
      </c>
      <c r="E43" s="22">
        <f>IFERROR(IF(AND(OR(CRITERIOS!F31="Todos",CRITERIOS!F31=$B$4),INDEX(CRITERIOS!H31:J31,MATCH($B$5,VARIABLES!$E$2:$E$4,0))=1),1,0),0)</f>
        <v/>
      </c>
      <c r="F43" s="22">
        <f>IFERROR(IF(E43=1,INDEX(CRITERIOS!K31:M31,MATCH($B$5,VARIABLES!$E$2:$E$4,0)),0),0)</f>
        <v/>
      </c>
      <c r="G43" s="22">
        <f>IF(CRITERIOS!N31="","",CRITERIOS!N31)</f>
        <v/>
      </c>
      <c r="H43" s="22">
        <f>IF(CRITERIOS!O31="","",CRITERIOS!O31)</f>
        <v/>
      </c>
      <c r="I43" s="21" t="n"/>
      <c r="J43" s="22">
        <f>IF(OR($E43=0,I$78=0),0,IF(AND(I43="N/A",$G43&lt;&gt;""),0,$F43+SUMPRODUCT(($G$14:$G$71=$A43)*($E$14:$E$71=1)*(I$14:I$71="N/A")*$F$14:$F$71)))</f>
        <v/>
      </c>
      <c r="K43" s="22">
        <f>IF(I43="SI",J43,0)</f>
        <v/>
      </c>
      <c r="L43" s="21" t="n"/>
      <c r="M43" s="22">
        <f>IF(OR($E43=0,L$78=0),0,IF(AND(L43="N/A",$G43&lt;&gt;""),0,$F43+SUMPRODUCT(($G$14:$G$71=$A43)*($E$14:$E$71=1)*(L$14:L$71="N/A")*$F$14:$F$71)))</f>
        <v/>
      </c>
      <c r="N43" s="22">
        <f>IF(L43="SI",M43,0)</f>
        <v/>
      </c>
      <c r="O43" s="21" t="n"/>
      <c r="P43" s="22">
        <f>IF(OR($E43=0,O$78=0),0,IF(AND(O43="N/A",$G43&lt;&gt;""),0,$F43+SUMPRODUCT(($G$14:$G$71=$A43)*($E$14:$E$71=1)*(O$14:O$71="N/A")*$F$14:$F$71)))</f>
        <v/>
      </c>
      <c r="Q43" s="22">
        <f>IF(O43="SI",P43,0)</f>
        <v/>
      </c>
      <c r="R43" s="21" t="n"/>
      <c r="S43" s="22">
        <f>IF(OR($E43=0,R$78=0),0,IF(AND(R43="N/A",$G43&lt;&gt;""),0,$F43+SUMPRODUCT(($G$14:$G$71=$A43)*($E$14:$E$71=1)*(R$14:R$71="N/A")*$F$14:$F$71)))</f>
        <v/>
      </c>
      <c r="T43" s="22">
        <f>IF(R43="SI",S43,0)</f>
        <v/>
      </c>
      <c r="U43" s="21" t="n"/>
      <c r="V43" s="22">
        <f>IF(OR($E43=0,U$78=0),0,IF(AND(U43="N/A",$G43&lt;&gt;""),0,$F43+SUMPRODUCT(($G$14:$G$71=$A43)*($E$14:$E$71=1)*(U$14:U$71="N/A")*$F$14:$F$71)))</f>
        <v/>
      </c>
      <c r="W43" s="22">
        <f>IF(U43="SI",V43,0)</f>
        <v/>
      </c>
      <c r="X43" s="21" t="n"/>
      <c r="Y43" s="22">
        <f>IF(OR($E43=0,X$78=0),0,IF(AND(X43="N/A",$G43&lt;&gt;""),0,$F43+SUMPRODUCT(($G$14:$G$71=$A43)*($E$14:$E$71=1)*(X$14:X$71="N/A")*$F$14:$F$71)))</f>
        <v/>
      </c>
      <c r="Z43" s="22">
        <f>IF(X43="SI",Y43,0)</f>
        <v/>
      </c>
      <c r="AA43" s="22">
        <f>SUM(J43,M43,P43,S43,V43,Y43)</f>
        <v/>
      </c>
      <c r="AB43" s="22">
        <f>SUM(K43,N43,Q43,T43,W43,Z43)</f>
        <v/>
      </c>
      <c r="AC43" s="23">
        <f>IF(AA43=0,"",AB43/AA43)</f>
        <v/>
      </c>
      <c r="AD43" s="22">
        <f>CRITERIOS!Q31</f>
        <v/>
      </c>
      <c r="AE43" s="22">
        <f>IF(AND(E43=1,H43&lt;&gt;"X",((I43="N/A")+(L43="N/A")+(O43="N/A")+(R43="N/A")+(U43="N/A")+(X43="N/A"))&gt;0),"REVISAR","")</f>
        <v/>
      </c>
    </row>
    <row r="44">
      <c r="A44" s="24">
        <f>CRITERIOS!B32</f>
        <v/>
      </c>
      <c r="B44" s="24">
        <f>CRITERIOS!C32</f>
        <v/>
      </c>
      <c r="C44" s="25">
        <f>CRITERIOS!D32</f>
        <v/>
      </c>
      <c r="D44" s="24">
        <f>CRITERIOS!E32</f>
        <v/>
      </c>
      <c r="E44" s="24">
        <f>IFERROR(IF(AND(OR(CRITERIOS!F32="Todos",CRITERIOS!F32=$B$4),INDEX(CRITERIOS!H32:J32,MATCH($B$5,VARIABLES!$E$2:$E$4,0))=1),1,0),0)</f>
        <v/>
      </c>
      <c r="F44" s="24">
        <f>IFERROR(IF(E44=1,INDEX(CRITERIOS!K32:M32,MATCH($B$5,VARIABLES!$E$2:$E$4,0)),0),0)</f>
        <v/>
      </c>
      <c r="G44" s="24">
        <f>IF(CRITERIOS!N32="","",CRITERIOS!N32)</f>
        <v/>
      </c>
      <c r="H44" s="24">
        <f>IF(CRITERIOS!O32="","",CRITERIOS!O32)</f>
        <v/>
      </c>
      <c r="I44" s="21" t="n"/>
      <c r="J44" s="22">
        <f>IF(OR($E44=0,I$78=0),0,IF(AND(I44="N/A",$G44&lt;&gt;""),0,$F44+SUMPRODUCT(($G$14:$G$71=$A44)*($E$14:$E$71=1)*(I$14:I$71="N/A")*$F$14:$F$71)))</f>
        <v/>
      </c>
      <c r="K44" s="22">
        <f>IF(I44="SI",J44,0)</f>
        <v/>
      </c>
      <c r="L44" s="21" t="n"/>
      <c r="M44" s="22">
        <f>IF(OR($E44=0,L$78=0),0,IF(AND(L44="N/A",$G44&lt;&gt;""),0,$F44+SUMPRODUCT(($G$14:$G$71=$A44)*($E$14:$E$71=1)*(L$14:L$71="N/A")*$F$14:$F$71)))</f>
        <v/>
      </c>
      <c r="N44" s="22">
        <f>IF(L44="SI",M44,0)</f>
        <v/>
      </c>
      <c r="O44" s="21" t="n"/>
      <c r="P44" s="22">
        <f>IF(OR($E44=0,O$78=0),0,IF(AND(O44="N/A",$G44&lt;&gt;""),0,$F44+SUMPRODUCT(($G$14:$G$71=$A44)*($E$14:$E$71=1)*(O$14:O$71="N/A")*$F$14:$F$71)))</f>
        <v/>
      </c>
      <c r="Q44" s="22">
        <f>IF(O44="SI",P44,0)</f>
        <v/>
      </c>
      <c r="R44" s="21" t="n"/>
      <c r="S44" s="22">
        <f>IF(OR($E44=0,R$78=0),0,IF(AND(R44="N/A",$G44&lt;&gt;""),0,$F44+SUMPRODUCT(($G$14:$G$71=$A44)*($E$14:$E$71=1)*(R$14:R$71="N/A")*$F$14:$F$71)))</f>
        <v/>
      </c>
      <c r="T44" s="22">
        <f>IF(R44="SI",S44,0)</f>
        <v/>
      </c>
      <c r="U44" s="21" t="n"/>
      <c r="V44" s="22">
        <f>IF(OR($E44=0,U$78=0),0,IF(AND(U44="N/A",$G44&lt;&gt;""),0,$F44+SUMPRODUCT(($G$14:$G$71=$A44)*($E$14:$E$71=1)*(U$14:U$71="N/A")*$F$14:$F$71)))</f>
        <v/>
      </c>
      <c r="W44" s="22">
        <f>IF(U44="SI",V44,0)</f>
        <v/>
      </c>
      <c r="X44" s="21" t="n"/>
      <c r="Y44" s="22">
        <f>IF(OR($E44=0,X$78=0),0,IF(AND(X44="N/A",$G44&lt;&gt;""),0,$F44+SUMPRODUCT(($G$14:$G$71=$A44)*($E$14:$E$71=1)*(X$14:X$71="N/A")*$F$14:$F$71)))</f>
        <v/>
      </c>
      <c r="Z44" s="22">
        <f>IF(X44="SI",Y44,0)</f>
        <v/>
      </c>
      <c r="AA44" s="22">
        <f>SUM(J44,M44,P44,S44,V44,Y44)</f>
        <v/>
      </c>
      <c r="AB44" s="22">
        <f>SUM(K44,N44,Q44,T44,W44,Z44)</f>
        <v/>
      </c>
      <c r="AC44" s="23">
        <f>IF(AA44=0,"",AB44/AA44)</f>
        <v/>
      </c>
      <c r="AD44" s="22">
        <f>CRITERIOS!Q32</f>
        <v/>
      </c>
      <c r="AE44" s="22">
        <f>IF(AND(E44=1,H44&lt;&gt;"X",((I44="N/A")+(L44="N/A")+(O44="N/A")+(R44="N/A")+(U44="N/A")+(X44="N/A"))&gt;0),"REVISAR","")</f>
        <v/>
      </c>
    </row>
    <row r="45">
      <c r="A45" s="22">
        <f>CRITERIOS!B33</f>
        <v/>
      </c>
      <c r="B45" s="22">
        <f>CRITERIOS!C33</f>
        <v/>
      </c>
      <c r="C45" s="8">
        <f>CRITERIOS!D33</f>
        <v/>
      </c>
      <c r="D45" s="22">
        <f>CRITERIOS!E33</f>
        <v/>
      </c>
      <c r="E45" s="22">
        <f>IFERROR(IF(AND(OR(CRITERIOS!F33="Todos",CRITERIOS!F33=$B$4),INDEX(CRITERIOS!H33:J33,MATCH($B$5,VARIABLES!$E$2:$E$4,0))=1),1,0),0)</f>
        <v/>
      </c>
      <c r="F45" s="22">
        <f>IFERROR(IF(E45=1,INDEX(CRITERIOS!K33:M33,MATCH($B$5,VARIABLES!$E$2:$E$4,0)),0),0)</f>
        <v/>
      </c>
      <c r="G45" s="22">
        <f>IF(CRITERIOS!N33="","",CRITERIOS!N33)</f>
        <v/>
      </c>
      <c r="H45" s="22">
        <f>IF(CRITERIOS!O33="","",CRITERIOS!O33)</f>
        <v/>
      </c>
      <c r="I45" s="21" t="n"/>
      <c r="J45" s="22">
        <f>IF(OR($E45=0,I$78=0),0,IF(AND(I45="N/A",$G45&lt;&gt;""),0,$F45+SUMPRODUCT(($G$14:$G$71=$A45)*($E$14:$E$71=1)*(I$14:I$71="N/A")*$F$14:$F$71)))</f>
        <v/>
      </c>
      <c r="K45" s="22">
        <f>IF(I45="SI",J45,0)</f>
        <v/>
      </c>
      <c r="L45" s="21" t="n"/>
      <c r="M45" s="22">
        <f>IF(OR($E45=0,L$78=0),0,IF(AND(L45="N/A",$G45&lt;&gt;""),0,$F45+SUMPRODUCT(($G$14:$G$71=$A45)*($E$14:$E$71=1)*(L$14:L$71="N/A")*$F$14:$F$71)))</f>
        <v/>
      </c>
      <c r="N45" s="22">
        <f>IF(L45="SI",M45,0)</f>
        <v/>
      </c>
      <c r="O45" s="21" t="n"/>
      <c r="P45" s="22">
        <f>IF(OR($E45=0,O$78=0),0,IF(AND(O45="N/A",$G45&lt;&gt;""),0,$F45+SUMPRODUCT(($G$14:$G$71=$A45)*($E$14:$E$71=1)*(O$14:O$71="N/A")*$F$14:$F$71)))</f>
        <v/>
      </c>
      <c r="Q45" s="22">
        <f>IF(O45="SI",P45,0)</f>
        <v/>
      </c>
      <c r="R45" s="21" t="n"/>
      <c r="S45" s="22">
        <f>IF(OR($E45=0,R$78=0),0,IF(AND(R45="N/A",$G45&lt;&gt;""),0,$F45+SUMPRODUCT(($G$14:$G$71=$A45)*($E$14:$E$71=1)*(R$14:R$71="N/A")*$F$14:$F$71)))</f>
        <v/>
      </c>
      <c r="T45" s="22">
        <f>IF(R45="SI",S45,0)</f>
        <v/>
      </c>
      <c r="U45" s="21" t="n"/>
      <c r="V45" s="22">
        <f>IF(OR($E45=0,U$78=0),0,IF(AND(U45="N/A",$G45&lt;&gt;""),0,$F45+SUMPRODUCT(($G$14:$G$71=$A45)*($E$14:$E$71=1)*(U$14:U$71="N/A")*$F$14:$F$71)))</f>
        <v/>
      </c>
      <c r="W45" s="22">
        <f>IF(U45="SI",V45,0)</f>
        <v/>
      </c>
      <c r="X45" s="21" t="n"/>
      <c r="Y45" s="22">
        <f>IF(OR($E45=0,X$78=0),0,IF(AND(X45="N/A",$G45&lt;&gt;""),0,$F45+SUMPRODUCT(($G$14:$G$71=$A45)*($E$14:$E$71=1)*(X$14:X$71="N/A")*$F$14:$F$71)))</f>
        <v/>
      </c>
      <c r="Z45" s="22">
        <f>IF(X45="SI",Y45,0)</f>
        <v/>
      </c>
      <c r="AA45" s="22">
        <f>SUM(J45,M45,P45,S45,V45,Y45)</f>
        <v/>
      </c>
      <c r="AB45" s="22">
        <f>SUM(K45,N45,Q45,T45,W45,Z45)</f>
        <v/>
      </c>
      <c r="AC45" s="23">
        <f>IF(AA45=0,"",AB45/AA45)</f>
        <v/>
      </c>
      <c r="AD45" s="22">
        <f>CRITERIOS!Q33</f>
        <v/>
      </c>
      <c r="AE45" s="22">
        <f>IF(AND(E45=1,H45&lt;&gt;"X",((I45="N/A")+(L45="N/A")+(O45="N/A")+(R45="N/A")+(U45="N/A")+(X45="N/A"))&gt;0),"REVISAR","")</f>
        <v/>
      </c>
    </row>
    <row r="46">
      <c r="A46" s="24">
        <f>CRITERIOS!B34</f>
        <v/>
      </c>
      <c r="B46" s="24">
        <f>CRITERIOS!C34</f>
        <v/>
      </c>
      <c r="C46" s="25">
        <f>CRITERIOS!D34</f>
        <v/>
      </c>
      <c r="D46" s="24">
        <f>CRITERIOS!E34</f>
        <v/>
      </c>
      <c r="E46" s="24">
        <f>IFERROR(IF(AND(OR(CRITERIOS!F34="Todos",CRITERIOS!F34=$B$4),INDEX(CRITERIOS!H34:J34,MATCH($B$5,VARIABLES!$E$2:$E$4,0))=1),1,0),0)</f>
        <v/>
      </c>
      <c r="F46" s="24">
        <f>IFERROR(IF(E46=1,INDEX(CRITERIOS!K34:M34,MATCH($B$5,VARIABLES!$E$2:$E$4,0)),0),0)</f>
        <v/>
      </c>
      <c r="G46" s="24">
        <f>IF(CRITERIOS!N34="","",CRITERIOS!N34)</f>
        <v/>
      </c>
      <c r="H46" s="24">
        <f>IF(CRITERIOS!O34="","",CRITERIOS!O34)</f>
        <v/>
      </c>
      <c r="I46" s="21" t="n"/>
      <c r="J46" s="22">
        <f>IF(OR($E46=0,I$78=0),0,IF(AND(I46="N/A",$G46&lt;&gt;""),0,$F46+SUMPRODUCT(($G$14:$G$71=$A46)*($E$14:$E$71=1)*(I$14:I$71="N/A")*$F$14:$F$71)))</f>
        <v/>
      </c>
      <c r="K46" s="22">
        <f>IF(I46="SI",J46,0)</f>
        <v/>
      </c>
      <c r="L46" s="21" t="n"/>
      <c r="M46" s="22">
        <f>IF(OR($E46=0,L$78=0),0,IF(AND(L46="N/A",$G46&lt;&gt;""),0,$F46+SUMPRODUCT(($G$14:$G$71=$A46)*($E$14:$E$71=1)*(L$14:L$71="N/A")*$F$14:$F$71)))</f>
        <v/>
      </c>
      <c r="N46" s="22">
        <f>IF(L46="SI",M46,0)</f>
        <v/>
      </c>
      <c r="O46" s="21" t="n"/>
      <c r="P46" s="22">
        <f>IF(OR($E46=0,O$78=0),0,IF(AND(O46="N/A",$G46&lt;&gt;""),0,$F46+SUMPRODUCT(($G$14:$G$71=$A46)*($E$14:$E$71=1)*(O$14:O$71="N/A")*$F$14:$F$71)))</f>
        <v/>
      </c>
      <c r="Q46" s="22">
        <f>IF(O46="SI",P46,0)</f>
        <v/>
      </c>
      <c r="R46" s="21" t="n"/>
      <c r="S46" s="22">
        <f>IF(OR($E46=0,R$78=0),0,IF(AND(R46="N/A",$G46&lt;&gt;""),0,$F46+SUMPRODUCT(($G$14:$G$71=$A46)*($E$14:$E$71=1)*(R$14:R$71="N/A")*$F$14:$F$71)))</f>
        <v/>
      </c>
      <c r="T46" s="22">
        <f>IF(R46="SI",S46,0)</f>
        <v/>
      </c>
      <c r="U46" s="21" t="n"/>
      <c r="V46" s="22">
        <f>IF(OR($E46=0,U$78=0),0,IF(AND(U46="N/A",$G46&lt;&gt;""),0,$F46+SUMPRODUCT(($G$14:$G$71=$A46)*($E$14:$E$71=1)*(U$14:U$71="N/A")*$F$14:$F$71)))</f>
        <v/>
      </c>
      <c r="W46" s="22">
        <f>IF(U46="SI",V46,0)</f>
        <v/>
      </c>
      <c r="X46" s="21" t="n"/>
      <c r="Y46" s="22">
        <f>IF(OR($E46=0,X$78=0),0,IF(AND(X46="N/A",$G46&lt;&gt;""),0,$F46+SUMPRODUCT(($G$14:$G$71=$A46)*($E$14:$E$71=1)*(X$14:X$71="N/A")*$F$14:$F$71)))</f>
        <v/>
      </c>
      <c r="Z46" s="22">
        <f>IF(X46="SI",Y46,0)</f>
        <v/>
      </c>
      <c r="AA46" s="22">
        <f>SUM(J46,M46,P46,S46,V46,Y46)</f>
        <v/>
      </c>
      <c r="AB46" s="22">
        <f>SUM(K46,N46,Q46,T46,W46,Z46)</f>
        <v/>
      </c>
      <c r="AC46" s="23">
        <f>IF(AA46=0,"",AB46/AA46)</f>
        <v/>
      </c>
      <c r="AD46" s="22">
        <f>CRITERIOS!Q34</f>
        <v/>
      </c>
      <c r="AE46" s="22">
        <f>IF(AND(E46=1,H46&lt;&gt;"X",((I46="N/A")+(L46="N/A")+(O46="N/A")+(R46="N/A")+(U46="N/A")+(X46="N/A"))&gt;0),"REVISAR","")</f>
        <v/>
      </c>
    </row>
    <row r="47">
      <c r="A47" s="22">
        <f>CRITERIOS!B35</f>
        <v/>
      </c>
      <c r="B47" s="22">
        <f>CRITERIOS!C35</f>
        <v/>
      </c>
      <c r="C47" s="8">
        <f>CRITERIOS!D35</f>
        <v/>
      </c>
      <c r="D47" s="22">
        <f>CRITERIOS!E35</f>
        <v/>
      </c>
      <c r="E47" s="22">
        <f>IFERROR(IF(AND(OR(CRITERIOS!F35="Todos",CRITERIOS!F35=$B$4),INDEX(CRITERIOS!H35:J35,MATCH($B$5,VARIABLES!$E$2:$E$4,0))=1),1,0),0)</f>
        <v/>
      </c>
      <c r="F47" s="22">
        <f>IFERROR(IF(E47=1,INDEX(CRITERIOS!K35:M35,MATCH($B$5,VARIABLES!$E$2:$E$4,0)),0),0)</f>
        <v/>
      </c>
      <c r="G47" s="22">
        <f>IF(CRITERIOS!N35="","",CRITERIOS!N35)</f>
        <v/>
      </c>
      <c r="H47" s="22">
        <f>IF(CRITERIOS!O35="","",CRITERIOS!O35)</f>
        <v/>
      </c>
      <c r="I47" s="21" t="n"/>
      <c r="J47" s="22">
        <f>IF(OR($E47=0,I$78=0),0,IF(AND(I47="N/A",$G47&lt;&gt;""),0,$F47+SUMPRODUCT(($G$14:$G$71=$A47)*($E$14:$E$71=1)*(I$14:I$71="N/A")*$F$14:$F$71)))</f>
        <v/>
      </c>
      <c r="K47" s="22">
        <f>IF(I47="SI",J47,0)</f>
        <v/>
      </c>
      <c r="L47" s="21" t="n"/>
      <c r="M47" s="22">
        <f>IF(OR($E47=0,L$78=0),0,IF(AND(L47="N/A",$G47&lt;&gt;""),0,$F47+SUMPRODUCT(($G$14:$G$71=$A47)*($E$14:$E$71=1)*(L$14:L$71="N/A")*$F$14:$F$71)))</f>
        <v/>
      </c>
      <c r="N47" s="22">
        <f>IF(L47="SI",M47,0)</f>
        <v/>
      </c>
      <c r="O47" s="21" t="n"/>
      <c r="P47" s="22">
        <f>IF(OR($E47=0,O$78=0),0,IF(AND(O47="N/A",$G47&lt;&gt;""),0,$F47+SUMPRODUCT(($G$14:$G$71=$A47)*($E$14:$E$71=1)*(O$14:O$71="N/A")*$F$14:$F$71)))</f>
        <v/>
      </c>
      <c r="Q47" s="22">
        <f>IF(O47="SI",P47,0)</f>
        <v/>
      </c>
      <c r="R47" s="21" t="n"/>
      <c r="S47" s="22">
        <f>IF(OR($E47=0,R$78=0),0,IF(AND(R47="N/A",$G47&lt;&gt;""),0,$F47+SUMPRODUCT(($G$14:$G$71=$A47)*($E$14:$E$71=1)*(R$14:R$71="N/A")*$F$14:$F$71)))</f>
        <v/>
      </c>
      <c r="T47" s="22">
        <f>IF(R47="SI",S47,0)</f>
        <v/>
      </c>
      <c r="U47" s="21" t="n"/>
      <c r="V47" s="22">
        <f>IF(OR($E47=0,U$78=0),0,IF(AND(U47="N/A",$G47&lt;&gt;""),0,$F47+SUMPRODUCT(($G$14:$G$71=$A47)*($E$14:$E$71=1)*(U$14:U$71="N/A")*$F$14:$F$71)))</f>
        <v/>
      </c>
      <c r="W47" s="22">
        <f>IF(U47="SI",V47,0)</f>
        <v/>
      </c>
      <c r="X47" s="21" t="n"/>
      <c r="Y47" s="22">
        <f>IF(OR($E47=0,X$78=0),0,IF(AND(X47="N/A",$G47&lt;&gt;""),0,$F47+SUMPRODUCT(($G$14:$G$71=$A47)*($E$14:$E$71=1)*(X$14:X$71="N/A")*$F$14:$F$71)))</f>
        <v/>
      </c>
      <c r="Z47" s="22">
        <f>IF(X47="SI",Y47,0)</f>
        <v/>
      </c>
      <c r="AA47" s="22">
        <f>SUM(J47,M47,P47,S47,V47,Y47)</f>
        <v/>
      </c>
      <c r="AB47" s="22">
        <f>SUM(K47,N47,Q47,T47,W47,Z47)</f>
        <v/>
      </c>
      <c r="AC47" s="23">
        <f>IF(AA47=0,"",AB47/AA47)</f>
        <v/>
      </c>
      <c r="AD47" s="22">
        <f>CRITERIOS!Q35</f>
        <v/>
      </c>
      <c r="AE47" s="22">
        <f>IF(AND(E47=1,H47&lt;&gt;"X",((I47="N/A")+(L47="N/A")+(O47="N/A")+(R47="N/A")+(U47="N/A")+(X47="N/A"))&gt;0),"REVISAR","")</f>
        <v/>
      </c>
    </row>
    <row r="48">
      <c r="A48" s="24">
        <f>CRITERIOS!B36</f>
        <v/>
      </c>
      <c r="B48" s="24">
        <f>CRITERIOS!C36</f>
        <v/>
      </c>
      <c r="C48" s="25">
        <f>CRITERIOS!D36</f>
        <v/>
      </c>
      <c r="D48" s="24">
        <f>CRITERIOS!E36</f>
        <v/>
      </c>
      <c r="E48" s="24">
        <f>IFERROR(IF(AND(OR(CRITERIOS!F36="Todos",CRITERIOS!F36=$B$4),INDEX(CRITERIOS!H36:J36,MATCH($B$5,VARIABLES!$E$2:$E$4,0))=1),1,0),0)</f>
        <v/>
      </c>
      <c r="F48" s="24">
        <f>IFERROR(IF(E48=1,INDEX(CRITERIOS!K36:M36,MATCH($B$5,VARIABLES!$E$2:$E$4,0)),0),0)</f>
        <v/>
      </c>
      <c r="G48" s="24">
        <f>IF(CRITERIOS!N36="","",CRITERIOS!N36)</f>
        <v/>
      </c>
      <c r="H48" s="24">
        <f>IF(CRITERIOS!O36="","",CRITERIOS!O36)</f>
        <v/>
      </c>
      <c r="I48" s="21" t="n"/>
      <c r="J48" s="22">
        <f>IF(OR($E48=0,I$78=0),0,IF(AND(I48="N/A",$G48&lt;&gt;""),0,$F48+SUMPRODUCT(($G$14:$G$71=$A48)*($E$14:$E$71=1)*(I$14:I$71="N/A")*$F$14:$F$71)))</f>
        <v/>
      </c>
      <c r="K48" s="22">
        <f>IF(I48="SI",J48,0)</f>
        <v/>
      </c>
      <c r="L48" s="21" t="n"/>
      <c r="M48" s="22">
        <f>IF(OR($E48=0,L$78=0),0,IF(AND(L48="N/A",$G48&lt;&gt;""),0,$F48+SUMPRODUCT(($G$14:$G$71=$A48)*($E$14:$E$71=1)*(L$14:L$71="N/A")*$F$14:$F$71)))</f>
        <v/>
      </c>
      <c r="N48" s="22">
        <f>IF(L48="SI",M48,0)</f>
        <v/>
      </c>
      <c r="O48" s="21" t="n"/>
      <c r="P48" s="22">
        <f>IF(OR($E48=0,O$78=0),0,IF(AND(O48="N/A",$G48&lt;&gt;""),0,$F48+SUMPRODUCT(($G$14:$G$71=$A48)*($E$14:$E$71=1)*(O$14:O$71="N/A")*$F$14:$F$71)))</f>
        <v/>
      </c>
      <c r="Q48" s="22">
        <f>IF(O48="SI",P48,0)</f>
        <v/>
      </c>
      <c r="R48" s="21" t="n"/>
      <c r="S48" s="22">
        <f>IF(OR($E48=0,R$78=0),0,IF(AND(R48="N/A",$G48&lt;&gt;""),0,$F48+SUMPRODUCT(($G$14:$G$71=$A48)*($E$14:$E$71=1)*(R$14:R$71="N/A")*$F$14:$F$71)))</f>
        <v/>
      </c>
      <c r="T48" s="22">
        <f>IF(R48="SI",S48,0)</f>
        <v/>
      </c>
      <c r="U48" s="21" t="n"/>
      <c r="V48" s="22">
        <f>IF(OR($E48=0,U$78=0),0,IF(AND(U48="N/A",$G48&lt;&gt;""),0,$F48+SUMPRODUCT(($G$14:$G$71=$A48)*($E$14:$E$71=1)*(U$14:U$71="N/A")*$F$14:$F$71)))</f>
        <v/>
      </c>
      <c r="W48" s="22">
        <f>IF(U48="SI",V48,0)</f>
        <v/>
      </c>
      <c r="X48" s="21" t="n"/>
      <c r="Y48" s="22">
        <f>IF(OR($E48=0,X$78=0),0,IF(AND(X48="N/A",$G48&lt;&gt;""),0,$F48+SUMPRODUCT(($G$14:$G$71=$A48)*($E$14:$E$71=1)*(X$14:X$71="N/A")*$F$14:$F$71)))</f>
        <v/>
      </c>
      <c r="Z48" s="22">
        <f>IF(X48="SI",Y48,0)</f>
        <v/>
      </c>
      <c r="AA48" s="22">
        <f>SUM(J48,M48,P48,S48,V48,Y48)</f>
        <v/>
      </c>
      <c r="AB48" s="22">
        <f>SUM(K48,N48,Q48,T48,W48,Z48)</f>
        <v/>
      </c>
      <c r="AC48" s="23">
        <f>IF(AA48=0,"",AB48/AA48)</f>
        <v/>
      </c>
      <c r="AD48" s="22">
        <f>CRITERIOS!Q36</f>
        <v/>
      </c>
      <c r="AE48" s="22">
        <f>IF(AND(E48=1,H48&lt;&gt;"X",((I48="N/A")+(L48="N/A")+(O48="N/A")+(R48="N/A")+(U48="N/A")+(X48="N/A"))&gt;0),"REVISAR","")</f>
        <v/>
      </c>
    </row>
    <row r="49">
      <c r="A49" s="24">
        <f>CRITERIOS!B37</f>
        <v/>
      </c>
      <c r="B49" s="24">
        <f>CRITERIOS!C37</f>
        <v/>
      </c>
      <c r="C49" s="25">
        <f>CRITERIOS!D37</f>
        <v/>
      </c>
      <c r="D49" s="24">
        <f>CRITERIOS!E37</f>
        <v/>
      </c>
      <c r="E49" s="24">
        <f>IFERROR(IF(AND(OR(CRITERIOS!F37="Todos",CRITERIOS!F37=$B$4),INDEX(CRITERIOS!H37:J37,MATCH($B$5,VARIABLES!$E$2:$E$4,0))=1),1,0),0)</f>
        <v/>
      </c>
      <c r="F49" s="24">
        <f>IFERROR(IF(E49=1,INDEX(CRITERIOS!K37:M37,MATCH($B$5,VARIABLES!$E$2:$E$4,0)),0),0)</f>
        <v/>
      </c>
      <c r="G49" s="24">
        <f>IF(CRITERIOS!N37="","",CRITERIOS!N37)</f>
        <v/>
      </c>
      <c r="H49" s="24">
        <f>IF(CRITERIOS!O37="","",CRITERIOS!O37)</f>
        <v/>
      </c>
      <c r="I49" s="21" t="n"/>
      <c r="J49" s="22">
        <f>IF(OR($E49=0,I$78=0),0,IF(AND(I49="N/A",$G49&lt;&gt;""),0,$F49+SUMPRODUCT(($G$14:$G$71=$A49)*($E$14:$E$71=1)*(I$14:I$71="N/A")*$F$14:$F$71)))</f>
        <v/>
      </c>
      <c r="K49" s="22">
        <f>IF(I49="SI",J49,0)</f>
        <v/>
      </c>
      <c r="L49" s="21" t="n"/>
      <c r="M49" s="22">
        <f>IF(OR($E49=0,L$78=0),0,IF(AND(L49="N/A",$G49&lt;&gt;""),0,$F49+SUMPRODUCT(($G$14:$G$71=$A49)*($E$14:$E$71=1)*(L$14:L$71="N/A")*$F$14:$F$71)))</f>
        <v/>
      </c>
      <c r="N49" s="22">
        <f>IF(L49="SI",M49,0)</f>
        <v/>
      </c>
      <c r="O49" s="21" t="n"/>
      <c r="P49" s="22">
        <f>IF(OR($E49=0,O$78=0),0,IF(AND(O49="N/A",$G49&lt;&gt;""),0,$F49+SUMPRODUCT(($G$14:$G$71=$A49)*($E$14:$E$71=1)*(O$14:O$71="N/A")*$F$14:$F$71)))</f>
        <v/>
      </c>
      <c r="Q49" s="22">
        <f>IF(O49="SI",P49,0)</f>
        <v/>
      </c>
      <c r="R49" s="21" t="n"/>
      <c r="S49" s="22">
        <f>IF(OR($E49=0,R$78=0),0,IF(AND(R49="N/A",$G49&lt;&gt;""),0,$F49+SUMPRODUCT(($G$14:$G$71=$A49)*($E$14:$E$71=1)*(R$14:R$71="N/A")*$F$14:$F$71)))</f>
        <v/>
      </c>
      <c r="T49" s="22">
        <f>IF(R49="SI",S49,0)</f>
        <v/>
      </c>
      <c r="U49" s="21" t="n"/>
      <c r="V49" s="22">
        <f>IF(OR($E49=0,U$78=0),0,IF(AND(U49="N/A",$G49&lt;&gt;""),0,$F49+SUMPRODUCT(($G$14:$G$71=$A49)*($E$14:$E$71=1)*(U$14:U$71="N/A")*$F$14:$F$71)))</f>
        <v/>
      </c>
      <c r="W49" s="22">
        <f>IF(U49="SI",V49,0)</f>
        <v/>
      </c>
      <c r="X49" s="21" t="n"/>
      <c r="Y49" s="22">
        <f>IF(OR($E49=0,X$78=0),0,IF(AND(X49="N/A",$G49&lt;&gt;""),0,$F49+SUMPRODUCT(($G$14:$G$71=$A49)*($E$14:$E$71=1)*(X$14:X$71="N/A")*$F$14:$F$71)))</f>
        <v/>
      </c>
      <c r="Z49" s="22">
        <f>IF(X49="SI",Y49,0)</f>
        <v/>
      </c>
      <c r="AA49" s="22">
        <f>SUM(J49,M49,P49,S49,V49,Y49)</f>
        <v/>
      </c>
      <c r="AB49" s="22">
        <f>SUM(K49,N49,Q49,T49,W49,Z49)</f>
        <v/>
      </c>
      <c r="AC49" s="23">
        <f>IF(AA49=0,"",AB49/AA49)</f>
        <v/>
      </c>
      <c r="AD49" s="22">
        <f>CRITERIOS!Q37</f>
        <v/>
      </c>
      <c r="AE49" s="22">
        <f>IF(AND(E49=1,H49&lt;&gt;"X",((I49="N/A")+(L49="N/A")+(O49="N/A")+(R49="N/A")+(U49="N/A")+(X49="N/A"))&gt;0),"REVISAR","")</f>
        <v/>
      </c>
    </row>
    <row r="50">
      <c r="A50" s="24">
        <f>CRITERIOS!B38</f>
        <v/>
      </c>
      <c r="B50" s="24">
        <f>CRITERIOS!C38</f>
        <v/>
      </c>
      <c r="C50" s="25">
        <f>CRITERIOS!D38</f>
        <v/>
      </c>
      <c r="D50" s="24">
        <f>CRITERIOS!E38</f>
        <v/>
      </c>
      <c r="E50" s="24">
        <f>IFERROR(IF(AND(OR(CRITERIOS!F38="Todos",CRITERIOS!F38=$B$4),INDEX(CRITERIOS!H38:J38,MATCH($B$5,VARIABLES!$E$2:$E$4,0))=1),1,0),0)</f>
        <v/>
      </c>
      <c r="F50" s="24">
        <f>IFERROR(IF(E50=1,INDEX(CRITERIOS!K38:M38,MATCH($B$5,VARIABLES!$E$2:$E$4,0)),0),0)</f>
        <v/>
      </c>
      <c r="G50" s="24">
        <f>IF(CRITERIOS!N38="","",CRITERIOS!N38)</f>
        <v/>
      </c>
      <c r="H50" s="24">
        <f>IF(CRITERIOS!O38="","",CRITERIOS!O38)</f>
        <v/>
      </c>
      <c r="I50" s="21" t="n"/>
      <c r="J50" s="22">
        <f>IF(OR($E50=0,I$78=0),0,IF(AND(I50="N/A",$G50&lt;&gt;""),0,$F50+SUMPRODUCT(($G$14:$G$71=$A50)*($E$14:$E$71=1)*(I$14:I$71="N/A")*$F$14:$F$71)))</f>
        <v/>
      </c>
      <c r="K50" s="22">
        <f>IF(I50="SI",J50,0)</f>
        <v/>
      </c>
      <c r="L50" s="21" t="n"/>
      <c r="M50" s="22">
        <f>IF(OR($E50=0,L$78=0),0,IF(AND(L50="N/A",$G50&lt;&gt;""),0,$F50+SUMPRODUCT(($G$14:$G$71=$A50)*($E$14:$E$71=1)*(L$14:L$71="N/A")*$F$14:$F$71)))</f>
        <v/>
      </c>
      <c r="N50" s="22">
        <f>IF(L50="SI",M50,0)</f>
        <v/>
      </c>
      <c r="O50" s="21" t="n"/>
      <c r="P50" s="22">
        <f>IF(OR($E50=0,O$78=0),0,IF(AND(O50="N/A",$G50&lt;&gt;""),0,$F50+SUMPRODUCT(($G$14:$G$71=$A50)*($E$14:$E$71=1)*(O$14:O$71="N/A")*$F$14:$F$71)))</f>
        <v/>
      </c>
      <c r="Q50" s="22">
        <f>IF(O50="SI",P50,0)</f>
        <v/>
      </c>
      <c r="R50" s="21" t="n"/>
      <c r="S50" s="22">
        <f>IF(OR($E50=0,R$78=0),0,IF(AND(R50="N/A",$G50&lt;&gt;""),0,$F50+SUMPRODUCT(($G$14:$G$71=$A50)*($E$14:$E$71=1)*(R$14:R$71="N/A")*$F$14:$F$71)))</f>
        <v/>
      </c>
      <c r="T50" s="22">
        <f>IF(R50="SI",S50,0)</f>
        <v/>
      </c>
      <c r="U50" s="21" t="n"/>
      <c r="V50" s="22">
        <f>IF(OR($E50=0,U$78=0),0,IF(AND(U50="N/A",$G50&lt;&gt;""),0,$F50+SUMPRODUCT(($G$14:$G$71=$A50)*($E$14:$E$71=1)*(U$14:U$71="N/A")*$F$14:$F$71)))</f>
        <v/>
      </c>
      <c r="W50" s="22">
        <f>IF(U50="SI",V50,0)</f>
        <v/>
      </c>
      <c r="X50" s="21" t="n"/>
      <c r="Y50" s="22">
        <f>IF(OR($E50=0,X$78=0),0,IF(AND(X50="N/A",$G50&lt;&gt;""),0,$F50+SUMPRODUCT(($G$14:$G$71=$A50)*($E$14:$E$71=1)*(X$14:X$71="N/A")*$F$14:$F$71)))</f>
        <v/>
      </c>
      <c r="Z50" s="22">
        <f>IF(X50="SI",Y50,0)</f>
        <v/>
      </c>
      <c r="AA50" s="22">
        <f>SUM(J50,M50,P50,S50,V50,Y50)</f>
        <v/>
      </c>
      <c r="AB50" s="22">
        <f>SUM(K50,N50,Q50,T50,W50,Z50)</f>
        <v/>
      </c>
      <c r="AC50" s="23">
        <f>IF(AA50=0,"",AB50/AA50)</f>
        <v/>
      </c>
      <c r="AD50" s="22">
        <f>CRITERIOS!Q38</f>
        <v/>
      </c>
      <c r="AE50" s="22">
        <f>IF(AND(E50=1,H50&lt;&gt;"X",((I50="N/A")+(L50="N/A")+(O50="N/A")+(R50="N/A")+(U50="N/A")+(X50="N/A"))&gt;0),"REVISAR","")</f>
        <v/>
      </c>
    </row>
    <row r="51">
      <c r="A51" s="24">
        <f>CRITERIOS!B39</f>
        <v/>
      </c>
      <c r="B51" s="24">
        <f>CRITERIOS!C39</f>
        <v/>
      </c>
      <c r="C51" s="25">
        <f>CRITERIOS!D39</f>
        <v/>
      </c>
      <c r="D51" s="24">
        <f>CRITERIOS!E39</f>
        <v/>
      </c>
      <c r="E51" s="24">
        <f>IFERROR(IF(AND(OR(CRITERIOS!F39="Todos",CRITERIOS!F39=$B$4),INDEX(CRITERIOS!H39:J39,MATCH($B$5,VARIABLES!$E$2:$E$4,0))=1),1,0),0)</f>
        <v/>
      </c>
      <c r="F51" s="24">
        <f>IFERROR(IF(E51=1,INDEX(CRITERIOS!K39:M39,MATCH($B$5,VARIABLES!$E$2:$E$4,0)),0),0)</f>
        <v/>
      </c>
      <c r="G51" s="24">
        <f>IF(CRITERIOS!N39="","",CRITERIOS!N39)</f>
        <v/>
      </c>
      <c r="H51" s="24">
        <f>IF(CRITERIOS!O39="","",CRITERIOS!O39)</f>
        <v/>
      </c>
      <c r="I51" s="21" t="n"/>
      <c r="J51" s="22">
        <f>IF(OR($E51=0,I$78=0),0,IF(AND(I51="N/A",$G51&lt;&gt;""),0,$F51+SUMPRODUCT(($G$14:$G$71=$A51)*($E$14:$E$71=1)*(I$14:I$71="N/A")*$F$14:$F$71)))</f>
        <v/>
      </c>
      <c r="K51" s="22">
        <f>IF(I51="SI",J51,0)</f>
        <v/>
      </c>
      <c r="L51" s="21" t="n"/>
      <c r="M51" s="22">
        <f>IF(OR($E51=0,L$78=0),0,IF(AND(L51="N/A",$G51&lt;&gt;""),0,$F51+SUMPRODUCT(($G$14:$G$71=$A51)*($E$14:$E$71=1)*(L$14:L$71="N/A")*$F$14:$F$71)))</f>
        <v/>
      </c>
      <c r="N51" s="22">
        <f>IF(L51="SI",M51,0)</f>
        <v/>
      </c>
      <c r="O51" s="21" t="n"/>
      <c r="P51" s="22">
        <f>IF(OR($E51=0,O$78=0),0,IF(AND(O51="N/A",$G51&lt;&gt;""),0,$F51+SUMPRODUCT(($G$14:$G$71=$A51)*($E$14:$E$71=1)*(O$14:O$71="N/A")*$F$14:$F$71)))</f>
        <v/>
      </c>
      <c r="Q51" s="22">
        <f>IF(O51="SI",P51,0)</f>
        <v/>
      </c>
      <c r="R51" s="21" t="n"/>
      <c r="S51" s="22">
        <f>IF(OR($E51=0,R$78=0),0,IF(AND(R51="N/A",$G51&lt;&gt;""),0,$F51+SUMPRODUCT(($G$14:$G$71=$A51)*($E$14:$E$71=1)*(R$14:R$71="N/A")*$F$14:$F$71)))</f>
        <v/>
      </c>
      <c r="T51" s="22">
        <f>IF(R51="SI",S51,0)</f>
        <v/>
      </c>
      <c r="U51" s="21" t="n"/>
      <c r="V51" s="22">
        <f>IF(OR($E51=0,U$78=0),0,IF(AND(U51="N/A",$G51&lt;&gt;""),0,$F51+SUMPRODUCT(($G$14:$G$71=$A51)*($E$14:$E$71=1)*(U$14:U$71="N/A")*$F$14:$F$71)))</f>
        <v/>
      </c>
      <c r="W51" s="22">
        <f>IF(U51="SI",V51,0)</f>
        <v/>
      </c>
      <c r="X51" s="21" t="n"/>
      <c r="Y51" s="22">
        <f>IF(OR($E51=0,X$78=0),0,IF(AND(X51="N/A",$G51&lt;&gt;""),0,$F51+SUMPRODUCT(($G$14:$G$71=$A51)*($E$14:$E$71=1)*(X$14:X$71="N/A")*$F$14:$F$71)))</f>
        <v/>
      </c>
      <c r="Z51" s="22">
        <f>IF(X51="SI",Y51,0)</f>
        <v/>
      </c>
      <c r="AA51" s="22">
        <f>SUM(J51,M51,P51,S51,V51,Y51)</f>
        <v/>
      </c>
      <c r="AB51" s="22">
        <f>SUM(K51,N51,Q51,T51,W51,Z51)</f>
        <v/>
      </c>
      <c r="AC51" s="23">
        <f>IF(AA51=0,"",AB51/AA51)</f>
        <v/>
      </c>
      <c r="AD51" s="22">
        <f>CRITERIOS!Q39</f>
        <v/>
      </c>
      <c r="AE51" s="22">
        <f>IF(AND(E51=1,H51&lt;&gt;"X",((I51="N/A")+(L51="N/A")+(O51="N/A")+(R51="N/A")+(U51="N/A")+(X51="N/A"))&gt;0),"REVISAR","")</f>
        <v/>
      </c>
    </row>
    <row r="52">
      <c r="A52" s="24">
        <f>CRITERIOS!B40</f>
        <v/>
      </c>
      <c r="B52" s="24">
        <f>CRITERIOS!C40</f>
        <v/>
      </c>
      <c r="C52" s="25">
        <f>CRITERIOS!D40</f>
        <v/>
      </c>
      <c r="D52" s="24">
        <f>CRITERIOS!E40</f>
        <v/>
      </c>
      <c r="E52" s="24">
        <f>IFERROR(IF(AND(OR(CRITERIOS!F40="Todos",CRITERIOS!F40=$B$4),INDEX(CRITERIOS!H40:J40,MATCH($B$5,VARIABLES!$E$2:$E$4,0))=1),1,0),0)</f>
        <v/>
      </c>
      <c r="F52" s="24">
        <f>IFERROR(IF(E52=1,INDEX(CRITERIOS!K40:M40,MATCH($B$5,VARIABLES!$E$2:$E$4,0)),0),0)</f>
        <v/>
      </c>
      <c r="G52" s="24">
        <f>IF(CRITERIOS!N40="","",CRITERIOS!N40)</f>
        <v/>
      </c>
      <c r="H52" s="24">
        <f>IF(CRITERIOS!O40="","",CRITERIOS!O40)</f>
        <v/>
      </c>
      <c r="I52" s="21" t="n"/>
      <c r="J52" s="22">
        <f>IF(OR($E52=0,I$78=0),0,IF(AND(I52="N/A",$G52&lt;&gt;""),0,$F52+SUMPRODUCT(($G$14:$G$71=$A52)*($E$14:$E$71=1)*(I$14:I$71="N/A")*$F$14:$F$71)))</f>
        <v/>
      </c>
      <c r="K52" s="22">
        <f>IF(I52="SI",J52,0)</f>
        <v/>
      </c>
      <c r="L52" s="21" t="n"/>
      <c r="M52" s="22">
        <f>IF(OR($E52=0,L$78=0),0,IF(AND(L52="N/A",$G52&lt;&gt;""),0,$F52+SUMPRODUCT(($G$14:$G$71=$A52)*($E$14:$E$71=1)*(L$14:L$71="N/A")*$F$14:$F$71)))</f>
        <v/>
      </c>
      <c r="N52" s="22">
        <f>IF(L52="SI",M52,0)</f>
        <v/>
      </c>
      <c r="O52" s="21" t="n"/>
      <c r="P52" s="22">
        <f>IF(OR($E52=0,O$78=0),0,IF(AND(O52="N/A",$G52&lt;&gt;""),0,$F52+SUMPRODUCT(($G$14:$G$71=$A52)*($E$14:$E$71=1)*(O$14:O$71="N/A")*$F$14:$F$71)))</f>
        <v/>
      </c>
      <c r="Q52" s="22">
        <f>IF(O52="SI",P52,0)</f>
        <v/>
      </c>
      <c r="R52" s="21" t="n"/>
      <c r="S52" s="22">
        <f>IF(OR($E52=0,R$78=0),0,IF(AND(R52="N/A",$G52&lt;&gt;""),0,$F52+SUMPRODUCT(($G$14:$G$71=$A52)*($E$14:$E$71=1)*(R$14:R$71="N/A")*$F$14:$F$71)))</f>
        <v/>
      </c>
      <c r="T52" s="22">
        <f>IF(R52="SI",S52,0)</f>
        <v/>
      </c>
      <c r="U52" s="21" t="n"/>
      <c r="V52" s="22">
        <f>IF(OR($E52=0,U$78=0),0,IF(AND(U52="N/A",$G52&lt;&gt;""),0,$F52+SUMPRODUCT(($G$14:$G$71=$A52)*($E$14:$E$71=1)*(U$14:U$71="N/A")*$F$14:$F$71)))</f>
        <v/>
      </c>
      <c r="W52" s="22">
        <f>IF(U52="SI",V52,0)</f>
        <v/>
      </c>
      <c r="X52" s="21" t="n"/>
      <c r="Y52" s="22">
        <f>IF(OR($E52=0,X$78=0),0,IF(AND(X52="N/A",$G52&lt;&gt;""),0,$F52+SUMPRODUCT(($G$14:$G$71=$A52)*($E$14:$E$71=1)*(X$14:X$71="N/A")*$F$14:$F$71)))</f>
        <v/>
      </c>
      <c r="Z52" s="22">
        <f>IF(X52="SI",Y52,0)</f>
        <v/>
      </c>
      <c r="AA52" s="22">
        <f>SUM(J52,M52,P52,S52,V52,Y52)</f>
        <v/>
      </c>
      <c r="AB52" s="22">
        <f>SUM(K52,N52,Q52,T52,W52,Z52)</f>
        <v/>
      </c>
      <c r="AC52" s="23">
        <f>IF(AA52=0,"",AB52/AA52)</f>
        <v/>
      </c>
      <c r="AD52" s="22">
        <f>CRITERIOS!Q40</f>
        <v/>
      </c>
      <c r="AE52" s="22">
        <f>IF(AND(E52=1,H52&lt;&gt;"X",((I52="N/A")+(L52="N/A")+(O52="N/A")+(R52="N/A")+(U52="N/A")+(X52="N/A"))&gt;0),"REVISAR","")</f>
        <v/>
      </c>
    </row>
    <row r="53">
      <c r="A53" s="22">
        <f>CRITERIOS!B41</f>
        <v/>
      </c>
      <c r="B53" s="22">
        <f>CRITERIOS!C41</f>
        <v/>
      </c>
      <c r="C53" s="8">
        <f>CRITERIOS!D41</f>
        <v/>
      </c>
      <c r="D53" s="22">
        <f>CRITERIOS!E41</f>
        <v/>
      </c>
      <c r="E53" s="22">
        <f>IFERROR(IF(AND(OR(CRITERIOS!F41="Todos",CRITERIOS!F41=$B$4),INDEX(CRITERIOS!H41:J41,MATCH($B$5,VARIABLES!$E$2:$E$4,0))=1),1,0),0)</f>
        <v/>
      </c>
      <c r="F53" s="22">
        <f>IFERROR(IF(E53=1,INDEX(CRITERIOS!K41:M41,MATCH($B$5,VARIABLES!$E$2:$E$4,0)),0),0)</f>
        <v/>
      </c>
      <c r="G53" s="22">
        <f>IF(CRITERIOS!N41="","",CRITERIOS!N41)</f>
        <v/>
      </c>
      <c r="H53" s="22">
        <f>IF(CRITERIOS!O41="","",CRITERIOS!O41)</f>
        <v/>
      </c>
      <c r="I53" s="21" t="n"/>
      <c r="J53" s="22">
        <f>IF(OR($E53=0,I$78=0),0,IF(AND(I53="N/A",$G53&lt;&gt;""),0,$F53+SUMPRODUCT(($G$14:$G$71=$A53)*($E$14:$E$71=1)*(I$14:I$71="N/A")*$F$14:$F$71)))</f>
        <v/>
      </c>
      <c r="K53" s="22">
        <f>IF(I53="SI",J53,0)</f>
        <v/>
      </c>
      <c r="L53" s="21" t="n"/>
      <c r="M53" s="22">
        <f>IF(OR($E53=0,L$78=0),0,IF(AND(L53="N/A",$G53&lt;&gt;""),0,$F53+SUMPRODUCT(($G$14:$G$71=$A53)*($E$14:$E$71=1)*(L$14:L$71="N/A")*$F$14:$F$71)))</f>
        <v/>
      </c>
      <c r="N53" s="22">
        <f>IF(L53="SI",M53,0)</f>
        <v/>
      </c>
      <c r="O53" s="21" t="n"/>
      <c r="P53" s="22">
        <f>IF(OR($E53=0,O$78=0),0,IF(AND(O53="N/A",$G53&lt;&gt;""),0,$F53+SUMPRODUCT(($G$14:$G$71=$A53)*($E$14:$E$71=1)*(O$14:O$71="N/A")*$F$14:$F$71)))</f>
        <v/>
      </c>
      <c r="Q53" s="22">
        <f>IF(O53="SI",P53,0)</f>
        <v/>
      </c>
      <c r="R53" s="21" t="n"/>
      <c r="S53" s="22">
        <f>IF(OR($E53=0,R$78=0),0,IF(AND(R53="N/A",$G53&lt;&gt;""),0,$F53+SUMPRODUCT(($G$14:$G$71=$A53)*($E$14:$E$71=1)*(R$14:R$71="N/A")*$F$14:$F$71)))</f>
        <v/>
      </c>
      <c r="T53" s="22">
        <f>IF(R53="SI",S53,0)</f>
        <v/>
      </c>
      <c r="U53" s="21" t="n"/>
      <c r="V53" s="22">
        <f>IF(OR($E53=0,U$78=0),0,IF(AND(U53="N/A",$G53&lt;&gt;""),0,$F53+SUMPRODUCT(($G$14:$G$71=$A53)*($E$14:$E$71=1)*(U$14:U$71="N/A")*$F$14:$F$71)))</f>
        <v/>
      </c>
      <c r="W53" s="22">
        <f>IF(U53="SI",V53,0)</f>
        <v/>
      </c>
      <c r="X53" s="21" t="n"/>
      <c r="Y53" s="22">
        <f>IF(OR($E53=0,X$78=0),0,IF(AND(X53="N/A",$G53&lt;&gt;""),0,$F53+SUMPRODUCT(($G$14:$G$71=$A53)*($E$14:$E$71=1)*(X$14:X$71="N/A")*$F$14:$F$71)))</f>
        <v/>
      </c>
      <c r="Z53" s="22">
        <f>IF(X53="SI",Y53,0)</f>
        <v/>
      </c>
      <c r="AA53" s="22">
        <f>SUM(J53,M53,P53,S53,V53,Y53)</f>
        <v/>
      </c>
      <c r="AB53" s="22">
        <f>SUM(K53,N53,Q53,T53,W53,Z53)</f>
        <v/>
      </c>
      <c r="AC53" s="23">
        <f>IF(AA53=0,"",AB53/AA53)</f>
        <v/>
      </c>
      <c r="AD53" s="22">
        <f>CRITERIOS!Q41</f>
        <v/>
      </c>
      <c r="AE53" s="22">
        <f>IF(AND(E53=1,H53&lt;&gt;"X",((I53="N/A")+(L53="N/A")+(O53="N/A")+(R53="N/A")+(U53="N/A")+(X53="N/A"))&gt;0),"REVISAR","")</f>
        <v/>
      </c>
    </row>
    <row r="54">
      <c r="A54" s="22">
        <f>CRITERIOS!B42</f>
        <v/>
      </c>
      <c r="B54" s="22">
        <f>CRITERIOS!C42</f>
        <v/>
      </c>
      <c r="C54" s="8">
        <f>CRITERIOS!D42</f>
        <v/>
      </c>
      <c r="D54" s="22">
        <f>CRITERIOS!E42</f>
        <v/>
      </c>
      <c r="E54" s="22">
        <f>IFERROR(IF(AND(OR(CRITERIOS!F42="Todos",CRITERIOS!F42=$B$4),INDEX(CRITERIOS!H42:J42,MATCH($B$5,VARIABLES!$E$2:$E$4,0))=1),1,0),0)</f>
        <v/>
      </c>
      <c r="F54" s="22">
        <f>IFERROR(IF(E54=1,INDEX(CRITERIOS!K42:M42,MATCH($B$5,VARIABLES!$E$2:$E$4,0)),0),0)</f>
        <v/>
      </c>
      <c r="G54" s="22">
        <f>IF(CRITERIOS!N42="","",CRITERIOS!N42)</f>
        <v/>
      </c>
      <c r="H54" s="22">
        <f>IF(CRITERIOS!O42="","",CRITERIOS!O42)</f>
        <v/>
      </c>
      <c r="I54" s="21" t="n"/>
      <c r="J54" s="22">
        <f>IF(OR($E54=0,I$78=0),0,IF(AND(I54="N/A",$G54&lt;&gt;""),0,$F54+SUMPRODUCT(($G$14:$G$71=$A54)*($E$14:$E$71=1)*(I$14:I$71="N/A")*$F$14:$F$71)))</f>
        <v/>
      </c>
      <c r="K54" s="22">
        <f>IF(I54="SI",J54,0)</f>
        <v/>
      </c>
      <c r="L54" s="21" t="n"/>
      <c r="M54" s="22">
        <f>IF(OR($E54=0,L$78=0),0,IF(AND(L54="N/A",$G54&lt;&gt;""),0,$F54+SUMPRODUCT(($G$14:$G$71=$A54)*($E$14:$E$71=1)*(L$14:L$71="N/A")*$F$14:$F$71)))</f>
        <v/>
      </c>
      <c r="N54" s="22">
        <f>IF(L54="SI",M54,0)</f>
        <v/>
      </c>
      <c r="O54" s="21" t="n"/>
      <c r="P54" s="22">
        <f>IF(OR($E54=0,O$78=0),0,IF(AND(O54="N/A",$G54&lt;&gt;""),0,$F54+SUMPRODUCT(($G$14:$G$71=$A54)*($E$14:$E$71=1)*(O$14:O$71="N/A")*$F$14:$F$71)))</f>
        <v/>
      </c>
      <c r="Q54" s="22">
        <f>IF(O54="SI",P54,0)</f>
        <v/>
      </c>
      <c r="R54" s="21" t="n"/>
      <c r="S54" s="22">
        <f>IF(OR($E54=0,R$78=0),0,IF(AND(R54="N/A",$G54&lt;&gt;""),0,$F54+SUMPRODUCT(($G$14:$G$71=$A54)*($E$14:$E$71=1)*(R$14:R$71="N/A")*$F$14:$F$71)))</f>
        <v/>
      </c>
      <c r="T54" s="22">
        <f>IF(R54="SI",S54,0)</f>
        <v/>
      </c>
      <c r="U54" s="21" t="n"/>
      <c r="V54" s="22">
        <f>IF(OR($E54=0,U$78=0),0,IF(AND(U54="N/A",$G54&lt;&gt;""),0,$F54+SUMPRODUCT(($G$14:$G$71=$A54)*($E$14:$E$71=1)*(U$14:U$71="N/A")*$F$14:$F$71)))</f>
        <v/>
      </c>
      <c r="W54" s="22">
        <f>IF(U54="SI",V54,0)</f>
        <v/>
      </c>
      <c r="X54" s="21" t="n"/>
      <c r="Y54" s="22">
        <f>IF(OR($E54=0,X$78=0),0,IF(AND(X54="N/A",$G54&lt;&gt;""),0,$F54+SUMPRODUCT(($G$14:$G$71=$A54)*($E$14:$E$71=1)*(X$14:X$71="N/A")*$F$14:$F$71)))</f>
        <v/>
      </c>
      <c r="Z54" s="22">
        <f>IF(X54="SI",Y54,0)</f>
        <v/>
      </c>
      <c r="AA54" s="22">
        <f>SUM(J54,M54,P54,S54,V54,Y54)</f>
        <v/>
      </c>
      <c r="AB54" s="22">
        <f>SUM(K54,N54,Q54,T54,W54,Z54)</f>
        <v/>
      </c>
      <c r="AC54" s="23">
        <f>IF(AA54=0,"",AB54/AA54)</f>
        <v/>
      </c>
      <c r="AD54" s="22">
        <f>CRITERIOS!Q42</f>
        <v/>
      </c>
      <c r="AE54" s="22">
        <f>IF(AND(E54=1,H54&lt;&gt;"X",((I54="N/A")+(L54="N/A")+(O54="N/A")+(R54="N/A")+(U54="N/A")+(X54="N/A"))&gt;0),"REVISAR","")</f>
        <v/>
      </c>
    </row>
    <row r="55">
      <c r="A55" s="24">
        <f>CRITERIOS!B43</f>
        <v/>
      </c>
      <c r="B55" s="24">
        <f>CRITERIOS!C43</f>
        <v/>
      </c>
      <c r="C55" s="25">
        <f>CRITERIOS!D43</f>
        <v/>
      </c>
      <c r="D55" s="24">
        <f>CRITERIOS!E43</f>
        <v/>
      </c>
      <c r="E55" s="24">
        <f>IFERROR(IF(AND(OR(CRITERIOS!F43="Todos",CRITERIOS!F43=$B$4),INDEX(CRITERIOS!H43:J43,MATCH($B$5,VARIABLES!$E$2:$E$4,0))=1),1,0),0)</f>
        <v/>
      </c>
      <c r="F55" s="24">
        <f>IFERROR(IF(E55=1,INDEX(CRITERIOS!K43:M43,MATCH($B$5,VARIABLES!$E$2:$E$4,0)),0),0)</f>
        <v/>
      </c>
      <c r="G55" s="24">
        <f>IF(CRITERIOS!N43="","",CRITERIOS!N43)</f>
        <v/>
      </c>
      <c r="H55" s="24">
        <f>IF(CRITERIOS!O43="","",CRITERIOS!O43)</f>
        <v/>
      </c>
      <c r="I55" s="21" t="n"/>
      <c r="J55" s="22">
        <f>IF(OR($E55=0,I$78=0),0,IF(AND(I55="N/A",$G55&lt;&gt;""),0,$F55+SUMPRODUCT(($G$14:$G$71=$A55)*($E$14:$E$71=1)*(I$14:I$71="N/A")*$F$14:$F$71)))</f>
        <v/>
      </c>
      <c r="K55" s="22">
        <f>IF(I55="SI",J55,0)</f>
        <v/>
      </c>
      <c r="L55" s="21" t="n"/>
      <c r="M55" s="22">
        <f>IF(OR($E55=0,L$78=0),0,IF(AND(L55="N/A",$G55&lt;&gt;""),0,$F55+SUMPRODUCT(($G$14:$G$71=$A55)*($E$14:$E$71=1)*(L$14:L$71="N/A")*$F$14:$F$71)))</f>
        <v/>
      </c>
      <c r="N55" s="22">
        <f>IF(L55="SI",M55,0)</f>
        <v/>
      </c>
      <c r="O55" s="21" t="n"/>
      <c r="P55" s="22">
        <f>IF(OR($E55=0,O$78=0),0,IF(AND(O55="N/A",$G55&lt;&gt;""),0,$F55+SUMPRODUCT(($G$14:$G$71=$A55)*($E$14:$E$71=1)*(O$14:O$71="N/A")*$F$14:$F$71)))</f>
        <v/>
      </c>
      <c r="Q55" s="22">
        <f>IF(O55="SI",P55,0)</f>
        <v/>
      </c>
      <c r="R55" s="21" t="n"/>
      <c r="S55" s="22">
        <f>IF(OR($E55=0,R$78=0),0,IF(AND(R55="N/A",$G55&lt;&gt;""),0,$F55+SUMPRODUCT(($G$14:$G$71=$A55)*($E$14:$E$71=1)*(R$14:R$71="N/A")*$F$14:$F$71)))</f>
        <v/>
      </c>
      <c r="T55" s="22">
        <f>IF(R55="SI",S55,0)</f>
        <v/>
      </c>
      <c r="U55" s="21" t="n"/>
      <c r="V55" s="22">
        <f>IF(OR($E55=0,U$78=0),0,IF(AND(U55="N/A",$G55&lt;&gt;""),0,$F55+SUMPRODUCT(($G$14:$G$71=$A55)*($E$14:$E$71=1)*(U$14:U$71="N/A")*$F$14:$F$71)))</f>
        <v/>
      </c>
      <c r="W55" s="22">
        <f>IF(U55="SI",V55,0)</f>
        <v/>
      </c>
      <c r="X55" s="21" t="n"/>
      <c r="Y55" s="22">
        <f>IF(OR($E55=0,X$78=0),0,IF(AND(X55="N/A",$G55&lt;&gt;""),0,$F55+SUMPRODUCT(($G$14:$G$71=$A55)*($E$14:$E$71=1)*(X$14:X$71="N/A")*$F$14:$F$71)))</f>
        <v/>
      </c>
      <c r="Z55" s="22">
        <f>IF(X55="SI",Y55,0)</f>
        <v/>
      </c>
      <c r="AA55" s="22">
        <f>SUM(J55,M55,P55,S55,V55,Y55)</f>
        <v/>
      </c>
      <c r="AB55" s="22">
        <f>SUM(K55,N55,Q55,T55,W55,Z55)</f>
        <v/>
      </c>
      <c r="AC55" s="23">
        <f>IF(AA55=0,"",AB55/AA55)</f>
        <v/>
      </c>
      <c r="AD55" s="22">
        <f>CRITERIOS!Q43</f>
        <v/>
      </c>
      <c r="AE55" s="22">
        <f>IF(AND(E55=1,H55&lt;&gt;"X",((I55="N/A")+(L55="N/A")+(O55="N/A")+(R55="N/A")+(U55="N/A")+(X55="N/A"))&gt;0),"REVISAR","")</f>
        <v/>
      </c>
    </row>
    <row r="56">
      <c r="A56" s="24">
        <f>CRITERIOS!B44</f>
        <v/>
      </c>
      <c r="B56" s="24">
        <f>CRITERIOS!C44</f>
        <v/>
      </c>
      <c r="C56" s="25">
        <f>CRITERIOS!D44</f>
        <v/>
      </c>
      <c r="D56" s="24">
        <f>CRITERIOS!E44</f>
        <v/>
      </c>
      <c r="E56" s="24">
        <f>IFERROR(IF(AND(OR(CRITERIOS!F44="Todos",CRITERIOS!F44=$B$4),INDEX(CRITERIOS!H44:J44,MATCH($B$5,VARIABLES!$E$2:$E$4,0))=1),1,0),0)</f>
        <v/>
      </c>
      <c r="F56" s="24">
        <f>IFERROR(IF(E56=1,INDEX(CRITERIOS!K44:M44,MATCH($B$5,VARIABLES!$E$2:$E$4,0)),0),0)</f>
        <v/>
      </c>
      <c r="G56" s="24">
        <f>IF(CRITERIOS!N44="","",CRITERIOS!N44)</f>
        <v/>
      </c>
      <c r="H56" s="24">
        <f>IF(CRITERIOS!O44="","",CRITERIOS!O44)</f>
        <v/>
      </c>
      <c r="I56" s="21" t="n"/>
      <c r="J56" s="22">
        <f>IF(OR($E56=0,I$78=0),0,IF(AND(I56="N/A",$G56&lt;&gt;""),0,$F56+SUMPRODUCT(($G$14:$G$71=$A56)*($E$14:$E$71=1)*(I$14:I$71="N/A")*$F$14:$F$71)))</f>
        <v/>
      </c>
      <c r="K56" s="22">
        <f>IF(I56="SI",J56,0)</f>
        <v/>
      </c>
      <c r="L56" s="21" t="n"/>
      <c r="M56" s="22">
        <f>IF(OR($E56=0,L$78=0),0,IF(AND(L56="N/A",$G56&lt;&gt;""),0,$F56+SUMPRODUCT(($G$14:$G$71=$A56)*($E$14:$E$71=1)*(L$14:L$71="N/A")*$F$14:$F$71)))</f>
        <v/>
      </c>
      <c r="N56" s="22">
        <f>IF(L56="SI",M56,0)</f>
        <v/>
      </c>
      <c r="O56" s="21" t="n"/>
      <c r="P56" s="22">
        <f>IF(OR($E56=0,O$78=0),0,IF(AND(O56="N/A",$G56&lt;&gt;""),0,$F56+SUMPRODUCT(($G$14:$G$71=$A56)*($E$14:$E$71=1)*(O$14:O$71="N/A")*$F$14:$F$71)))</f>
        <v/>
      </c>
      <c r="Q56" s="22">
        <f>IF(O56="SI",P56,0)</f>
        <v/>
      </c>
      <c r="R56" s="21" t="n"/>
      <c r="S56" s="22">
        <f>IF(OR($E56=0,R$78=0),0,IF(AND(R56="N/A",$G56&lt;&gt;""),0,$F56+SUMPRODUCT(($G$14:$G$71=$A56)*($E$14:$E$71=1)*(R$14:R$71="N/A")*$F$14:$F$71)))</f>
        <v/>
      </c>
      <c r="T56" s="22">
        <f>IF(R56="SI",S56,0)</f>
        <v/>
      </c>
      <c r="U56" s="21" t="n"/>
      <c r="V56" s="22">
        <f>IF(OR($E56=0,U$78=0),0,IF(AND(U56="N/A",$G56&lt;&gt;""),0,$F56+SUMPRODUCT(($G$14:$G$71=$A56)*($E$14:$E$71=1)*(U$14:U$71="N/A")*$F$14:$F$71)))</f>
        <v/>
      </c>
      <c r="W56" s="22">
        <f>IF(U56="SI",V56,0)</f>
        <v/>
      </c>
      <c r="X56" s="21" t="n"/>
      <c r="Y56" s="22">
        <f>IF(OR($E56=0,X$78=0),0,IF(AND(X56="N/A",$G56&lt;&gt;""),0,$F56+SUMPRODUCT(($G$14:$G$71=$A56)*($E$14:$E$71=1)*(X$14:X$71="N/A")*$F$14:$F$71)))</f>
        <v/>
      </c>
      <c r="Z56" s="22">
        <f>IF(X56="SI",Y56,0)</f>
        <v/>
      </c>
      <c r="AA56" s="22">
        <f>SUM(J56,M56,P56,S56,V56,Y56)</f>
        <v/>
      </c>
      <c r="AB56" s="22">
        <f>SUM(K56,N56,Q56,T56,W56,Z56)</f>
        <v/>
      </c>
      <c r="AC56" s="23">
        <f>IF(AA56=0,"",AB56/AA56)</f>
        <v/>
      </c>
      <c r="AD56" s="22">
        <f>CRITERIOS!Q44</f>
        <v/>
      </c>
      <c r="AE56" s="22">
        <f>IF(AND(E56=1,H56&lt;&gt;"X",((I56="N/A")+(L56="N/A")+(O56="N/A")+(R56="N/A")+(U56="N/A")+(X56="N/A"))&gt;0),"REVISAR","")</f>
        <v/>
      </c>
    </row>
    <row r="57">
      <c r="A57" s="24">
        <f>CRITERIOS!B45</f>
        <v/>
      </c>
      <c r="B57" s="24">
        <f>CRITERIOS!C45</f>
        <v/>
      </c>
      <c r="C57" s="25">
        <f>CRITERIOS!D45</f>
        <v/>
      </c>
      <c r="D57" s="24">
        <f>CRITERIOS!E45</f>
        <v/>
      </c>
      <c r="E57" s="24">
        <f>IFERROR(IF(AND(OR(CRITERIOS!F45="Todos",CRITERIOS!F45=$B$4),INDEX(CRITERIOS!H45:J45,MATCH($B$5,VARIABLES!$E$2:$E$4,0))=1),1,0),0)</f>
        <v/>
      </c>
      <c r="F57" s="24">
        <f>IFERROR(IF(E57=1,INDEX(CRITERIOS!K45:M45,MATCH($B$5,VARIABLES!$E$2:$E$4,0)),0),0)</f>
        <v/>
      </c>
      <c r="G57" s="24">
        <f>IF(CRITERIOS!N45="","",CRITERIOS!N45)</f>
        <v/>
      </c>
      <c r="H57" s="24">
        <f>IF(CRITERIOS!O45="","",CRITERIOS!O45)</f>
        <v/>
      </c>
      <c r="I57" s="21" t="n"/>
      <c r="J57" s="22">
        <f>IF(OR($E57=0,I$78=0),0,IF(AND(I57="N/A",$G57&lt;&gt;""),0,$F57+SUMPRODUCT(($G$14:$G$71=$A57)*($E$14:$E$71=1)*(I$14:I$71="N/A")*$F$14:$F$71)))</f>
        <v/>
      </c>
      <c r="K57" s="22">
        <f>IF(I57="SI",J57,0)</f>
        <v/>
      </c>
      <c r="L57" s="21" t="n"/>
      <c r="M57" s="22">
        <f>IF(OR($E57=0,L$78=0),0,IF(AND(L57="N/A",$G57&lt;&gt;""),0,$F57+SUMPRODUCT(($G$14:$G$71=$A57)*($E$14:$E$71=1)*(L$14:L$71="N/A")*$F$14:$F$71)))</f>
        <v/>
      </c>
      <c r="N57" s="22">
        <f>IF(L57="SI",M57,0)</f>
        <v/>
      </c>
      <c r="O57" s="21" t="n"/>
      <c r="P57" s="22">
        <f>IF(OR($E57=0,O$78=0),0,IF(AND(O57="N/A",$G57&lt;&gt;""),0,$F57+SUMPRODUCT(($G$14:$G$71=$A57)*($E$14:$E$71=1)*(O$14:O$71="N/A")*$F$14:$F$71)))</f>
        <v/>
      </c>
      <c r="Q57" s="22">
        <f>IF(O57="SI",P57,0)</f>
        <v/>
      </c>
      <c r="R57" s="21" t="n"/>
      <c r="S57" s="22">
        <f>IF(OR($E57=0,R$78=0),0,IF(AND(R57="N/A",$G57&lt;&gt;""),0,$F57+SUMPRODUCT(($G$14:$G$71=$A57)*($E$14:$E$71=1)*(R$14:R$71="N/A")*$F$14:$F$71)))</f>
        <v/>
      </c>
      <c r="T57" s="22">
        <f>IF(R57="SI",S57,0)</f>
        <v/>
      </c>
      <c r="U57" s="21" t="n"/>
      <c r="V57" s="22">
        <f>IF(OR($E57=0,U$78=0),0,IF(AND(U57="N/A",$G57&lt;&gt;""),0,$F57+SUMPRODUCT(($G$14:$G$71=$A57)*($E$14:$E$71=1)*(U$14:U$71="N/A")*$F$14:$F$71)))</f>
        <v/>
      </c>
      <c r="W57" s="22">
        <f>IF(U57="SI",V57,0)</f>
        <v/>
      </c>
      <c r="X57" s="21" t="n"/>
      <c r="Y57" s="22">
        <f>IF(OR($E57=0,X$78=0),0,IF(AND(X57="N/A",$G57&lt;&gt;""),0,$F57+SUMPRODUCT(($G$14:$G$71=$A57)*($E$14:$E$71=1)*(X$14:X$71="N/A")*$F$14:$F$71)))</f>
        <v/>
      </c>
      <c r="Z57" s="22">
        <f>IF(X57="SI",Y57,0)</f>
        <v/>
      </c>
      <c r="AA57" s="22">
        <f>SUM(J57,M57,P57,S57,V57,Y57)</f>
        <v/>
      </c>
      <c r="AB57" s="22">
        <f>SUM(K57,N57,Q57,T57,W57,Z57)</f>
        <v/>
      </c>
      <c r="AC57" s="23">
        <f>IF(AA57=0,"",AB57/AA57)</f>
        <v/>
      </c>
      <c r="AD57" s="22">
        <f>CRITERIOS!Q45</f>
        <v/>
      </c>
      <c r="AE57" s="22">
        <f>IF(AND(E57=1,H57&lt;&gt;"X",((I57="N/A")+(L57="N/A")+(O57="N/A")+(R57="N/A")+(U57="N/A")+(X57="N/A"))&gt;0),"REVISAR","")</f>
        <v/>
      </c>
    </row>
    <row r="58">
      <c r="A58" s="24">
        <f>CRITERIOS!B46</f>
        <v/>
      </c>
      <c r="B58" s="24">
        <f>CRITERIOS!C46</f>
        <v/>
      </c>
      <c r="C58" s="25">
        <f>CRITERIOS!D46</f>
        <v/>
      </c>
      <c r="D58" s="24">
        <f>CRITERIOS!E46</f>
        <v/>
      </c>
      <c r="E58" s="24">
        <f>IFERROR(IF(AND(OR(CRITERIOS!F46="Todos",CRITERIOS!F46=$B$4),INDEX(CRITERIOS!H46:J46,MATCH($B$5,VARIABLES!$E$2:$E$4,0))=1),1,0),0)</f>
        <v/>
      </c>
      <c r="F58" s="24">
        <f>IFERROR(IF(E58=1,INDEX(CRITERIOS!K46:M46,MATCH($B$5,VARIABLES!$E$2:$E$4,0)),0),0)</f>
        <v/>
      </c>
      <c r="G58" s="24">
        <f>IF(CRITERIOS!N46="","",CRITERIOS!N46)</f>
        <v/>
      </c>
      <c r="H58" s="24">
        <f>IF(CRITERIOS!O46="","",CRITERIOS!O46)</f>
        <v/>
      </c>
      <c r="I58" s="21" t="n"/>
      <c r="J58" s="22">
        <f>IF(OR($E58=0,I$78=0),0,IF(AND(I58="N/A",$G58&lt;&gt;""),0,$F58+SUMPRODUCT(($G$14:$G$71=$A58)*($E$14:$E$71=1)*(I$14:I$71="N/A")*$F$14:$F$71)))</f>
        <v/>
      </c>
      <c r="K58" s="22">
        <f>IF(I58="SI",J58,0)</f>
        <v/>
      </c>
      <c r="L58" s="21" t="n"/>
      <c r="M58" s="22">
        <f>IF(OR($E58=0,L$78=0),0,IF(AND(L58="N/A",$G58&lt;&gt;""),0,$F58+SUMPRODUCT(($G$14:$G$71=$A58)*($E$14:$E$71=1)*(L$14:L$71="N/A")*$F$14:$F$71)))</f>
        <v/>
      </c>
      <c r="N58" s="22">
        <f>IF(L58="SI",M58,0)</f>
        <v/>
      </c>
      <c r="O58" s="21" t="n"/>
      <c r="P58" s="22">
        <f>IF(OR($E58=0,O$78=0),0,IF(AND(O58="N/A",$G58&lt;&gt;""),0,$F58+SUMPRODUCT(($G$14:$G$71=$A58)*($E$14:$E$71=1)*(O$14:O$71="N/A")*$F$14:$F$71)))</f>
        <v/>
      </c>
      <c r="Q58" s="22">
        <f>IF(O58="SI",P58,0)</f>
        <v/>
      </c>
      <c r="R58" s="21" t="n"/>
      <c r="S58" s="22">
        <f>IF(OR($E58=0,R$78=0),0,IF(AND(R58="N/A",$G58&lt;&gt;""),0,$F58+SUMPRODUCT(($G$14:$G$71=$A58)*($E$14:$E$71=1)*(R$14:R$71="N/A")*$F$14:$F$71)))</f>
        <v/>
      </c>
      <c r="T58" s="22">
        <f>IF(R58="SI",S58,0)</f>
        <v/>
      </c>
      <c r="U58" s="21" t="n"/>
      <c r="V58" s="22">
        <f>IF(OR($E58=0,U$78=0),0,IF(AND(U58="N/A",$G58&lt;&gt;""),0,$F58+SUMPRODUCT(($G$14:$G$71=$A58)*($E$14:$E$71=1)*(U$14:U$71="N/A")*$F$14:$F$71)))</f>
        <v/>
      </c>
      <c r="W58" s="22">
        <f>IF(U58="SI",V58,0)</f>
        <v/>
      </c>
      <c r="X58" s="21" t="n"/>
      <c r="Y58" s="22">
        <f>IF(OR($E58=0,X$78=0),0,IF(AND(X58="N/A",$G58&lt;&gt;""),0,$F58+SUMPRODUCT(($G$14:$G$71=$A58)*($E$14:$E$71=1)*(X$14:X$71="N/A")*$F$14:$F$71)))</f>
        <v/>
      </c>
      <c r="Z58" s="22">
        <f>IF(X58="SI",Y58,0)</f>
        <v/>
      </c>
      <c r="AA58" s="22">
        <f>SUM(J58,M58,P58,S58,V58,Y58)</f>
        <v/>
      </c>
      <c r="AB58" s="22">
        <f>SUM(K58,N58,Q58,T58,W58,Z58)</f>
        <v/>
      </c>
      <c r="AC58" s="23">
        <f>IF(AA58=0,"",AB58/AA58)</f>
        <v/>
      </c>
      <c r="AD58" s="22">
        <f>CRITERIOS!Q46</f>
        <v/>
      </c>
      <c r="AE58" s="22">
        <f>IF(AND(E58=1,H58&lt;&gt;"X",((I58="N/A")+(L58="N/A")+(O58="N/A")+(R58="N/A")+(U58="N/A")+(X58="N/A"))&gt;0),"REVISAR","")</f>
        <v/>
      </c>
    </row>
    <row r="59">
      <c r="A59" s="24">
        <f>CRITERIOS!B47</f>
        <v/>
      </c>
      <c r="B59" s="24">
        <f>CRITERIOS!C47</f>
        <v/>
      </c>
      <c r="C59" s="25">
        <f>CRITERIOS!D47</f>
        <v/>
      </c>
      <c r="D59" s="24">
        <f>CRITERIOS!E47</f>
        <v/>
      </c>
      <c r="E59" s="24">
        <f>IFERROR(IF(AND(OR(CRITERIOS!F47="Todos",CRITERIOS!F47=$B$4),INDEX(CRITERIOS!H47:J47,MATCH($B$5,VARIABLES!$E$2:$E$4,0))=1),1,0),0)</f>
        <v/>
      </c>
      <c r="F59" s="24">
        <f>IFERROR(IF(E59=1,INDEX(CRITERIOS!K47:M47,MATCH($B$5,VARIABLES!$E$2:$E$4,0)),0),0)</f>
        <v/>
      </c>
      <c r="G59" s="24">
        <f>IF(CRITERIOS!N47="","",CRITERIOS!N47)</f>
        <v/>
      </c>
      <c r="H59" s="24">
        <f>IF(CRITERIOS!O47="","",CRITERIOS!O47)</f>
        <v/>
      </c>
      <c r="I59" s="21" t="n"/>
      <c r="J59" s="22">
        <f>IF(OR($E59=0,I$78=0),0,IF(AND(I59="N/A",$G59&lt;&gt;""),0,$F59+SUMPRODUCT(($G$14:$G$71=$A59)*($E$14:$E$71=1)*(I$14:I$71="N/A")*$F$14:$F$71)))</f>
        <v/>
      </c>
      <c r="K59" s="22">
        <f>IF(I59="SI",J59,0)</f>
        <v/>
      </c>
      <c r="L59" s="21" t="n"/>
      <c r="M59" s="22">
        <f>IF(OR($E59=0,L$78=0),0,IF(AND(L59="N/A",$G59&lt;&gt;""),0,$F59+SUMPRODUCT(($G$14:$G$71=$A59)*($E$14:$E$71=1)*(L$14:L$71="N/A")*$F$14:$F$71)))</f>
        <v/>
      </c>
      <c r="N59" s="22">
        <f>IF(L59="SI",M59,0)</f>
        <v/>
      </c>
      <c r="O59" s="21" t="n"/>
      <c r="P59" s="22">
        <f>IF(OR($E59=0,O$78=0),0,IF(AND(O59="N/A",$G59&lt;&gt;""),0,$F59+SUMPRODUCT(($G$14:$G$71=$A59)*($E$14:$E$71=1)*(O$14:O$71="N/A")*$F$14:$F$71)))</f>
        <v/>
      </c>
      <c r="Q59" s="22">
        <f>IF(O59="SI",P59,0)</f>
        <v/>
      </c>
      <c r="R59" s="21" t="n"/>
      <c r="S59" s="22">
        <f>IF(OR($E59=0,R$78=0),0,IF(AND(R59="N/A",$G59&lt;&gt;""),0,$F59+SUMPRODUCT(($G$14:$G$71=$A59)*($E$14:$E$71=1)*(R$14:R$71="N/A")*$F$14:$F$71)))</f>
        <v/>
      </c>
      <c r="T59" s="22">
        <f>IF(R59="SI",S59,0)</f>
        <v/>
      </c>
      <c r="U59" s="21" t="n"/>
      <c r="V59" s="22">
        <f>IF(OR($E59=0,U$78=0),0,IF(AND(U59="N/A",$G59&lt;&gt;""),0,$F59+SUMPRODUCT(($G$14:$G$71=$A59)*($E$14:$E$71=1)*(U$14:U$71="N/A")*$F$14:$F$71)))</f>
        <v/>
      </c>
      <c r="W59" s="22">
        <f>IF(U59="SI",V59,0)</f>
        <v/>
      </c>
      <c r="X59" s="21" t="n"/>
      <c r="Y59" s="22">
        <f>IF(OR($E59=0,X$78=0),0,IF(AND(X59="N/A",$G59&lt;&gt;""),0,$F59+SUMPRODUCT(($G$14:$G$71=$A59)*($E$14:$E$71=1)*(X$14:X$71="N/A")*$F$14:$F$71)))</f>
        <v/>
      </c>
      <c r="Z59" s="22">
        <f>IF(X59="SI",Y59,0)</f>
        <v/>
      </c>
      <c r="AA59" s="22">
        <f>SUM(J59,M59,P59,S59,V59,Y59)</f>
        <v/>
      </c>
      <c r="AB59" s="22">
        <f>SUM(K59,N59,Q59,T59,W59,Z59)</f>
        <v/>
      </c>
      <c r="AC59" s="23">
        <f>IF(AA59=0,"",AB59/AA59)</f>
        <v/>
      </c>
      <c r="AD59" s="22">
        <f>CRITERIOS!Q47</f>
        <v/>
      </c>
      <c r="AE59" s="22">
        <f>IF(AND(E59=1,H59&lt;&gt;"X",((I59="N/A")+(L59="N/A")+(O59="N/A")+(R59="N/A")+(U59="N/A")+(X59="N/A"))&gt;0),"REVISAR","")</f>
        <v/>
      </c>
    </row>
    <row r="60">
      <c r="A60" s="24">
        <f>CRITERIOS!B48</f>
        <v/>
      </c>
      <c r="B60" s="24">
        <f>CRITERIOS!C48</f>
        <v/>
      </c>
      <c r="C60" s="25">
        <f>CRITERIOS!D48</f>
        <v/>
      </c>
      <c r="D60" s="24">
        <f>CRITERIOS!E48</f>
        <v/>
      </c>
      <c r="E60" s="24">
        <f>IFERROR(IF(AND(OR(CRITERIOS!F48="Todos",CRITERIOS!F48=$B$4),INDEX(CRITERIOS!H48:J48,MATCH($B$5,VARIABLES!$E$2:$E$4,0))=1),1,0),0)</f>
        <v/>
      </c>
      <c r="F60" s="24">
        <f>IFERROR(IF(E60=1,INDEX(CRITERIOS!K48:M48,MATCH($B$5,VARIABLES!$E$2:$E$4,0)),0),0)</f>
        <v/>
      </c>
      <c r="G60" s="24">
        <f>IF(CRITERIOS!N48="","",CRITERIOS!N48)</f>
        <v/>
      </c>
      <c r="H60" s="24">
        <f>IF(CRITERIOS!O48="","",CRITERIOS!O48)</f>
        <v/>
      </c>
      <c r="I60" s="21" t="n"/>
      <c r="J60" s="22">
        <f>IF(OR($E60=0,I$78=0),0,IF(AND(I60="N/A",$G60&lt;&gt;""),0,$F60+SUMPRODUCT(($G$14:$G$71=$A60)*($E$14:$E$71=1)*(I$14:I$71="N/A")*$F$14:$F$71)))</f>
        <v/>
      </c>
      <c r="K60" s="22">
        <f>IF(I60="SI",J60,0)</f>
        <v/>
      </c>
      <c r="L60" s="21" t="n"/>
      <c r="M60" s="22">
        <f>IF(OR($E60=0,L$78=0),0,IF(AND(L60="N/A",$G60&lt;&gt;""),0,$F60+SUMPRODUCT(($G$14:$G$71=$A60)*($E$14:$E$71=1)*(L$14:L$71="N/A")*$F$14:$F$71)))</f>
        <v/>
      </c>
      <c r="N60" s="22">
        <f>IF(L60="SI",M60,0)</f>
        <v/>
      </c>
      <c r="O60" s="21" t="n"/>
      <c r="P60" s="22">
        <f>IF(OR($E60=0,O$78=0),0,IF(AND(O60="N/A",$G60&lt;&gt;""),0,$F60+SUMPRODUCT(($G$14:$G$71=$A60)*($E$14:$E$71=1)*(O$14:O$71="N/A")*$F$14:$F$71)))</f>
        <v/>
      </c>
      <c r="Q60" s="22">
        <f>IF(O60="SI",P60,0)</f>
        <v/>
      </c>
      <c r="R60" s="21" t="n"/>
      <c r="S60" s="22">
        <f>IF(OR($E60=0,R$78=0),0,IF(AND(R60="N/A",$G60&lt;&gt;""),0,$F60+SUMPRODUCT(($G$14:$G$71=$A60)*($E$14:$E$71=1)*(R$14:R$71="N/A")*$F$14:$F$71)))</f>
        <v/>
      </c>
      <c r="T60" s="22">
        <f>IF(R60="SI",S60,0)</f>
        <v/>
      </c>
      <c r="U60" s="21" t="n"/>
      <c r="V60" s="22">
        <f>IF(OR($E60=0,U$78=0),0,IF(AND(U60="N/A",$G60&lt;&gt;""),0,$F60+SUMPRODUCT(($G$14:$G$71=$A60)*($E$14:$E$71=1)*(U$14:U$71="N/A")*$F$14:$F$71)))</f>
        <v/>
      </c>
      <c r="W60" s="22">
        <f>IF(U60="SI",V60,0)</f>
        <v/>
      </c>
      <c r="X60" s="21" t="n"/>
      <c r="Y60" s="22">
        <f>IF(OR($E60=0,X$78=0),0,IF(AND(X60="N/A",$G60&lt;&gt;""),0,$F60+SUMPRODUCT(($G$14:$G$71=$A60)*($E$14:$E$71=1)*(X$14:X$71="N/A")*$F$14:$F$71)))</f>
        <v/>
      </c>
      <c r="Z60" s="22">
        <f>IF(X60="SI",Y60,0)</f>
        <v/>
      </c>
      <c r="AA60" s="22">
        <f>SUM(J60,M60,P60,S60,V60,Y60)</f>
        <v/>
      </c>
      <c r="AB60" s="22">
        <f>SUM(K60,N60,Q60,T60,W60,Z60)</f>
        <v/>
      </c>
      <c r="AC60" s="23">
        <f>IF(AA60=0,"",AB60/AA60)</f>
        <v/>
      </c>
      <c r="AD60" s="22">
        <f>CRITERIOS!Q48</f>
        <v/>
      </c>
      <c r="AE60" s="22">
        <f>IF(AND(E60=1,H60&lt;&gt;"X",((I60="N/A")+(L60="N/A")+(O60="N/A")+(R60="N/A")+(U60="N/A")+(X60="N/A"))&gt;0),"REVISAR","")</f>
        <v/>
      </c>
    </row>
    <row r="61">
      <c r="A61" s="22">
        <f>CRITERIOS!B49</f>
        <v/>
      </c>
      <c r="B61" s="22">
        <f>CRITERIOS!C49</f>
        <v/>
      </c>
      <c r="C61" s="8">
        <f>CRITERIOS!D49</f>
        <v/>
      </c>
      <c r="D61" s="22">
        <f>CRITERIOS!E49</f>
        <v/>
      </c>
      <c r="E61" s="22">
        <f>IFERROR(IF(AND(OR(CRITERIOS!F49="Todos",CRITERIOS!F49=$B$4),INDEX(CRITERIOS!H49:J49,MATCH($B$5,VARIABLES!$E$2:$E$4,0))=1),1,0),0)</f>
        <v/>
      </c>
      <c r="F61" s="22">
        <f>IFERROR(IF(E61=1,INDEX(CRITERIOS!K49:M49,MATCH($B$5,VARIABLES!$E$2:$E$4,0)),0),0)</f>
        <v/>
      </c>
      <c r="G61" s="22">
        <f>IF(CRITERIOS!N49="","",CRITERIOS!N49)</f>
        <v/>
      </c>
      <c r="H61" s="22">
        <f>IF(CRITERIOS!O49="","",CRITERIOS!O49)</f>
        <v/>
      </c>
      <c r="I61" s="21" t="n"/>
      <c r="J61" s="22">
        <f>IF(OR($E61=0,I$78=0),0,IF(AND(I61="N/A",$G61&lt;&gt;""),0,$F61+SUMPRODUCT(($G$14:$G$71=$A61)*($E$14:$E$71=1)*(I$14:I$71="N/A")*$F$14:$F$71)))</f>
        <v/>
      </c>
      <c r="K61" s="22">
        <f>IF(I61="SI",J61,0)</f>
        <v/>
      </c>
      <c r="L61" s="21" t="n"/>
      <c r="M61" s="22">
        <f>IF(OR($E61=0,L$78=0),0,IF(AND(L61="N/A",$G61&lt;&gt;""),0,$F61+SUMPRODUCT(($G$14:$G$71=$A61)*($E$14:$E$71=1)*(L$14:L$71="N/A")*$F$14:$F$71)))</f>
        <v/>
      </c>
      <c r="N61" s="22">
        <f>IF(L61="SI",M61,0)</f>
        <v/>
      </c>
      <c r="O61" s="21" t="n"/>
      <c r="P61" s="22">
        <f>IF(OR($E61=0,O$78=0),0,IF(AND(O61="N/A",$G61&lt;&gt;""),0,$F61+SUMPRODUCT(($G$14:$G$71=$A61)*($E$14:$E$71=1)*(O$14:O$71="N/A")*$F$14:$F$71)))</f>
        <v/>
      </c>
      <c r="Q61" s="22">
        <f>IF(O61="SI",P61,0)</f>
        <v/>
      </c>
      <c r="R61" s="21" t="n"/>
      <c r="S61" s="22">
        <f>IF(OR($E61=0,R$78=0),0,IF(AND(R61="N/A",$G61&lt;&gt;""),0,$F61+SUMPRODUCT(($G$14:$G$71=$A61)*($E$14:$E$71=1)*(R$14:R$71="N/A")*$F$14:$F$71)))</f>
        <v/>
      </c>
      <c r="T61" s="22">
        <f>IF(R61="SI",S61,0)</f>
        <v/>
      </c>
      <c r="U61" s="21" t="n"/>
      <c r="V61" s="22">
        <f>IF(OR($E61=0,U$78=0),0,IF(AND(U61="N/A",$G61&lt;&gt;""),0,$F61+SUMPRODUCT(($G$14:$G$71=$A61)*($E$14:$E$71=1)*(U$14:U$71="N/A")*$F$14:$F$71)))</f>
        <v/>
      </c>
      <c r="W61" s="22">
        <f>IF(U61="SI",V61,0)</f>
        <v/>
      </c>
      <c r="X61" s="21" t="n"/>
      <c r="Y61" s="22">
        <f>IF(OR($E61=0,X$78=0),0,IF(AND(X61="N/A",$G61&lt;&gt;""),0,$F61+SUMPRODUCT(($G$14:$G$71=$A61)*($E$14:$E$71=1)*(X$14:X$71="N/A")*$F$14:$F$71)))</f>
        <v/>
      </c>
      <c r="Z61" s="22">
        <f>IF(X61="SI",Y61,0)</f>
        <v/>
      </c>
      <c r="AA61" s="22">
        <f>SUM(J61,M61,P61,S61,V61,Y61)</f>
        <v/>
      </c>
      <c r="AB61" s="22">
        <f>SUM(K61,N61,Q61,T61,W61,Z61)</f>
        <v/>
      </c>
      <c r="AC61" s="23">
        <f>IF(AA61=0,"",AB61/AA61)</f>
        <v/>
      </c>
      <c r="AD61" s="22">
        <f>CRITERIOS!Q49</f>
        <v/>
      </c>
      <c r="AE61" s="22">
        <f>IF(AND(E61=1,H61&lt;&gt;"X",((I61="N/A")+(L61="N/A")+(O61="N/A")+(R61="N/A")+(U61="N/A")+(X61="N/A"))&gt;0),"REVISAR","")</f>
        <v/>
      </c>
    </row>
    <row r="62">
      <c r="A62" s="24">
        <f>CRITERIOS!B50</f>
        <v/>
      </c>
      <c r="B62" s="24">
        <f>CRITERIOS!C50</f>
        <v/>
      </c>
      <c r="C62" s="25">
        <f>CRITERIOS!D50</f>
        <v/>
      </c>
      <c r="D62" s="24">
        <f>CRITERIOS!E50</f>
        <v/>
      </c>
      <c r="E62" s="24">
        <f>IFERROR(IF(AND(OR(CRITERIOS!F50="Todos",CRITERIOS!F50=$B$4),INDEX(CRITERIOS!H50:J50,MATCH($B$5,VARIABLES!$E$2:$E$4,0))=1),1,0),0)</f>
        <v/>
      </c>
      <c r="F62" s="24">
        <f>IFERROR(IF(E62=1,INDEX(CRITERIOS!K50:M50,MATCH($B$5,VARIABLES!$E$2:$E$4,0)),0),0)</f>
        <v/>
      </c>
      <c r="G62" s="24">
        <f>IF(CRITERIOS!N50="","",CRITERIOS!N50)</f>
        <v/>
      </c>
      <c r="H62" s="24">
        <f>IF(CRITERIOS!O50="","",CRITERIOS!O50)</f>
        <v/>
      </c>
      <c r="I62" s="21" t="n"/>
      <c r="J62" s="22">
        <f>IF(OR($E62=0,I$78=0),0,IF(AND(I62="N/A",$G62&lt;&gt;""),0,$F62+SUMPRODUCT(($G$14:$G$71=$A62)*($E$14:$E$71=1)*(I$14:I$71="N/A")*$F$14:$F$71)))</f>
        <v/>
      </c>
      <c r="K62" s="22">
        <f>IF(I62="SI",J62,0)</f>
        <v/>
      </c>
      <c r="L62" s="21" t="n"/>
      <c r="M62" s="22">
        <f>IF(OR($E62=0,L$78=0),0,IF(AND(L62="N/A",$G62&lt;&gt;""),0,$F62+SUMPRODUCT(($G$14:$G$71=$A62)*($E$14:$E$71=1)*(L$14:L$71="N/A")*$F$14:$F$71)))</f>
        <v/>
      </c>
      <c r="N62" s="22">
        <f>IF(L62="SI",M62,0)</f>
        <v/>
      </c>
      <c r="O62" s="21" t="n"/>
      <c r="P62" s="22">
        <f>IF(OR($E62=0,O$78=0),0,IF(AND(O62="N/A",$G62&lt;&gt;""),0,$F62+SUMPRODUCT(($G$14:$G$71=$A62)*($E$14:$E$71=1)*(O$14:O$71="N/A")*$F$14:$F$71)))</f>
        <v/>
      </c>
      <c r="Q62" s="22">
        <f>IF(O62="SI",P62,0)</f>
        <v/>
      </c>
      <c r="R62" s="21" t="n"/>
      <c r="S62" s="22">
        <f>IF(OR($E62=0,R$78=0),0,IF(AND(R62="N/A",$G62&lt;&gt;""),0,$F62+SUMPRODUCT(($G$14:$G$71=$A62)*($E$14:$E$71=1)*(R$14:R$71="N/A")*$F$14:$F$71)))</f>
        <v/>
      </c>
      <c r="T62" s="22">
        <f>IF(R62="SI",S62,0)</f>
        <v/>
      </c>
      <c r="U62" s="21" t="n"/>
      <c r="V62" s="22">
        <f>IF(OR($E62=0,U$78=0),0,IF(AND(U62="N/A",$G62&lt;&gt;""),0,$F62+SUMPRODUCT(($G$14:$G$71=$A62)*($E$14:$E$71=1)*(U$14:U$71="N/A")*$F$14:$F$71)))</f>
        <v/>
      </c>
      <c r="W62" s="22">
        <f>IF(U62="SI",V62,0)</f>
        <v/>
      </c>
      <c r="X62" s="21" t="n"/>
      <c r="Y62" s="22">
        <f>IF(OR($E62=0,X$78=0),0,IF(AND(X62="N/A",$G62&lt;&gt;""),0,$F62+SUMPRODUCT(($G$14:$G$71=$A62)*($E$14:$E$71=1)*(X$14:X$71="N/A")*$F$14:$F$71)))</f>
        <v/>
      </c>
      <c r="Z62" s="22">
        <f>IF(X62="SI",Y62,0)</f>
        <v/>
      </c>
      <c r="AA62" s="22">
        <f>SUM(J62,M62,P62,S62,V62,Y62)</f>
        <v/>
      </c>
      <c r="AB62" s="22">
        <f>SUM(K62,N62,Q62,T62,W62,Z62)</f>
        <v/>
      </c>
      <c r="AC62" s="23">
        <f>IF(AA62=0,"",AB62/AA62)</f>
        <v/>
      </c>
      <c r="AD62" s="22">
        <f>CRITERIOS!Q50</f>
        <v/>
      </c>
      <c r="AE62" s="22">
        <f>IF(AND(E62=1,H62&lt;&gt;"X",((I62="N/A")+(L62="N/A")+(O62="N/A")+(R62="N/A")+(U62="N/A")+(X62="N/A"))&gt;0),"REVISAR","")</f>
        <v/>
      </c>
    </row>
    <row r="63">
      <c r="A63" s="24">
        <f>CRITERIOS!B51</f>
        <v/>
      </c>
      <c r="B63" s="24">
        <f>CRITERIOS!C51</f>
        <v/>
      </c>
      <c r="C63" s="25">
        <f>CRITERIOS!D51</f>
        <v/>
      </c>
      <c r="D63" s="24">
        <f>CRITERIOS!E51</f>
        <v/>
      </c>
      <c r="E63" s="24">
        <f>IFERROR(IF(AND(OR(CRITERIOS!F51="Todos",CRITERIOS!F51=$B$4),INDEX(CRITERIOS!H51:J51,MATCH($B$5,VARIABLES!$E$2:$E$4,0))=1),1,0),0)</f>
        <v/>
      </c>
      <c r="F63" s="24">
        <f>IFERROR(IF(E63=1,INDEX(CRITERIOS!K51:M51,MATCH($B$5,VARIABLES!$E$2:$E$4,0)),0),0)</f>
        <v/>
      </c>
      <c r="G63" s="24">
        <f>IF(CRITERIOS!N51="","",CRITERIOS!N51)</f>
        <v/>
      </c>
      <c r="H63" s="24">
        <f>IF(CRITERIOS!O51="","",CRITERIOS!O51)</f>
        <v/>
      </c>
      <c r="I63" s="21" t="n"/>
      <c r="J63" s="22">
        <f>IF(OR($E63=0,I$78=0),0,IF(AND(I63="N/A",$G63&lt;&gt;""),0,$F63+SUMPRODUCT(($G$14:$G$71=$A63)*($E$14:$E$71=1)*(I$14:I$71="N/A")*$F$14:$F$71)))</f>
        <v/>
      </c>
      <c r="K63" s="22">
        <f>IF(I63="SI",J63,0)</f>
        <v/>
      </c>
      <c r="L63" s="21" t="n"/>
      <c r="M63" s="22">
        <f>IF(OR($E63=0,L$78=0),0,IF(AND(L63="N/A",$G63&lt;&gt;""),0,$F63+SUMPRODUCT(($G$14:$G$71=$A63)*($E$14:$E$71=1)*(L$14:L$71="N/A")*$F$14:$F$71)))</f>
        <v/>
      </c>
      <c r="N63" s="22">
        <f>IF(L63="SI",M63,0)</f>
        <v/>
      </c>
      <c r="O63" s="21" t="n"/>
      <c r="P63" s="22">
        <f>IF(OR($E63=0,O$78=0),0,IF(AND(O63="N/A",$G63&lt;&gt;""),0,$F63+SUMPRODUCT(($G$14:$G$71=$A63)*($E$14:$E$71=1)*(O$14:O$71="N/A")*$F$14:$F$71)))</f>
        <v/>
      </c>
      <c r="Q63" s="22">
        <f>IF(O63="SI",P63,0)</f>
        <v/>
      </c>
      <c r="R63" s="21" t="n"/>
      <c r="S63" s="22">
        <f>IF(OR($E63=0,R$78=0),0,IF(AND(R63="N/A",$G63&lt;&gt;""),0,$F63+SUMPRODUCT(($G$14:$G$71=$A63)*($E$14:$E$71=1)*(R$14:R$71="N/A")*$F$14:$F$71)))</f>
        <v/>
      </c>
      <c r="T63" s="22">
        <f>IF(R63="SI",S63,0)</f>
        <v/>
      </c>
      <c r="U63" s="21" t="n"/>
      <c r="V63" s="22">
        <f>IF(OR($E63=0,U$78=0),0,IF(AND(U63="N/A",$G63&lt;&gt;""),0,$F63+SUMPRODUCT(($G$14:$G$71=$A63)*($E$14:$E$71=1)*(U$14:U$71="N/A")*$F$14:$F$71)))</f>
        <v/>
      </c>
      <c r="W63" s="22">
        <f>IF(U63="SI",V63,0)</f>
        <v/>
      </c>
      <c r="X63" s="21" t="n"/>
      <c r="Y63" s="22">
        <f>IF(OR($E63=0,X$78=0),0,IF(AND(X63="N/A",$G63&lt;&gt;""),0,$F63+SUMPRODUCT(($G$14:$G$71=$A63)*($E$14:$E$71=1)*(X$14:X$71="N/A")*$F$14:$F$71)))</f>
        <v/>
      </c>
      <c r="Z63" s="22">
        <f>IF(X63="SI",Y63,0)</f>
        <v/>
      </c>
      <c r="AA63" s="22">
        <f>SUM(J63,M63,P63,S63,V63,Y63)</f>
        <v/>
      </c>
      <c r="AB63" s="22">
        <f>SUM(K63,N63,Q63,T63,W63,Z63)</f>
        <v/>
      </c>
      <c r="AC63" s="23">
        <f>IF(AA63=0,"",AB63/AA63)</f>
        <v/>
      </c>
      <c r="AD63" s="22">
        <f>CRITERIOS!Q51</f>
        <v/>
      </c>
      <c r="AE63" s="22">
        <f>IF(AND(E63=1,H63&lt;&gt;"X",((I63="N/A")+(L63="N/A")+(O63="N/A")+(R63="N/A")+(U63="N/A")+(X63="N/A"))&gt;0),"REVISAR","")</f>
        <v/>
      </c>
    </row>
    <row r="64">
      <c r="A64" s="22">
        <f>CRITERIOS!B52</f>
        <v/>
      </c>
      <c r="B64" s="22">
        <f>CRITERIOS!C52</f>
        <v/>
      </c>
      <c r="C64" s="8">
        <f>CRITERIOS!D52</f>
        <v/>
      </c>
      <c r="D64" s="22">
        <f>CRITERIOS!E52</f>
        <v/>
      </c>
      <c r="E64" s="22">
        <f>IFERROR(IF(AND(OR(CRITERIOS!F52="Todos",CRITERIOS!F52=$B$4),INDEX(CRITERIOS!H52:J52,MATCH($B$5,VARIABLES!$E$2:$E$4,0))=1),1,0),0)</f>
        <v/>
      </c>
      <c r="F64" s="22">
        <f>IFERROR(IF(E64=1,INDEX(CRITERIOS!K52:M52,MATCH($B$5,VARIABLES!$E$2:$E$4,0)),0),0)</f>
        <v/>
      </c>
      <c r="G64" s="22">
        <f>IF(CRITERIOS!N52="","",CRITERIOS!N52)</f>
        <v/>
      </c>
      <c r="H64" s="22">
        <f>IF(CRITERIOS!O52="","",CRITERIOS!O52)</f>
        <v/>
      </c>
      <c r="I64" s="21" t="n"/>
      <c r="J64" s="22">
        <f>IF(OR($E64=0,I$78=0),0,IF(AND(I64="N/A",$G64&lt;&gt;""),0,$F64+SUMPRODUCT(($G$14:$G$71=$A64)*($E$14:$E$71=1)*(I$14:I$71="N/A")*$F$14:$F$71)))</f>
        <v/>
      </c>
      <c r="K64" s="22">
        <f>IF(I64="SI",J64,0)</f>
        <v/>
      </c>
      <c r="L64" s="21" t="n"/>
      <c r="M64" s="22">
        <f>IF(OR($E64=0,L$78=0),0,IF(AND(L64="N/A",$G64&lt;&gt;""),0,$F64+SUMPRODUCT(($G$14:$G$71=$A64)*($E$14:$E$71=1)*(L$14:L$71="N/A")*$F$14:$F$71)))</f>
        <v/>
      </c>
      <c r="N64" s="22">
        <f>IF(L64="SI",M64,0)</f>
        <v/>
      </c>
      <c r="O64" s="21" t="n"/>
      <c r="P64" s="22">
        <f>IF(OR($E64=0,O$78=0),0,IF(AND(O64="N/A",$G64&lt;&gt;""),0,$F64+SUMPRODUCT(($G$14:$G$71=$A64)*($E$14:$E$71=1)*(O$14:O$71="N/A")*$F$14:$F$71)))</f>
        <v/>
      </c>
      <c r="Q64" s="22">
        <f>IF(O64="SI",P64,0)</f>
        <v/>
      </c>
      <c r="R64" s="21" t="n"/>
      <c r="S64" s="22">
        <f>IF(OR($E64=0,R$78=0),0,IF(AND(R64="N/A",$G64&lt;&gt;""),0,$F64+SUMPRODUCT(($G$14:$G$71=$A64)*($E$14:$E$71=1)*(R$14:R$71="N/A")*$F$14:$F$71)))</f>
        <v/>
      </c>
      <c r="T64" s="22">
        <f>IF(R64="SI",S64,0)</f>
        <v/>
      </c>
      <c r="U64" s="21" t="n"/>
      <c r="V64" s="22">
        <f>IF(OR($E64=0,U$78=0),0,IF(AND(U64="N/A",$G64&lt;&gt;""),0,$F64+SUMPRODUCT(($G$14:$G$71=$A64)*($E$14:$E$71=1)*(U$14:U$71="N/A")*$F$14:$F$71)))</f>
        <v/>
      </c>
      <c r="W64" s="22">
        <f>IF(U64="SI",V64,0)</f>
        <v/>
      </c>
      <c r="X64" s="21" t="n"/>
      <c r="Y64" s="22">
        <f>IF(OR($E64=0,X$78=0),0,IF(AND(X64="N/A",$G64&lt;&gt;""),0,$F64+SUMPRODUCT(($G$14:$G$71=$A64)*($E$14:$E$71=1)*(X$14:X$71="N/A")*$F$14:$F$71)))</f>
        <v/>
      </c>
      <c r="Z64" s="22">
        <f>IF(X64="SI",Y64,0)</f>
        <v/>
      </c>
      <c r="AA64" s="22">
        <f>SUM(J64,M64,P64,S64,V64,Y64)</f>
        <v/>
      </c>
      <c r="AB64" s="22">
        <f>SUM(K64,N64,Q64,T64,W64,Z64)</f>
        <v/>
      </c>
      <c r="AC64" s="23">
        <f>IF(AA64=0,"",AB64/AA64)</f>
        <v/>
      </c>
      <c r="AD64" s="22">
        <f>CRITERIOS!Q52</f>
        <v/>
      </c>
      <c r="AE64" s="22">
        <f>IF(AND(E64=1,H64&lt;&gt;"X",((I64="N/A")+(L64="N/A")+(O64="N/A")+(R64="N/A")+(U64="N/A")+(X64="N/A"))&gt;0),"REVISAR","")</f>
        <v/>
      </c>
    </row>
    <row r="65">
      <c r="A65" s="24">
        <f>CRITERIOS!B53</f>
        <v/>
      </c>
      <c r="B65" s="24">
        <f>CRITERIOS!C53</f>
        <v/>
      </c>
      <c r="C65" s="25">
        <f>CRITERIOS!D53</f>
        <v/>
      </c>
      <c r="D65" s="24">
        <f>CRITERIOS!E53</f>
        <v/>
      </c>
      <c r="E65" s="24">
        <f>IFERROR(IF(AND(OR(CRITERIOS!F53="Todos",CRITERIOS!F53=$B$4),INDEX(CRITERIOS!H53:J53,MATCH($B$5,VARIABLES!$E$2:$E$4,0))=1),1,0),0)</f>
        <v/>
      </c>
      <c r="F65" s="24">
        <f>IFERROR(IF(E65=1,INDEX(CRITERIOS!K53:M53,MATCH($B$5,VARIABLES!$E$2:$E$4,0)),0),0)</f>
        <v/>
      </c>
      <c r="G65" s="24">
        <f>IF(CRITERIOS!N53="","",CRITERIOS!N53)</f>
        <v/>
      </c>
      <c r="H65" s="24">
        <f>IF(CRITERIOS!O53="","",CRITERIOS!O53)</f>
        <v/>
      </c>
      <c r="I65" s="21" t="n"/>
      <c r="J65" s="22">
        <f>IF(OR($E65=0,I$78=0),0,IF(AND(I65="N/A",$G65&lt;&gt;""),0,$F65+SUMPRODUCT(($G$14:$G$71=$A65)*($E$14:$E$71=1)*(I$14:I$71="N/A")*$F$14:$F$71)))</f>
        <v/>
      </c>
      <c r="K65" s="22">
        <f>IF(I65="SI",J65,0)</f>
        <v/>
      </c>
      <c r="L65" s="21" t="n"/>
      <c r="M65" s="22">
        <f>IF(OR($E65=0,L$78=0),0,IF(AND(L65="N/A",$G65&lt;&gt;""),0,$F65+SUMPRODUCT(($G$14:$G$71=$A65)*($E$14:$E$71=1)*(L$14:L$71="N/A")*$F$14:$F$71)))</f>
        <v/>
      </c>
      <c r="N65" s="22">
        <f>IF(L65="SI",M65,0)</f>
        <v/>
      </c>
      <c r="O65" s="21" t="n"/>
      <c r="P65" s="22">
        <f>IF(OR($E65=0,O$78=0),0,IF(AND(O65="N/A",$G65&lt;&gt;""),0,$F65+SUMPRODUCT(($G$14:$G$71=$A65)*($E$14:$E$71=1)*(O$14:O$71="N/A")*$F$14:$F$71)))</f>
        <v/>
      </c>
      <c r="Q65" s="22">
        <f>IF(O65="SI",P65,0)</f>
        <v/>
      </c>
      <c r="R65" s="21" t="n"/>
      <c r="S65" s="22">
        <f>IF(OR($E65=0,R$78=0),0,IF(AND(R65="N/A",$G65&lt;&gt;""),0,$F65+SUMPRODUCT(($G$14:$G$71=$A65)*($E$14:$E$71=1)*(R$14:R$71="N/A")*$F$14:$F$71)))</f>
        <v/>
      </c>
      <c r="T65" s="22">
        <f>IF(R65="SI",S65,0)</f>
        <v/>
      </c>
      <c r="U65" s="21" t="n"/>
      <c r="V65" s="22">
        <f>IF(OR($E65=0,U$78=0),0,IF(AND(U65="N/A",$G65&lt;&gt;""),0,$F65+SUMPRODUCT(($G$14:$G$71=$A65)*($E$14:$E$71=1)*(U$14:U$71="N/A")*$F$14:$F$71)))</f>
        <v/>
      </c>
      <c r="W65" s="22">
        <f>IF(U65="SI",V65,0)</f>
        <v/>
      </c>
      <c r="X65" s="21" t="n"/>
      <c r="Y65" s="22">
        <f>IF(OR($E65=0,X$78=0),0,IF(AND(X65="N/A",$G65&lt;&gt;""),0,$F65+SUMPRODUCT(($G$14:$G$71=$A65)*($E$14:$E$71=1)*(X$14:X$71="N/A")*$F$14:$F$71)))</f>
        <v/>
      </c>
      <c r="Z65" s="22">
        <f>IF(X65="SI",Y65,0)</f>
        <v/>
      </c>
      <c r="AA65" s="22">
        <f>SUM(J65,M65,P65,S65,V65,Y65)</f>
        <v/>
      </c>
      <c r="AB65" s="22">
        <f>SUM(K65,N65,Q65,T65,W65,Z65)</f>
        <v/>
      </c>
      <c r="AC65" s="23">
        <f>IF(AA65=0,"",AB65/AA65)</f>
        <v/>
      </c>
      <c r="AD65" s="22">
        <f>CRITERIOS!Q53</f>
        <v/>
      </c>
      <c r="AE65" s="22">
        <f>IF(AND(E65=1,H65&lt;&gt;"X",((I65="N/A")+(L65="N/A")+(O65="N/A")+(R65="N/A")+(U65="N/A")+(X65="N/A"))&gt;0),"REVISAR","")</f>
        <v/>
      </c>
    </row>
    <row r="66">
      <c r="A66" s="24">
        <f>CRITERIOS!B54</f>
        <v/>
      </c>
      <c r="B66" s="24">
        <f>CRITERIOS!C54</f>
        <v/>
      </c>
      <c r="C66" s="25">
        <f>CRITERIOS!D54</f>
        <v/>
      </c>
      <c r="D66" s="24">
        <f>CRITERIOS!E54</f>
        <v/>
      </c>
      <c r="E66" s="24">
        <f>IFERROR(IF(AND(OR(CRITERIOS!F54="Todos",CRITERIOS!F54=$B$4),INDEX(CRITERIOS!H54:J54,MATCH($B$5,VARIABLES!$E$2:$E$4,0))=1),1,0),0)</f>
        <v/>
      </c>
      <c r="F66" s="24">
        <f>IFERROR(IF(E66=1,INDEX(CRITERIOS!K54:M54,MATCH($B$5,VARIABLES!$E$2:$E$4,0)),0),0)</f>
        <v/>
      </c>
      <c r="G66" s="24">
        <f>IF(CRITERIOS!N54="","",CRITERIOS!N54)</f>
        <v/>
      </c>
      <c r="H66" s="24">
        <f>IF(CRITERIOS!O54="","",CRITERIOS!O54)</f>
        <v/>
      </c>
      <c r="I66" s="21" t="n"/>
      <c r="J66" s="22">
        <f>IF(OR($E66=0,I$78=0),0,IF(AND(I66="N/A",$G66&lt;&gt;""),0,$F66+SUMPRODUCT(($G$14:$G$71=$A66)*($E$14:$E$71=1)*(I$14:I$71="N/A")*$F$14:$F$71)))</f>
        <v/>
      </c>
      <c r="K66" s="22">
        <f>IF(I66="SI",J66,0)</f>
        <v/>
      </c>
      <c r="L66" s="21" t="n"/>
      <c r="M66" s="22">
        <f>IF(OR($E66=0,L$78=0),0,IF(AND(L66="N/A",$G66&lt;&gt;""),0,$F66+SUMPRODUCT(($G$14:$G$71=$A66)*($E$14:$E$71=1)*(L$14:L$71="N/A")*$F$14:$F$71)))</f>
        <v/>
      </c>
      <c r="N66" s="22">
        <f>IF(L66="SI",M66,0)</f>
        <v/>
      </c>
      <c r="O66" s="21" t="n"/>
      <c r="P66" s="22">
        <f>IF(OR($E66=0,O$78=0),0,IF(AND(O66="N/A",$G66&lt;&gt;""),0,$F66+SUMPRODUCT(($G$14:$G$71=$A66)*($E$14:$E$71=1)*(O$14:O$71="N/A")*$F$14:$F$71)))</f>
        <v/>
      </c>
      <c r="Q66" s="22">
        <f>IF(O66="SI",P66,0)</f>
        <v/>
      </c>
      <c r="R66" s="21" t="n"/>
      <c r="S66" s="22">
        <f>IF(OR($E66=0,R$78=0),0,IF(AND(R66="N/A",$G66&lt;&gt;""),0,$F66+SUMPRODUCT(($G$14:$G$71=$A66)*($E$14:$E$71=1)*(R$14:R$71="N/A")*$F$14:$F$71)))</f>
        <v/>
      </c>
      <c r="T66" s="22">
        <f>IF(R66="SI",S66,0)</f>
        <v/>
      </c>
      <c r="U66" s="21" t="n"/>
      <c r="V66" s="22">
        <f>IF(OR($E66=0,U$78=0),0,IF(AND(U66="N/A",$G66&lt;&gt;""),0,$F66+SUMPRODUCT(($G$14:$G$71=$A66)*($E$14:$E$71=1)*(U$14:U$71="N/A")*$F$14:$F$71)))</f>
        <v/>
      </c>
      <c r="W66" s="22">
        <f>IF(U66="SI",V66,0)</f>
        <v/>
      </c>
      <c r="X66" s="21" t="n"/>
      <c r="Y66" s="22">
        <f>IF(OR($E66=0,X$78=0),0,IF(AND(X66="N/A",$G66&lt;&gt;""),0,$F66+SUMPRODUCT(($G$14:$G$71=$A66)*($E$14:$E$71=1)*(X$14:X$71="N/A")*$F$14:$F$71)))</f>
        <v/>
      </c>
      <c r="Z66" s="22">
        <f>IF(X66="SI",Y66,0)</f>
        <v/>
      </c>
      <c r="AA66" s="22">
        <f>SUM(J66,M66,P66,S66,V66,Y66)</f>
        <v/>
      </c>
      <c r="AB66" s="22">
        <f>SUM(K66,N66,Q66,T66,W66,Z66)</f>
        <v/>
      </c>
      <c r="AC66" s="23">
        <f>IF(AA66=0,"",AB66/AA66)</f>
        <v/>
      </c>
      <c r="AD66" s="22">
        <f>CRITERIOS!Q54</f>
        <v/>
      </c>
      <c r="AE66" s="22">
        <f>IF(AND(E66=1,H66&lt;&gt;"X",((I66="N/A")+(L66="N/A")+(O66="N/A")+(R66="N/A")+(U66="N/A")+(X66="N/A"))&gt;0),"REVISAR","")</f>
        <v/>
      </c>
    </row>
    <row r="67">
      <c r="A67" s="24">
        <f>CRITERIOS!B55</f>
        <v/>
      </c>
      <c r="B67" s="24">
        <f>CRITERIOS!C55</f>
        <v/>
      </c>
      <c r="C67" s="25">
        <f>CRITERIOS!D55</f>
        <v/>
      </c>
      <c r="D67" s="24">
        <f>CRITERIOS!E55</f>
        <v/>
      </c>
      <c r="E67" s="24">
        <f>IFERROR(IF(AND(OR(CRITERIOS!F55="Todos",CRITERIOS!F55=$B$4),INDEX(CRITERIOS!H55:J55,MATCH($B$5,VARIABLES!$E$2:$E$4,0))=1),1,0),0)</f>
        <v/>
      </c>
      <c r="F67" s="24">
        <f>IFERROR(IF(E67=1,INDEX(CRITERIOS!K55:M55,MATCH($B$5,VARIABLES!$E$2:$E$4,0)),0),0)</f>
        <v/>
      </c>
      <c r="G67" s="24">
        <f>IF(CRITERIOS!N55="","",CRITERIOS!N55)</f>
        <v/>
      </c>
      <c r="H67" s="24">
        <f>IF(CRITERIOS!O55="","",CRITERIOS!O55)</f>
        <v/>
      </c>
      <c r="I67" s="21" t="n"/>
      <c r="J67" s="22">
        <f>IF(OR($E67=0,I$78=0),0,IF(AND(I67="N/A",$G67&lt;&gt;""),0,$F67+SUMPRODUCT(($G$14:$G$71=$A67)*($E$14:$E$71=1)*(I$14:I$71="N/A")*$F$14:$F$71)))</f>
        <v/>
      </c>
      <c r="K67" s="22">
        <f>IF(I67="SI",J67,0)</f>
        <v/>
      </c>
      <c r="L67" s="21" t="n"/>
      <c r="M67" s="22">
        <f>IF(OR($E67=0,L$78=0),0,IF(AND(L67="N/A",$G67&lt;&gt;""),0,$F67+SUMPRODUCT(($G$14:$G$71=$A67)*($E$14:$E$71=1)*(L$14:L$71="N/A")*$F$14:$F$71)))</f>
        <v/>
      </c>
      <c r="N67" s="22">
        <f>IF(L67="SI",M67,0)</f>
        <v/>
      </c>
      <c r="O67" s="21" t="n"/>
      <c r="P67" s="22">
        <f>IF(OR($E67=0,O$78=0),0,IF(AND(O67="N/A",$G67&lt;&gt;""),0,$F67+SUMPRODUCT(($G$14:$G$71=$A67)*($E$14:$E$71=1)*(O$14:O$71="N/A")*$F$14:$F$71)))</f>
        <v/>
      </c>
      <c r="Q67" s="22">
        <f>IF(O67="SI",P67,0)</f>
        <v/>
      </c>
      <c r="R67" s="21" t="n"/>
      <c r="S67" s="22">
        <f>IF(OR($E67=0,R$78=0),0,IF(AND(R67="N/A",$G67&lt;&gt;""),0,$F67+SUMPRODUCT(($G$14:$G$71=$A67)*($E$14:$E$71=1)*(R$14:R$71="N/A")*$F$14:$F$71)))</f>
        <v/>
      </c>
      <c r="T67" s="22">
        <f>IF(R67="SI",S67,0)</f>
        <v/>
      </c>
      <c r="U67" s="21" t="n"/>
      <c r="V67" s="22">
        <f>IF(OR($E67=0,U$78=0),0,IF(AND(U67="N/A",$G67&lt;&gt;""),0,$F67+SUMPRODUCT(($G$14:$G$71=$A67)*($E$14:$E$71=1)*(U$14:U$71="N/A")*$F$14:$F$71)))</f>
        <v/>
      </c>
      <c r="W67" s="22">
        <f>IF(U67="SI",V67,0)</f>
        <v/>
      </c>
      <c r="X67" s="21" t="n"/>
      <c r="Y67" s="22">
        <f>IF(OR($E67=0,X$78=0),0,IF(AND(X67="N/A",$G67&lt;&gt;""),0,$F67+SUMPRODUCT(($G$14:$G$71=$A67)*($E$14:$E$71=1)*(X$14:X$71="N/A")*$F$14:$F$71)))</f>
        <v/>
      </c>
      <c r="Z67" s="22">
        <f>IF(X67="SI",Y67,0)</f>
        <v/>
      </c>
      <c r="AA67" s="22">
        <f>SUM(J67,M67,P67,S67,V67,Y67)</f>
        <v/>
      </c>
      <c r="AB67" s="22">
        <f>SUM(K67,N67,Q67,T67,W67,Z67)</f>
        <v/>
      </c>
      <c r="AC67" s="23">
        <f>IF(AA67=0,"",AB67/AA67)</f>
        <v/>
      </c>
      <c r="AD67" s="22">
        <f>CRITERIOS!Q55</f>
        <v/>
      </c>
      <c r="AE67" s="22">
        <f>IF(AND(E67=1,H67&lt;&gt;"X",((I67="N/A")+(L67="N/A")+(O67="N/A")+(R67="N/A")+(U67="N/A")+(X67="N/A"))&gt;0),"REVISAR","")</f>
        <v/>
      </c>
    </row>
    <row r="68">
      <c r="A68" s="24">
        <f>CRITERIOS!B56</f>
        <v/>
      </c>
      <c r="B68" s="24">
        <f>CRITERIOS!C56</f>
        <v/>
      </c>
      <c r="C68" s="25">
        <f>CRITERIOS!D56</f>
        <v/>
      </c>
      <c r="D68" s="24">
        <f>CRITERIOS!E56</f>
        <v/>
      </c>
      <c r="E68" s="24">
        <f>IFERROR(IF(AND(OR(CRITERIOS!F56="Todos",CRITERIOS!F56=$B$4),INDEX(CRITERIOS!H56:J56,MATCH($B$5,VARIABLES!$E$2:$E$4,0))=1),1,0),0)</f>
        <v/>
      </c>
      <c r="F68" s="24">
        <f>IFERROR(IF(E68=1,INDEX(CRITERIOS!K56:M56,MATCH($B$5,VARIABLES!$E$2:$E$4,0)),0),0)</f>
        <v/>
      </c>
      <c r="G68" s="24">
        <f>IF(CRITERIOS!N56="","",CRITERIOS!N56)</f>
        <v/>
      </c>
      <c r="H68" s="24">
        <f>IF(CRITERIOS!O56="","",CRITERIOS!O56)</f>
        <v/>
      </c>
      <c r="I68" s="21" t="n"/>
      <c r="J68" s="22">
        <f>IF(OR($E68=0,I$78=0),0,IF(AND(I68="N/A",$G68&lt;&gt;""),0,$F68+SUMPRODUCT(($G$14:$G$71=$A68)*($E$14:$E$71=1)*(I$14:I$71="N/A")*$F$14:$F$71)))</f>
        <v/>
      </c>
      <c r="K68" s="22">
        <f>IF(I68="SI",J68,0)</f>
        <v/>
      </c>
      <c r="L68" s="21" t="n"/>
      <c r="M68" s="22">
        <f>IF(OR($E68=0,L$78=0),0,IF(AND(L68="N/A",$G68&lt;&gt;""),0,$F68+SUMPRODUCT(($G$14:$G$71=$A68)*($E$14:$E$71=1)*(L$14:L$71="N/A")*$F$14:$F$71)))</f>
        <v/>
      </c>
      <c r="N68" s="22">
        <f>IF(L68="SI",M68,0)</f>
        <v/>
      </c>
      <c r="O68" s="21" t="n"/>
      <c r="P68" s="22">
        <f>IF(OR($E68=0,O$78=0),0,IF(AND(O68="N/A",$G68&lt;&gt;""),0,$F68+SUMPRODUCT(($G$14:$G$71=$A68)*($E$14:$E$71=1)*(O$14:O$71="N/A")*$F$14:$F$71)))</f>
        <v/>
      </c>
      <c r="Q68" s="22">
        <f>IF(O68="SI",P68,0)</f>
        <v/>
      </c>
      <c r="R68" s="21" t="n"/>
      <c r="S68" s="22">
        <f>IF(OR($E68=0,R$78=0),0,IF(AND(R68="N/A",$G68&lt;&gt;""),0,$F68+SUMPRODUCT(($G$14:$G$71=$A68)*($E$14:$E$71=1)*(R$14:R$71="N/A")*$F$14:$F$71)))</f>
        <v/>
      </c>
      <c r="T68" s="22">
        <f>IF(R68="SI",S68,0)</f>
        <v/>
      </c>
      <c r="U68" s="21" t="n"/>
      <c r="V68" s="22">
        <f>IF(OR($E68=0,U$78=0),0,IF(AND(U68="N/A",$G68&lt;&gt;""),0,$F68+SUMPRODUCT(($G$14:$G$71=$A68)*($E$14:$E$71=1)*(U$14:U$71="N/A")*$F$14:$F$71)))</f>
        <v/>
      </c>
      <c r="W68" s="22">
        <f>IF(U68="SI",V68,0)</f>
        <v/>
      </c>
      <c r="X68" s="21" t="n"/>
      <c r="Y68" s="22">
        <f>IF(OR($E68=0,X$78=0),0,IF(AND(X68="N/A",$G68&lt;&gt;""),0,$F68+SUMPRODUCT(($G$14:$G$71=$A68)*($E$14:$E$71=1)*(X$14:X$71="N/A")*$F$14:$F$71)))</f>
        <v/>
      </c>
      <c r="Z68" s="22">
        <f>IF(X68="SI",Y68,0)</f>
        <v/>
      </c>
      <c r="AA68" s="22">
        <f>SUM(J68,M68,P68,S68,V68,Y68)</f>
        <v/>
      </c>
      <c r="AB68" s="22">
        <f>SUM(K68,N68,Q68,T68,W68,Z68)</f>
        <v/>
      </c>
      <c r="AC68" s="23">
        <f>IF(AA68=0,"",AB68/AA68)</f>
        <v/>
      </c>
      <c r="AD68" s="22">
        <f>CRITERIOS!Q56</f>
        <v/>
      </c>
      <c r="AE68" s="22">
        <f>IF(AND(E68=1,H68&lt;&gt;"X",((I68="N/A")+(L68="N/A")+(O68="N/A")+(R68="N/A")+(U68="N/A")+(X68="N/A"))&gt;0),"REVISAR","")</f>
        <v/>
      </c>
    </row>
    <row r="69">
      <c r="A69" s="22">
        <f>CRITERIOS!B57</f>
        <v/>
      </c>
      <c r="B69" s="22">
        <f>CRITERIOS!C57</f>
        <v/>
      </c>
      <c r="C69" s="8">
        <f>CRITERIOS!D57</f>
        <v/>
      </c>
      <c r="D69" s="22">
        <f>CRITERIOS!E57</f>
        <v/>
      </c>
      <c r="E69" s="22">
        <f>IFERROR(IF(AND(OR(CRITERIOS!F57="Todos",CRITERIOS!F57=$B$4),INDEX(CRITERIOS!H57:J57,MATCH($B$5,VARIABLES!$E$2:$E$4,0))=1),1,0),0)</f>
        <v/>
      </c>
      <c r="F69" s="22">
        <f>IFERROR(IF(E69=1,INDEX(CRITERIOS!K57:M57,MATCH($B$5,VARIABLES!$E$2:$E$4,0)),0),0)</f>
        <v/>
      </c>
      <c r="G69" s="22">
        <f>IF(CRITERIOS!N57="","",CRITERIOS!N57)</f>
        <v/>
      </c>
      <c r="H69" s="22">
        <f>IF(CRITERIOS!O57="","",CRITERIOS!O57)</f>
        <v/>
      </c>
      <c r="I69" s="21" t="n"/>
      <c r="J69" s="22">
        <f>IF(OR($E69=0,I$78=0),0,IF(AND(I69="N/A",$G69&lt;&gt;""),0,$F69+SUMPRODUCT(($G$14:$G$71=$A69)*($E$14:$E$71=1)*(I$14:I$71="N/A")*$F$14:$F$71)))</f>
        <v/>
      </c>
      <c r="K69" s="22">
        <f>IF(I69="SI",J69,0)</f>
        <v/>
      </c>
      <c r="L69" s="21" t="n"/>
      <c r="M69" s="22">
        <f>IF(OR($E69=0,L$78=0),0,IF(AND(L69="N/A",$G69&lt;&gt;""),0,$F69+SUMPRODUCT(($G$14:$G$71=$A69)*($E$14:$E$71=1)*(L$14:L$71="N/A")*$F$14:$F$71)))</f>
        <v/>
      </c>
      <c r="N69" s="22">
        <f>IF(L69="SI",M69,0)</f>
        <v/>
      </c>
      <c r="O69" s="21" t="n"/>
      <c r="P69" s="22">
        <f>IF(OR($E69=0,O$78=0),0,IF(AND(O69="N/A",$G69&lt;&gt;""),0,$F69+SUMPRODUCT(($G$14:$G$71=$A69)*($E$14:$E$71=1)*(O$14:O$71="N/A")*$F$14:$F$71)))</f>
        <v/>
      </c>
      <c r="Q69" s="22">
        <f>IF(O69="SI",P69,0)</f>
        <v/>
      </c>
      <c r="R69" s="21" t="n"/>
      <c r="S69" s="22">
        <f>IF(OR($E69=0,R$78=0),0,IF(AND(R69="N/A",$G69&lt;&gt;""),0,$F69+SUMPRODUCT(($G$14:$G$71=$A69)*($E$14:$E$71=1)*(R$14:R$71="N/A")*$F$14:$F$71)))</f>
        <v/>
      </c>
      <c r="T69" s="22">
        <f>IF(R69="SI",S69,0)</f>
        <v/>
      </c>
      <c r="U69" s="21" t="n"/>
      <c r="V69" s="22">
        <f>IF(OR($E69=0,U$78=0),0,IF(AND(U69="N/A",$G69&lt;&gt;""),0,$F69+SUMPRODUCT(($G$14:$G$71=$A69)*($E$14:$E$71=1)*(U$14:U$71="N/A")*$F$14:$F$71)))</f>
        <v/>
      </c>
      <c r="W69" s="22">
        <f>IF(U69="SI",V69,0)</f>
        <v/>
      </c>
      <c r="X69" s="21" t="n"/>
      <c r="Y69" s="22">
        <f>IF(OR($E69=0,X$78=0),0,IF(AND(X69="N/A",$G69&lt;&gt;""),0,$F69+SUMPRODUCT(($G$14:$G$71=$A69)*($E$14:$E$71=1)*(X$14:X$71="N/A")*$F$14:$F$71)))</f>
        <v/>
      </c>
      <c r="Z69" s="22">
        <f>IF(X69="SI",Y69,0)</f>
        <v/>
      </c>
      <c r="AA69" s="22">
        <f>SUM(J69,M69,P69,S69,V69,Y69)</f>
        <v/>
      </c>
      <c r="AB69" s="22">
        <f>SUM(K69,N69,Q69,T69,W69,Z69)</f>
        <v/>
      </c>
      <c r="AC69" s="23">
        <f>IF(AA69=0,"",AB69/AA69)</f>
        <v/>
      </c>
      <c r="AD69" s="22">
        <f>CRITERIOS!Q57</f>
        <v/>
      </c>
      <c r="AE69" s="22">
        <f>IF(AND(E69=1,H69&lt;&gt;"X",((I69="N/A")+(L69="N/A")+(O69="N/A")+(R69="N/A")+(U69="N/A")+(X69="N/A"))&gt;0),"REVISAR","")</f>
        <v/>
      </c>
    </row>
    <row r="70">
      <c r="A70" s="22">
        <f>CRITERIOS!B58</f>
        <v/>
      </c>
      <c r="B70" s="22">
        <f>CRITERIOS!C58</f>
        <v/>
      </c>
      <c r="C70" s="8">
        <f>CRITERIOS!D58</f>
        <v/>
      </c>
      <c r="D70" s="22">
        <f>CRITERIOS!E58</f>
        <v/>
      </c>
      <c r="E70" s="22">
        <f>IFERROR(IF(AND(OR(CRITERIOS!F58="Todos",CRITERIOS!F58=$B$4),INDEX(CRITERIOS!H58:J58,MATCH($B$5,VARIABLES!$E$2:$E$4,0))=1),1,0),0)</f>
        <v/>
      </c>
      <c r="F70" s="22">
        <f>IFERROR(IF(E70=1,INDEX(CRITERIOS!K58:M58,MATCH($B$5,VARIABLES!$E$2:$E$4,0)),0),0)</f>
        <v/>
      </c>
      <c r="G70" s="22">
        <f>IF(CRITERIOS!N58="","",CRITERIOS!N58)</f>
        <v/>
      </c>
      <c r="H70" s="22">
        <f>IF(CRITERIOS!O58="","",CRITERIOS!O58)</f>
        <v/>
      </c>
      <c r="I70" s="21" t="n"/>
      <c r="J70" s="22">
        <f>IF(OR($E70=0,I$78=0),0,IF(AND(I70="N/A",$G70&lt;&gt;""),0,$F70+SUMPRODUCT(($G$14:$G$71=$A70)*($E$14:$E$71=1)*(I$14:I$71="N/A")*$F$14:$F$71)))</f>
        <v/>
      </c>
      <c r="K70" s="22">
        <f>IF(I70="SI",J70,0)</f>
        <v/>
      </c>
      <c r="L70" s="21" t="n"/>
      <c r="M70" s="22">
        <f>IF(OR($E70=0,L$78=0),0,IF(AND(L70="N/A",$G70&lt;&gt;""),0,$F70+SUMPRODUCT(($G$14:$G$71=$A70)*($E$14:$E$71=1)*(L$14:L$71="N/A")*$F$14:$F$71)))</f>
        <v/>
      </c>
      <c r="N70" s="22">
        <f>IF(L70="SI",M70,0)</f>
        <v/>
      </c>
      <c r="O70" s="21" t="n"/>
      <c r="P70" s="22">
        <f>IF(OR($E70=0,O$78=0),0,IF(AND(O70="N/A",$G70&lt;&gt;""),0,$F70+SUMPRODUCT(($G$14:$G$71=$A70)*($E$14:$E$71=1)*(O$14:O$71="N/A")*$F$14:$F$71)))</f>
        <v/>
      </c>
      <c r="Q70" s="22">
        <f>IF(O70="SI",P70,0)</f>
        <v/>
      </c>
      <c r="R70" s="21" t="n"/>
      <c r="S70" s="22">
        <f>IF(OR($E70=0,R$78=0),0,IF(AND(R70="N/A",$G70&lt;&gt;""),0,$F70+SUMPRODUCT(($G$14:$G$71=$A70)*($E$14:$E$71=1)*(R$14:R$71="N/A")*$F$14:$F$71)))</f>
        <v/>
      </c>
      <c r="T70" s="22">
        <f>IF(R70="SI",S70,0)</f>
        <v/>
      </c>
      <c r="U70" s="21" t="n"/>
      <c r="V70" s="22">
        <f>IF(OR($E70=0,U$78=0),0,IF(AND(U70="N/A",$G70&lt;&gt;""),0,$F70+SUMPRODUCT(($G$14:$G$71=$A70)*($E$14:$E$71=1)*(U$14:U$71="N/A")*$F$14:$F$71)))</f>
        <v/>
      </c>
      <c r="W70" s="22">
        <f>IF(U70="SI",V70,0)</f>
        <v/>
      </c>
      <c r="X70" s="21" t="n"/>
      <c r="Y70" s="22">
        <f>IF(OR($E70=0,X$78=0),0,IF(AND(X70="N/A",$G70&lt;&gt;""),0,$F70+SUMPRODUCT(($G$14:$G$71=$A70)*($E$14:$E$71=1)*(X$14:X$71="N/A")*$F$14:$F$71)))</f>
        <v/>
      </c>
      <c r="Z70" s="22">
        <f>IF(X70="SI",Y70,0)</f>
        <v/>
      </c>
      <c r="AA70" s="22">
        <f>SUM(J70,M70,P70,S70,V70,Y70)</f>
        <v/>
      </c>
      <c r="AB70" s="22">
        <f>SUM(K70,N70,Q70,T70,W70,Z70)</f>
        <v/>
      </c>
      <c r="AC70" s="23">
        <f>IF(AA70=0,"",AB70/AA70)</f>
        <v/>
      </c>
      <c r="AD70" s="22">
        <f>CRITERIOS!Q58</f>
        <v/>
      </c>
      <c r="AE70" s="22">
        <f>IF(AND(E70=1,H70&lt;&gt;"X",((I70="N/A")+(L70="N/A")+(O70="N/A")+(R70="N/A")+(U70="N/A")+(X70="N/A"))&gt;0),"REVISAR","")</f>
        <v/>
      </c>
    </row>
    <row r="71">
      <c r="A71" s="24">
        <f>CRITERIOS!B59</f>
        <v/>
      </c>
      <c r="B71" s="24">
        <f>CRITERIOS!C59</f>
        <v/>
      </c>
      <c r="C71" s="25">
        <f>CRITERIOS!D59</f>
        <v/>
      </c>
      <c r="D71" s="24">
        <f>CRITERIOS!E59</f>
        <v/>
      </c>
      <c r="E71" s="24">
        <f>IFERROR(IF(AND(OR(CRITERIOS!F59="Todos",CRITERIOS!F59=$B$4),INDEX(CRITERIOS!H59:J59,MATCH($B$5,VARIABLES!$E$2:$E$4,0))=1),1,0),0)</f>
        <v/>
      </c>
      <c r="F71" s="24">
        <f>IFERROR(IF(E71=1,INDEX(CRITERIOS!K59:M59,MATCH($B$5,VARIABLES!$E$2:$E$4,0)),0),0)</f>
        <v/>
      </c>
      <c r="G71" s="24">
        <f>IF(CRITERIOS!N59="","",CRITERIOS!N59)</f>
        <v/>
      </c>
      <c r="H71" s="24">
        <f>IF(CRITERIOS!O59="","",CRITERIOS!O59)</f>
        <v/>
      </c>
      <c r="I71" s="21" t="n"/>
      <c r="J71" s="22">
        <f>IF(OR($E71=0,I$78=0),0,IF(AND(I71="N/A",$G71&lt;&gt;""),0,$F71+SUMPRODUCT(($G$14:$G$71=$A71)*($E$14:$E$71=1)*(I$14:I$71="N/A")*$F$14:$F$71)))</f>
        <v/>
      </c>
      <c r="K71" s="22">
        <f>IF(I71="SI",J71,0)</f>
        <v/>
      </c>
      <c r="L71" s="21" t="n"/>
      <c r="M71" s="22">
        <f>IF(OR($E71=0,L$78=0),0,IF(AND(L71="N/A",$G71&lt;&gt;""),0,$F71+SUMPRODUCT(($G$14:$G$71=$A71)*($E$14:$E$71=1)*(L$14:L$71="N/A")*$F$14:$F$71)))</f>
        <v/>
      </c>
      <c r="N71" s="22">
        <f>IF(L71="SI",M71,0)</f>
        <v/>
      </c>
      <c r="O71" s="21" t="n"/>
      <c r="P71" s="22">
        <f>IF(OR($E71=0,O$78=0),0,IF(AND(O71="N/A",$G71&lt;&gt;""),0,$F71+SUMPRODUCT(($G$14:$G$71=$A71)*($E$14:$E$71=1)*(O$14:O$71="N/A")*$F$14:$F$71)))</f>
        <v/>
      </c>
      <c r="Q71" s="22">
        <f>IF(O71="SI",P71,0)</f>
        <v/>
      </c>
      <c r="R71" s="21" t="n"/>
      <c r="S71" s="22">
        <f>IF(OR($E71=0,R$78=0),0,IF(AND(R71="N/A",$G71&lt;&gt;""),0,$F71+SUMPRODUCT(($G$14:$G$71=$A71)*($E$14:$E$71=1)*(R$14:R$71="N/A")*$F$14:$F$71)))</f>
        <v/>
      </c>
      <c r="T71" s="22">
        <f>IF(R71="SI",S71,0)</f>
        <v/>
      </c>
      <c r="U71" s="21" t="n"/>
      <c r="V71" s="22">
        <f>IF(OR($E71=0,U$78=0),0,IF(AND(U71="N/A",$G71&lt;&gt;""),0,$F71+SUMPRODUCT(($G$14:$G$71=$A71)*($E$14:$E$71=1)*(U$14:U$71="N/A")*$F$14:$F$71)))</f>
        <v/>
      </c>
      <c r="W71" s="22">
        <f>IF(U71="SI",V71,0)</f>
        <v/>
      </c>
      <c r="X71" s="21" t="n"/>
      <c r="Y71" s="22">
        <f>IF(OR($E71=0,X$78=0),0,IF(AND(X71="N/A",$G71&lt;&gt;""),0,$F71+SUMPRODUCT(($G$14:$G$71=$A71)*($E$14:$E$71=1)*(X$14:X$71="N/A")*$F$14:$F$71)))</f>
        <v/>
      </c>
      <c r="Z71" s="22">
        <f>IF(X71="SI",Y71,0)</f>
        <v/>
      </c>
      <c r="AA71" s="22">
        <f>SUM(J71,M71,P71,S71,V71,Y71)</f>
        <v/>
      </c>
      <c r="AB71" s="22">
        <f>SUM(K71,N71,Q71,T71,W71,Z71)</f>
        <v/>
      </c>
      <c r="AC71" s="23">
        <f>IF(AA71=0,"",AB71/AA71)</f>
        <v/>
      </c>
      <c r="AD71" s="22">
        <f>CRITERIOS!Q59</f>
        <v/>
      </c>
      <c r="AE71" s="22">
        <f>IF(AND(E71=1,H71&lt;&gt;"X",((I71="N/A")+(L71="N/A")+(O71="N/A")+(R71="N/A")+(U71="N/A")+(X71="N/A"))&gt;0),"REVISAR","")</f>
        <v/>
      </c>
    </row>
    <row r="73">
      <c r="C73" s="4" t="inlineStr">
        <is>
          <t>Puntaje de la conversación (/100)</t>
        </is>
      </c>
      <c r="K73" s="26">
        <f>IF(I78=1,SUM(K14:K71),"")</f>
        <v/>
      </c>
      <c r="N73" s="26">
        <f>IF(L78=1,SUM(N14:N71),"")</f>
        <v/>
      </c>
      <c r="Q73" s="26">
        <f>IF(O78=1,SUM(Q14:Q71),"")</f>
        <v/>
      </c>
      <c r="T73" s="26">
        <f>IF(R78=1,SUM(T14:T71),"")</f>
        <v/>
      </c>
      <c r="W73" s="26">
        <f>IF(U78=1,SUM(W14:W71),"")</f>
        <v/>
      </c>
      <c r="Z73" s="26">
        <f>IF(X78=1,SUM(Z14:Z71),"")</f>
        <v/>
      </c>
    </row>
    <row r="74">
      <c r="C74" s="4" t="inlineStr">
        <is>
          <t>Fase I: HD con NO (1 = reprueba)</t>
        </is>
      </c>
      <c r="I74">
        <f>IF(I78=1,IF(COUNTIFS($D$14:$D$71,"Control HD",I14:I71,"NO")&gt;0,1,0),0)</f>
        <v/>
      </c>
      <c r="L74">
        <f>IF(L78=1,IF(COUNTIFS($D$14:$D$71,"Control HD",L14:L71,"NO")&gt;0,1,0),0)</f>
        <v/>
      </c>
      <c r="O74">
        <f>IF(O78=1,IF(COUNTIFS($D$14:$D$71,"Control HD",O14:O71,"NO")&gt;0,1,0),0)</f>
        <v/>
      </c>
      <c r="R74">
        <f>IF(R78=1,IF(COUNTIFS($D$14:$D$71,"Control HD",R14:R71,"NO")&gt;0,1,0),0)</f>
        <v/>
      </c>
      <c r="U74">
        <f>IF(U78=1,IF(COUNTIFS($D$14:$D$71,"Control HD",U14:U71,"NO")&gt;0,1,0),0)</f>
        <v/>
      </c>
      <c r="X74">
        <f>IF(X78=1,IF(COUNTIFS($D$14:$D$71,"Control HD",X14:X71,"NO")&gt;0,1,0),0)</f>
        <v/>
      </c>
    </row>
    <row r="75">
      <c r="C75" s="4" t="inlineStr">
        <is>
          <t>ECU con error (1 = sí)</t>
        </is>
      </c>
      <c r="I75">
        <f>IF(I78=1,IF(COUNTIFS($D$14:$D$71,"ECU",I14:I71,"NO")&gt;0,1,0),0)</f>
        <v/>
      </c>
      <c r="L75">
        <f>IF(L78=1,IF(COUNTIFS($D$14:$D$71,"ECU",L14:L71,"NO")&gt;0,1,0),0)</f>
        <v/>
      </c>
      <c r="O75">
        <f>IF(O78=1,IF(COUNTIFS($D$14:$D$71,"ECU",O14:O71,"NO")&gt;0,1,0),0)</f>
        <v/>
      </c>
      <c r="R75">
        <f>IF(R78=1,IF(COUNTIFS($D$14:$D$71,"ECU",R14:R71,"NO")&gt;0,1,0),0)</f>
        <v/>
      </c>
      <c r="U75">
        <f>IF(U78=1,IF(COUNTIFS($D$14:$D$71,"ECU",U14:U71,"NO")&gt;0,1,0),0)</f>
        <v/>
      </c>
      <c r="X75">
        <f>IF(X78=1,IF(COUNTIFS($D$14:$D$71,"ECU",X14:X71,"NO")&gt;0,1,0),0)</f>
        <v/>
      </c>
    </row>
    <row r="76">
      <c r="C76" s="4" t="inlineStr">
        <is>
          <t>ECN con error (1 = sí)</t>
        </is>
      </c>
      <c r="I76">
        <f>IF(I78=1,IF(COUNTIFS($D$14:$D$71,"ECN",I14:I71,"NO")&gt;0,1,0),0)</f>
        <v/>
      </c>
      <c r="L76">
        <f>IF(L78=1,IF(COUNTIFS($D$14:$D$71,"ECN",L14:L71,"NO")&gt;0,1,0),0)</f>
        <v/>
      </c>
      <c r="O76">
        <f>IF(O78=1,IF(COUNTIFS($D$14:$D$71,"ECN",O14:O71,"NO")&gt;0,1,0),0)</f>
        <v/>
      </c>
      <c r="R76">
        <f>IF(R78=1,IF(COUNTIFS($D$14:$D$71,"ECN",R14:R71,"NO")&gt;0,1,0),0)</f>
        <v/>
      </c>
      <c r="U76">
        <f>IF(U78=1,IF(COUNTIFS($D$14:$D$71,"ECN",U14:U71,"NO")&gt;0,1,0),0)</f>
        <v/>
      </c>
      <c r="X76">
        <f>IF(X78=1,IF(COUNTIFS($D$14:$D$71,"ECN",X14:X71,"NO")&gt;0,1,0),0)</f>
        <v/>
      </c>
    </row>
    <row r="77">
      <c r="C77" s="4" t="inlineStr">
        <is>
          <t>ECC con error (1 = sí)</t>
        </is>
      </c>
      <c r="I77">
        <f>IF(I78=1,IF(COUNTIFS($D$14:$D$71,"ECC",I14:I71,"NO")&gt;0,1,0),0)</f>
        <v/>
      </c>
      <c r="L77">
        <f>IF(L78=1,IF(COUNTIFS($D$14:$D$71,"ECC",L14:L71,"NO")&gt;0,1,0),0)</f>
        <v/>
      </c>
      <c r="O77">
        <f>IF(O78=1,IF(COUNTIFS($D$14:$D$71,"ECC",O14:O71,"NO")&gt;0,1,0),0)</f>
        <v/>
      </c>
      <c r="R77">
        <f>IF(R78=1,IF(COUNTIFS($D$14:$D$71,"ECC",R14:R71,"NO")&gt;0,1,0),0)</f>
        <v/>
      </c>
      <c r="U77">
        <f>IF(U78=1,IF(COUNTIFS($D$14:$D$71,"ECC",U14:U71,"NO")&gt;0,1,0),0)</f>
        <v/>
      </c>
      <c r="X77">
        <f>IF(X78=1,IF(COUNTIFS($D$14:$D$71,"ECC",X14:X71,"NO")&gt;0,1,0),0)</f>
        <v/>
      </c>
    </row>
    <row r="78">
      <c r="C78" s="4" t="inlineStr">
        <is>
          <t>Conversación evaluada (1 = sí)</t>
        </is>
      </c>
      <c r="I78">
        <f>IF(COUNTA(I14:I71)&gt;0,1,0)</f>
        <v/>
      </c>
      <c r="L78">
        <f>IF(COUNTA(L14:L71)&gt;0,1,0)</f>
        <v/>
      </c>
      <c r="O78">
        <f>IF(COUNTA(O14:O71)&gt;0,1,0)</f>
        <v/>
      </c>
      <c r="R78">
        <f>IF(COUNTA(R14:R71)&gt;0,1,0)</f>
        <v/>
      </c>
      <c r="U78">
        <f>IF(COUNTA(U14:U71)&gt;0,1,0)</f>
        <v/>
      </c>
      <c r="X78">
        <f>IF(COUNTA(X14:X71)&gt;0,1,0)</f>
        <v/>
      </c>
    </row>
    <row r="79">
      <c r="C79" s="4" t="inlineStr">
        <is>
          <t>Casillas aplicables sin diligenciar</t>
        </is>
      </c>
      <c r="I79">
        <f>IF(I78=1,SUMPRODUCT(($E$14:$E$71=1)*(I14:I71="")),0)</f>
        <v/>
      </c>
      <c r="L79">
        <f>IF(L78=1,SUMPRODUCT(($E$14:$E$71=1)*(L14:L71="")),0)</f>
        <v/>
      </c>
      <c r="O79">
        <f>IF(O78=1,SUMPRODUCT(($E$14:$E$71=1)*(O14:O71="")),0)</f>
        <v/>
      </c>
      <c r="R79">
        <f>IF(R78=1,SUMPRODUCT(($E$14:$E$71=1)*(R14:R71="")),0)</f>
        <v/>
      </c>
      <c r="U79">
        <f>IF(U78=1,SUMPRODUCT(($E$14:$E$71=1)*(U14:U71="")),0)</f>
        <v/>
      </c>
      <c r="X79">
        <f>IF(X78=1,SUMPRODUCT(($E$14:$E$71=1)*(X14:X71="")),0)</f>
        <v/>
      </c>
    </row>
  </sheetData>
  <mergeCells count="18">
    <mergeCell ref="X10:Z10"/>
    <mergeCell ref="I11:K11"/>
    <mergeCell ref="X11:Z11"/>
    <mergeCell ref="I10:K10"/>
    <mergeCell ref="L11:N11"/>
    <mergeCell ref="L10:N10"/>
    <mergeCell ref="R11:T11"/>
    <mergeCell ref="R10:T10"/>
    <mergeCell ref="X9:Z9"/>
    <mergeCell ref="U10:W10"/>
    <mergeCell ref="I9:K9"/>
    <mergeCell ref="O9:Q9"/>
    <mergeCell ref="L9:N9"/>
    <mergeCell ref="R9:T9"/>
    <mergeCell ref="U9:W9"/>
    <mergeCell ref="U11:W11"/>
    <mergeCell ref="O10:Q10"/>
    <mergeCell ref="O11:Q11"/>
  </mergeCells>
  <dataValidations count="5">
    <dataValidation sqref="I14:I71 L14:L71 O14:O71 R14:R71 U14:U71 X14:X71" showDropDown="0" showInputMessage="0" showErrorMessage="0" allowBlank="1" type="list">
      <formula1>"SI,NO,N/A"</formula1>
    </dataValidation>
    <dataValidation sqref="B4" showDropDown="0" showInputMessage="0" showErrorMessage="0" allowBlank="1" type="list">
      <formula1>VARIABLES!$D$2:$D$5</formula1>
    </dataValidation>
    <dataValidation sqref="B5" showDropDown="0" showInputMessage="0" showErrorMessage="0" allowBlank="1" type="list">
      <formula1>VARIABLES!$E$2:$E$4</formula1>
    </dataValidation>
    <dataValidation sqref="I11 L11 O11 R11 U11 X11" showDropDown="0" showInputMessage="0" showErrorMessage="0" allowBlank="1" type="list">
      <formula1>VARIABLES!$B$2:$B$3</formula1>
    </dataValidation>
    <dataValidation sqref="B6" showDropDown="0" showInputMessage="0" showErrorMessage="0" allowBlank="1" type="list">
      <formula1>VARIABLES!$C$2:$C$13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79"/>
  <sheetViews>
    <sheetView workbookViewId="0">
      <pane xSplit="3" ySplit="13" topLeftCell="D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60" customWidth="1" min="3" max="3"/>
    <col width="11" customWidth="1" min="4" max="4"/>
    <col outlineLevel="1" width="7" customWidth="1" min="5" max="5"/>
    <col outlineLevel="1" width="7" customWidth="1" min="6" max="6"/>
    <col outlineLevel="1" width="9" customWidth="1" min="7" max="7"/>
    <col outlineLevel="1" width="8" customWidth="1" min="8" max="8"/>
    <col width="11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11" customWidth="1" min="15" max="15"/>
    <col width="8" customWidth="1" min="16" max="16"/>
    <col width="8" customWidth="1" min="17" max="17"/>
    <col width="11" customWidth="1" min="18" max="18"/>
    <col width="8" customWidth="1" min="19" max="19"/>
    <col width="8" customWidth="1" min="20" max="20"/>
    <col width="11" customWidth="1" min="21" max="21"/>
    <col width="8" customWidth="1" min="22" max="22"/>
    <col width="8" customWidth="1" min="23" max="23"/>
    <col width="11" customWidth="1" min="24" max="24"/>
    <col width="8" customWidth="1" min="25" max="25"/>
    <col width="8" customWidth="1" min="26" max="26"/>
    <col outlineLevel="1" width="10" customWidth="1" min="27" max="27"/>
    <col outlineLevel="1" width="10" customWidth="1" min="28" max="28"/>
    <col width="10" customWidth="1" min="29" max="29"/>
    <col outlineLevel="1" width="10" customWidth="1" min="30" max="30"/>
    <col width="10" customWidth="1" min="31" max="31"/>
  </cols>
  <sheetData>
    <row r="1">
      <c r="A1" s="3" t="inlineStr">
        <is>
          <t>FORMATO DE MONITOREO COMERCIAL · PREVENTA Y VENTA</t>
        </is>
      </c>
    </row>
    <row r="3">
      <c r="A3" s="4" t="inlineStr">
        <is>
          <t>Asesor</t>
        </is>
      </c>
      <c r="B3" s="5" t="n"/>
      <c r="I3" s="4" t="inlineStr">
        <is>
          <t>Fase I (Habeas Data)</t>
        </is>
      </c>
      <c r="P3" s="16">
        <f>IF($B$7=0,"",IF(SUM(I74,L74,O74,R74,U74,X74)&gt;0,"Reprobada","Aprobada"))</f>
        <v/>
      </c>
      <c r="S3" s="4" t="inlineStr">
        <is>
          <t>ECU · % sin error</t>
        </is>
      </c>
      <c r="Z3" s="17">
        <f>IF($B$7=0,"",1-SUM(I75,L75,O75,R75,U75,X75)/$B$7)</f>
        <v/>
      </c>
    </row>
    <row r="4">
      <c r="A4" s="4" t="inlineStr">
        <is>
          <t>Canal</t>
        </is>
      </c>
      <c r="B4" s="5" t="n"/>
      <c r="I4" s="4" t="inlineStr">
        <is>
          <t>Nota /100</t>
        </is>
      </c>
      <c r="P4" s="18">
        <f>IF($B$7=0,"",IF(P3="Reprobada",0,AVERAGE(K73,N73,Q73,T73,W73,Z73)*1))</f>
        <v/>
      </c>
      <c r="S4" s="4" t="inlineStr">
        <is>
          <t>ECN · % sin error</t>
        </is>
      </c>
      <c r="Z4" s="17">
        <f>IF($B$7=0,"",1-SUM(I76,L76,O76,R76,U76,X76)/$B$7)</f>
        <v/>
      </c>
    </row>
    <row r="5">
      <c r="A5" s="4" t="inlineStr">
        <is>
          <t>Gestión</t>
        </is>
      </c>
      <c r="B5" s="5" t="n"/>
      <c r="I5" s="4" t="inlineStr">
        <is>
          <t>Nota /300</t>
        </is>
      </c>
      <c r="P5" s="18">
        <f>IF(P4="","",P4*3)</f>
        <v/>
      </c>
      <c r="S5" s="4" t="inlineStr">
        <is>
          <t>ECC · % sin error</t>
        </is>
      </c>
      <c r="Z5" s="17">
        <f>IF($B$7=0,"",1-SUM(I77,L77,O77,R77,U77,X77)/$B$7)</f>
        <v/>
      </c>
    </row>
    <row r="6">
      <c r="A6" s="4" t="inlineStr">
        <is>
          <t>Mes</t>
        </is>
      </c>
      <c r="B6" s="5" t="n"/>
      <c r="I6" s="4" t="inlineStr">
        <is>
          <t>Nivel</t>
        </is>
      </c>
      <c r="P6" s="16">
        <f>IF(P4="","",IF(P3="Reprobada","Crítico",LOOKUP(P4/100,'TABLA GENERAL'!$I$7:$I$10,'TABLA GENERAL'!$F$7:$F$10)))</f>
        <v/>
      </c>
      <c r="S6" s="4" t="inlineStr">
        <is>
          <t>Alerta Dirección</t>
        </is>
      </c>
      <c r="Z6" s="16">
        <f>IF($B$7=0,"",IF(SUMPRODUCT($AD$14:$AD$71*((I14:I71="NO")+(L14:L71="NO")+(O14:O71="NO")+(R14:R71="NO")+(U14:U71="NO")+(X14:X71="NO")))&gt;0,"SÍ - reportar","No"))</f>
        <v/>
      </c>
    </row>
    <row r="7">
      <c r="A7" s="4" t="inlineStr">
        <is>
          <t>Conversaciones evaluadas</t>
        </is>
      </c>
      <c r="B7">
        <f>SUM(I78,L78,O78,R78,U78,X78)</f>
        <v/>
      </c>
      <c r="I7" s="4" t="inlineStr">
        <is>
          <t>Estado</t>
        </is>
      </c>
      <c r="P7" s="16">
        <f>IF(P4="","",IF(P3="Reprobada","Reprobado",IF(P4/100&gt;='TABLA GENERAL'!$C$21,"Aprobado","Plan de acción")))</f>
        <v/>
      </c>
      <c r="S7" s="4" t="inlineStr">
        <is>
          <t>Casillas por revisar</t>
        </is>
      </c>
      <c r="Z7" s="16">
        <f>SUM(I79,L79,O79,R79,U79,X79)+COUNTIF(AE14:AE71,"REVISAR")</f>
        <v/>
      </c>
    </row>
    <row r="9">
      <c r="I9" s="6" t="inlineStr">
        <is>
          <t>Conversación 1</t>
        </is>
      </c>
      <c r="L9" s="6" t="inlineStr">
        <is>
          <t>Conversación 2</t>
        </is>
      </c>
      <c r="O9" s="6" t="inlineStr">
        <is>
          <t>Conversación 3</t>
        </is>
      </c>
      <c r="R9" s="6" t="inlineStr">
        <is>
          <t>Conversación 4</t>
        </is>
      </c>
      <c r="U9" s="6" t="inlineStr">
        <is>
          <t>Conversación 5</t>
        </is>
      </c>
      <c r="X9" s="6" t="inlineStr">
        <is>
          <t>Conversación 6</t>
        </is>
      </c>
    </row>
    <row r="10">
      <c r="C10" s="4" t="inlineStr">
        <is>
          <t>Fecha / ID de la conversación</t>
        </is>
      </c>
      <c r="I10" s="5" t="n"/>
      <c r="L10" s="5" t="n"/>
      <c r="O10" s="5" t="n"/>
      <c r="R10" s="5" t="n"/>
      <c r="U10" s="5" t="n"/>
      <c r="X10" s="5" t="n"/>
    </row>
    <row r="11">
      <c r="C11" s="4" t="inlineStr">
        <is>
          <t>Modalidad</t>
        </is>
      </c>
      <c r="I11" s="5" t="n"/>
      <c r="L11" s="5" t="n"/>
      <c r="O11" s="5" t="n"/>
      <c r="R11" s="5" t="n"/>
      <c r="U11" s="5" t="n"/>
      <c r="X11" s="5" t="n"/>
    </row>
    <row r="13" ht="32" customHeight="1">
      <c r="A13" s="6" t="inlineStr">
        <is>
          <t>Código</t>
        </is>
      </c>
      <c r="B13" s="6" t="inlineStr">
        <is>
          <t>Dimensión</t>
        </is>
      </c>
      <c r="C13" s="6" t="inlineStr">
        <is>
          <t>Descripción</t>
        </is>
      </c>
      <c r="D13" s="6" t="inlineStr">
        <is>
          <t>Tipo</t>
        </is>
      </c>
      <c r="E13" s="6" t="inlineStr">
        <is>
          <t>Aplica</t>
        </is>
      </c>
      <c r="F13" s="6" t="inlineStr">
        <is>
          <t>Peso base</t>
        </is>
      </c>
      <c r="G13" s="6" t="inlineStr">
        <is>
          <t>Receptor N/A</t>
        </is>
      </c>
      <c r="H13" s="6" t="inlineStr">
        <is>
          <t>Admite N/A</t>
        </is>
      </c>
      <c r="I13" s="6" t="inlineStr">
        <is>
          <t>Resultado</t>
        </is>
      </c>
      <c r="J13" s="6" t="inlineStr">
        <is>
          <t>Peso estab.</t>
        </is>
      </c>
      <c r="K13" s="6" t="inlineStr">
        <is>
          <t>Peso logrado</t>
        </is>
      </c>
      <c r="L13" s="6" t="inlineStr">
        <is>
          <t>Resultado</t>
        </is>
      </c>
      <c r="M13" s="6" t="inlineStr">
        <is>
          <t>Peso estab.</t>
        </is>
      </c>
      <c r="N13" s="6" t="inlineStr">
        <is>
          <t>Peso logrado</t>
        </is>
      </c>
      <c r="O13" s="6" t="inlineStr">
        <is>
          <t>Resultado</t>
        </is>
      </c>
      <c r="P13" s="6" t="inlineStr">
        <is>
          <t>Peso estab.</t>
        </is>
      </c>
      <c r="Q13" s="6" t="inlineStr">
        <is>
          <t>Peso logrado</t>
        </is>
      </c>
      <c r="R13" s="6" t="inlineStr">
        <is>
          <t>Resultado</t>
        </is>
      </c>
      <c r="S13" s="6" t="inlineStr">
        <is>
          <t>Peso estab.</t>
        </is>
      </c>
      <c r="T13" s="6" t="inlineStr">
        <is>
          <t>Peso logrado</t>
        </is>
      </c>
      <c r="U13" s="6" t="inlineStr">
        <is>
          <t>Resultado</t>
        </is>
      </c>
      <c r="V13" s="6" t="inlineStr">
        <is>
          <t>Peso estab.</t>
        </is>
      </c>
      <c r="W13" s="6" t="inlineStr">
        <is>
          <t>Peso logrado</t>
        </is>
      </c>
      <c r="X13" s="6" t="inlineStr">
        <is>
          <t>Resultado</t>
        </is>
      </c>
      <c r="Y13" s="6" t="inlineStr">
        <is>
          <t>Peso estab.</t>
        </is>
      </c>
      <c r="Z13" s="6" t="inlineStr">
        <is>
          <t>Peso logrado</t>
        </is>
      </c>
      <c r="AA13" s="6" t="inlineStr">
        <is>
          <t>Σ peso estab.</t>
        </is>
      </c>
      <c r="AB13" s="6" t="inlineStr">
        <is>
          <t>Σ peso logrado</t>
        </is>
      </c>
      <c r="AC13" s="6" t="inlineStr">
        <is>
          <t>% cumplimiento</t>
        </is>
      </c>
      <c r="AD13" s="6" t="inlineStr">
        <is>
          <t>Alerta</t>
        </is>
      </c>
      <c r="AE13" s="6" t="inlineStr">
        <is>
          <t>Validación</t>
        </is>
      </c>
    </row>
    <row r="14">
      <c r="A14" s="19">
        <f>CRITERIOS!B2</f>
        <v/>
      </c>
      <c r="B14" s="19">
        <f>CRITERIOS!C2</f>
        <v/>
      </c>
      <c r="C14" s="20">
        <f>CRITERIOS!D2</f>
        <v/>
      </c>
      <c r="D14" s="19">
        <f>CRITERIOS!E2</f>
        <v/>
      </c>
      <c r="E14" s="19">
        <f>IFERROR(IF(AND(OR(CRITERIOS!F2="Todos",CRITERIOS!F2=$B$4),INDEX(CRITERIOS!H2:J2,MATCH($B$5,VARIABLES!$E$2:$E$4,0))=1),1,0),0)</f>
        <v/>
      </c>
      <c r="F14" s="19">
        <f>IFERROR(IF(E14=1,INDEX(CRITERIOS!K2:M2,MATCH($B$5,VARIABLES!$E$2:$E$4,0)),0),0)</f>
        <v/>
      </c>
      <c r="G14" s="19">
        <f>IF(CRITERIOS!N2="","",CRITERIOS!N2)</f>
        <v/>
      </c>
      <c r="H14" s="19">
        <f>IF(CRITERIOS!O2="","",CRITERIOS!O2)</f>
        <v/>
      </c>
      <c r="I14" s="21" t="n"/>
      <c r="J14" s="22">
        <f>IF(OR($E14=0,I$78=0),0,IF(AND(I14="N/A",$G14&lt;&gt;""),0,$F14+SUMPRODUCT(($G$14:$G$71=$A14)*($E$14:$E$71=1)*(I$14:I$71="N/A")*$F$14:$F$71)))</f>
        <v/>
      </c>
      <c r="K14" s="22">
        <f>IF(I14="SI",J14,0)</f>
        <v/>
      </c>
      <c r="L14" s="21" t="n"/>
      <c r="M14" s="22">
        <f>IF(OR($E14=0,L$78=0),0,IF(AND(L14="N/A",$G14&lt;&gt;""),0,$F14+SUMPRODUCT(($G$14:$G$71=$A14)*($E$14:$E$71=1)*(L$14:L$71="N/A")*$F$14:$F$71)))</f>
        <v/>
      </c>
      <c r="N14" s="22">
        <f>IF(L14="SI",M14,0)</f>
        <v/>
      </c>
      <c r="O14" s="21" t="n"/>
      <c r="P14" s="22">
        <f>IF(OR($E14=0,O$78=0),0,IF(AND(O14="N/A",$G14&lt;&gt;""),0,$F14+SUMPRODUCT(($G$14:$G$71=$A14)*($E$14:$E$71=1)*(O$14:O$71="N/A")*$F$14:$F$71)))</f>
        <v/>
      </c>
      <c r="Q14" s="22">
        <f>IF(O14="SI",P14,0)</f>
        <v/>
      </c>
      <c r="R14" s="21" t="n"/>
      <c r="S14" s="22">
        <f>IF(OR($E14=0,R$78=0),0,IF(AND(R14="N/A",$G14&lt;&gt;""),0,$F14+SUMPRODUCT(($G$14:$G$71=$A14)*($E$14:$E$71=1)*(R$14:R$71="N/A")*$F$14:$F$71)))</f>
        <v/>
      </c>
      <c r="T14" s="22">
        <f>IF(R14="SI",S14,0)</f>
        <v/>
      </c>
      <c r="U14" s="21" t="n"/>
      <c r="V14" s="22">
        <f>IF(OR($E14=0,U$78=0),0,IF(AND(U14="N/A",$G14&lt;&gt;""),0,$F14+SUMPRODUCT(($G$14:$G$71=$A14)*($E$14:$E$71=1)*(U$14:U$71="N/A")*$F$14:$F$71)))</f>
        <v/>
      </c>
      <c r="W14" s="22">
        <f>IF(U14="SI",V14,0)</f>
        <v/>
      </c>
      <c r="X14" s="21" t="n"/>
      <c r="Y14" s="22">
        <f>IF(OR($E14=0,X$78=0),0,IF(AND(X14="N/A",$G14&lt;&gt;""),0,$F14+SUMPRODUCT(($G$14:$G$71=$A14)*($E$14:$E$71=1)*(X$14:X$71="N/A")*$F$14:$F$71)))</f>
        <v/>
      </c>
      <c r="Z14" s="22">
        <f>IF(X14="SI",Y14,0)</f>
        <v/>
      </c>
      <c r="AA14" s="22">
        <f>SUM(J14,M14,P14,S14,V14,Y14)</f>
        <v/>
      </c>
      <c r="AB14" s="22">
        <f>SUM(K14,N14,Q14,T14,W14,Z14)</f>
        <v/>
      </c>
      <c r="AC14" s="23">
        <f>IF(AA14=0,"",AB14/AA14)</f>
        <v/>
      </c>
      <c r="AD14" s="22">
        <f>CRITERIOS!Q2</f>
        <v/>
      </c>
      <c r="AE14" s="22">
        <f>IF(AND(E14=1,H14&lt;&gt;"X",((I14="N/A")+(L14="N/A")+(O14="N/A")+(R14="N/A")+(U14="N/A")+(X14="N/A"))&gt;0),"REVISAR","")</f>
        <v/>
      </c>
    </row>
    <row r="15">
      <c r="A15" s="19">
        <f>CRITERIOS!B3</f>
        <v/>
      </c>
      <c r="B15" s="19">
        <f>CRITERIOS!C3</f>
        <v/>
      </c>
      <c r="C15" s="20">
        <f>CRITERIOS!D3</f>
        <v/>
      </c>
      <c r="D15" s="19">
        <f>CRITERIOS!E3</f>
        <v/>
      </c>
      <c r="E15" s="19">
        <f>IFERROR(IF(AND(OR(CRITERIOS!F3="Todos",CRITERIOS!F3=$B$4),INDEX(CRITERIOS!H3:J3,MATCH($B$5,VARIABLES!$E$2:$E$4,0))=1),1,0),0)</f>
        <v/>
      </c>
      <c r="F15" s="19">
        <f>IFERROR(IF(E15=1,INDEX(CRITERIOS!K3:M3,MATCH($B$5,VARIABLES!$E$2:$E$4,0)),0),0)</f>
        <v/>
      </c>
      <c r="G15" s="19">
        <f>IF(CRITERIOS!N3="","",CRITERIOS!N3)</f>
        <v/>
      </c>
      <c r="H15" s="19">
        <f>IF(CRITERIOS!O3="","",CRITERIOS!O3)</f>
        <v/>
      </c>
      <c r="I15" s="21" t="n"/>
      <c r="J15" s="22">
        <f>IF(OR($E15=0,I$78=0),0,IF(AND(I15="N/A",$G15&lt;&gt;""),0,$F15+SUMPRODUCT(($G$14:$G$71=$A15)*($E$14:$E$71=1)*(I$14:I$71="N/A")*$F$14:$F$71)))</f>
        <v/>
      </c>
      <c r="K15" s="22">
        <f>IF(I15="SI",J15,0)</f>
        <v/>
      </c>
      <c r="L15" s="21" t="n"/>
      <c r="M15" s="22">
        <f>IF(OR($E15=0,L$78=0),0,IF(AND(L15="N/A",$G15&lt;&gt;""),0,$F15+SUMPRODUCT(($G$14:$G$71=$A15)*($E$14:$E$71=1)*(L$14:L$71="N/A")*$F$14:$F$71)))</f>
        <v/>
      </c>
      <c r="N15" s="22">
        <f>IF(L15="SI",M15,0)</f>
        <v/>
      </c>
      <c r="O15" s="21" t="n"/>
      <c r="P15" s="22">
        <f>IF(OR($E15=0,O$78=0),0,IF(AND(O15="N/A",$G15&lt;&gt;""),0,$F15+SUMPRODUCT(($G$14:$G$71=$A15)*($E$14:$E$71=1)*(O$14:O$71="N/A")*$F$14:$F$71)))</f>
        <v/>
      </c>
      <c r="Q15" s="22">
        <f>IF(O15="SI",P15,0)</f>
        <v/>
      </c>
      <c r="R15" s="21" t="n"/>
      <c r="S15" s="22">
        <f>IF(OR($E15=0,R$78=0),0,IF(AND(R15="N/A",$G15&lt;&gt;""),0,$F15+SUMPRODUCT(($G$14:$G$71=$A15)*($E$14:$E$71=1)*(R$14:R$71="N/A")*$F$14:$F$71)))</f>
        <v/>
      </c>
      <c r="T15" s="22">
        <f>IF(R15="SI",S15,0)</f>
        <v/>
      </c>
      <c r="U15" s="21" t="n"/>
      <c r="V15" s="22">
        <f>IF(OR($E15=0,U$78=0),0,IF(AND(U15="N/A",$G15&lt;&gt;""),0,$F15+SUMPRODUCT(($G$14:$G$71=$A15)*($E$14:$E$71=1)*(U$14:U$71="N/A")*$F$14:$F$71)))</f>
        <v/>
      </c>
      <c r="W15" s="22">
        <f>IF(U15="SI",V15,0)</f>
        <v/>
      </c>
      <c r="X15" s="21" t="n"/>
      <c r="Y15" s="22">
        <f>IF(OR($E15=0,X$78=0),0,IF(AND(X15="N/A",$G15&lt;&gt;""),0,$F15+SUMPRODUCT(($G$14:$G$71=$A15)*($E$14:$E$71=1)*(X$14:X$71="N/A")*$F$14:$F$71)))</f>
        <v/>
      </c>
      <c r="Z15" s="22">
        <f>IF(X15="SI",Y15,0)</f>
        <v/>
      </c>
      <c r="AA15" s="22">
        <f>SUM(J15,M15,P15,S15,V15,Y15)</f>
        <v/>
      </c>
      <c r="AB15" s="22">
        <f>SUM(K15,N15,Q15,T15,W15,Z15)</f>
        <v/>
      </c>
      <c r="AC15" s="23">
        <f>IF(AA15=0,"",AB15/AA15)</f>
        <v/>
      </c>
      <c r="AD15" s="22">
        <f>CRITERIOS!Q3</f>
        <v/>
      </c>
      <c r="AE15" s="22">
        <f>IF(AND(E15=1,H15&lt;&gt;"X",((I15="N/A")+(L15="N/A")+(O15="N/A")+(R15="N/A")+(U15="N/A")+(X15="N/A"))&gt;0),"REVISAR","")</f>
        <v/>
      </c>
    </row>
    <row r="16">
      <c r="A16" s="19">
        <f>CRITERIOS!B4</f>
        <v/>
      </c>
      <c r="B16" s="19">
        <f>CRITERIOS!C4</f>
        <v/>
      </c>
      <c r="C16" s="20">
        <f>CRITERIOS!D4</f>
        <v/>
      </c>
      <c r="D16" s="19">
        <f>CRITERIOS!E4</f>
        <v/>
      </c>
      <c r="E16" s="19">
        <f>IFERROR(IF(AND(OR(CRITERIOS!F4="Todos",CRITERIOS!F4=$B$4),INDEX(CRITERIOS!H4:J4,MATCH($B$5,VARIABLES!$E$2:$E$4,0))=1),1,0),0)</f>
        <v/>
      </c>
      <c r="F16" s="19">
        <f>IFERROR(IF(E16=1,INDEX(CRITERIOS!K4:M4,MATCH($B$5,VARIABLES!$E$2:$E$4,0)),0),0)</f>
        <v/>
      </c>
      <c r="G16" s="19">
        <f>IF(CRITERIOS!N4="","",CRITERIOS!N4)</f>
        <v/>
      </c>
      <c r="H16" s="19">
        <f>IF(CRITERIOS!O4="","",CRITERIOS!O4)</f>
        <v/>
      </c>
      <c r="I16" s="21" t="n"/>
      <c r="J16" s="22">
        <f>IF(OR($E16=0,I$78=0),0,IF(AND(I16="N/A",$G16&lt;&gt;""),0,$F16+SUMPRODUCT(($G$14:$G$71=$A16)*($E$14:$E$71=1)*(I$14:I$71="N/A")*$F$14:$F$71)))</f>
        <v/>
      </c>
      <c r="K16" s="22">
        <f>IF(I16="SI",J16,0)</f>
        <v/>
      </c>
      <c r="L16" s="21" t="n"/>
      <c r="M16" s="22">
        <f>IF(OR($E16=0,L$78=0),0,IF(AND(L16="N/A",$G16&lt;&gt;""),0,$F16+SUMPRODUCT(($G$14:$G$71=$A16)*($E$14:$E$71=1)*(L$14:L$71="N/A")*$F$14:$F$71)))</f>
        <v/>
      </c>
      <c r="N16" s="22">
        <f>IF(L16="SI",M16,0)</f>
        <v/>
      </c>
      <c r="O16" s="21" t="n"/>
      <c r="P16" s="22">
        <f>IF(OR($E16=0,O$78=0),0,IF(AND(O16="N/A",$G16&lt;&gt;""),0,$F16+SUMPRODUCT(($G$14:$G$71=$A16)*($E$14:$E$71=1)*(O$14:O$71="N/A")*$F$14:$F$71)))</f>
        <v/>
      </c>
      <c r="Q16" s="22">
        <f>IF(O16="SI",P16,0)</f>
        <v/>
      </c>
      <c r="R16" s="21" t="n"/>
      <c r="S16" s="22">
        <f>IF(OR($E16=0,R$78=0),0,IF(AND(R16="N/A",$G16&lt;&gt;""),0,$F16+SUMPRODUCT(($G$14:$G$71=$A16)*($E$14:$E$71=1)*(R$14:R$71="N/A")*$F$14:$F$71)))</f>
        <v/>
      </c>
      <c r="T16" s="22">
        <f>IF(R16="SI",S16,0)</f>
        <v/>
      </c>
      <c r="U16" s="21" t="n"/>
      <c r="V16" s="22">
        <f>IF(OR($E16=0,U$78=0),0,IF(AND(U16="N/A",$G16&lt;&gt;""),0,$F16+SUMPRODUCT(($G$14:$G$71=$A16)*($E$14:$E$71=1)*(U$14:U$71="N/A")*$F$14:$F$71)))</f>
        <v/>
      </c>
      <c r="W16" s="22">
        <f>IF(U16="SI",V16,0)</f>
        <v/>
      </c>
      <c r="X16" s="21" t="n"/>
      <c r="Y16" s="22">
        <f>IF(OR($E16=0,X$78=0),0,IF(AND(X16="N/A",$G16&lt;&gt;""),0,$F16+SUMPRODUCT(($G$14:$G$71=$A16)*($E$14:$E$71=1)*(X$14:X$71="N/A")*$F$14:$F$71)))</f>
        <v/>
      </c>
      <c r="Z16" s="22">
        <f>IF(X16="SI",Y16,0)</f>
        <v/>
      </c>
      <c r="AA16" s="22">
        <f>SUM(J16,M16,P16,S16,V16,Y16)</f>
        <v/>
      </c>
      <c r="AB16" s="22">
        <f>SUM(K16,N16,Q16,T16,W16,Z16)</f>
        <v/>
      </c>
      <c r="AC16" s="23">
        <f>IF(AA16=0,"",AB16/AA16)</f>
        <v/>
      </c>
      <c r="AD16" s="22">
        <f>CRITERIOS!Q4</f>
        <v/>
      </c>
      <c r="AE16" s="22">
        <f>IF(AND(E16=1,H16&lt;&gt;"X",((I16="N/A")+(L16="N/A")+(O16="N/A")+(R16="N/A")+(U16="N/A")+(X16="N/A"))&gt;0),"REVISAR","")</f>
        <v/>
      </c>
    </row>
    <row r="17">
      <c r="A17" s="19">
        <f>CRITERIOS!B5</f>
        <v/>
      </c>
      <c r="B17" s="19">
        <f>CRITERIOS!C5</f>
        <v/>
      </c>
      <c r="C17" s="20">
        <f>CRITERIOS!D5</f>
        <v/>
      </c>
      <c r="D17" s="19">
        <f>CRITERIOS!E5</f>
        <v/>
      </c>
      <c r="E17" s="19">
        <f>IFERROR(IF(AND(OR(CRITERIOS!F5="Todos",CRITERIOS!F5=$B$4),INDEX(CRITERIOS!H5:J5,MATCH($B$5,VARIABLES!$E$2:$E$4,0))=1),1,0),0)</f>
        <v/>
      </c>
      <c r="F17" s="19">
        <f>IFERROR(IF(E17=1,INDEX(CRITERIOS!K5:M5,MATCH($B$5,VARIABLES!$E$2:$E$4,0)),0),0)</f>
        <v/>
      </c>
      <c r="G17" s="19">
        <f>IF(CRITERIOS!N5="","",CRITERIOS!N5)</f>
        <v/>
      </c>
      <c r="H17" s="19">
        <f>IF(CRITERIOS!O5="","",CRITERIOS!O5)</f>
        <v/>
      </c>
      <c r="I17" s="21" t="n"/>
      <c r="J17" s="22">
        <f>IF(OR($E17=0,I$78=0),0,IF(AND(I17="N/A",$G17&lt;&gt;""),0,$F17+SUMPRODUCT(($G$14:$G$71=$A17)*($E$14:$E$71=1)*(I$14:I$71="N/A")*$F$14:$F$71)))</f>
        <v/>
      </c>
      <c r="K17" s="22">
        <f>IF(I17="SI",J17,0)</f>
        <v/>
      </c>
      <c r="L17" s="21" t="n"/>
      <c r="M17" s="22">
        <f>IF(OR($E17=0,L$78=0),0,IF(AND(L17="N/A",$G17&lt;&gt;""),0,$F17+SUMPRODUCT(($G$14:$G$71=$A17)*($E$14:$E$71=1)*(L$14:L$71="N/A")*$F$14:$F$71)))</f>
        <v/>
      </c>
      <c r="N17" s="22">
        <f>IF(L17="SI",M17,0)</f>
        <v/>
      </c>
      <c r="O17" s="21" t="n"/>
      <c r="P17" s="22">
        <f>IF(OR($E17=0,O$78=0),0,IF(AND(O17="N/A",$G17&lt;&gt;""),0,$F17+SUMPRODUCT(($G$14:$G$71=$A17)*($E$14:$E$71=1)*(O$14:O$71="N/A")*$F$14:$F$71)))</f>
        <v/>
      </c>
      <c r="Q17" s="22">
        <f>IF(O17="SI",P17,0)</f>
        <v/>
      </c>
      <c r="R17" s="21" t="n"/>
      <c r="S17" s="22">
        <f>IF(OR($E17=0,R$78=0),0,IF(AND(R17="N/A",$G17&lt;&gt;""),0,$F17+SUMPRODUCT(($G$14:$G$71=$A17)*($E$14:$E$71=1)*(R$14:R$71="N/A")*$F$14:$F$71)))</f>
        <v/>
      </c>
      <c r="T17" s="22">
        <f>IF(R17="SI",S17,0)</f>
        <v/>
      </c>
      <c r="U17" s="21" t="n"/>
      <c r="V17" s="22">
        <f>IF(OR($E17=0,U$78=0),0,IF(AND(U17="N/A",$G17&lt;&gt;""),0,$F17+SUMPRODUCT(($G$14:$G$71=$A17)*($E$14:$E$71=1)*(U$14:U$71="N/A")*$F$14:$F$71)))</f>
        <v/>
      </c>
      <c r="W17" s="22">
        <f>IF(U17="SI",V17,0)</f>
        <v/>
      </c>
      <c r="X17" s="21" t="n"/>
      <c r="Y17" s="22">
        <f>IF(OR($E17=0,X$78=0),0,IF(AND(X17="N/A",$G17&lt;&gt;""),0,$F17+SUMPRODUCT(($G$14:$G$71=$A17)*($E$14:$E$71=1)*(X$14:X$71="N/A")*$F$14:$F$71)))</f>
        <v/>
      </c>
      <c r="Z17" s="22">
        <f>IF(X17="SI",Y17,0)</f>
        <v/>
      </c>
      <c r="AA17" s="22">
        <f>SUM(J17,M17,P17,S17,V17,Y17)</f>
        <v/>
      </c>
      <c r="AB17" s="22">
        <f>SUM(K17,N17,Q17,T17,W17,Z17)</f>
        <v/>
      </c>
      <c r="AC17" s="23">
        <f>IF(AA17=0,"",AB17/AA17)</f>
        <v/>
      </c>
      <c r="AD17" s="22">
        <f>CRITERIOS!Q5</f>
        <v/>
      </c>
      <c r="AE17" s="22">
        <f>IF(AND(E17=1,H17&lt;&gt;"X",((I17="N/A")+(L17="N/A")+(O17="N/A")+(R17="N/A")+(U17="N/A")+(X17="N/A"))&gt;0),"REVISAR","")</f>
        <v/>
      </c>
    </row>
    <row r="18">
      <c r="A18" s="19">
        <f>CRITERIOS!B6</f>
        <v/>
      </c>
      <c r="B18" s="19">
        <f>CRITERIOS!C6</f>
        <v/>
      </c>
      <c r="C18" s="20">
        <f>CRITERIOS!D6</f>
        <v/>
      </c>
      <c r="D18" s="19">
        <f>CRITERIOS!E6</f>
        <v/>
      </c>
      <c r="E18" s="19">
        <f>IFERROR(IF(AND(OR(CRITERIOS!F6="Todos",CRITERIOS!F6=$B$4),INDEX(CRITERIOS!H6:J6,MATCH($B$5,VARIABLES!$E$2:$E$4,0))=1),1,0),0)</f>
        <v/>
      </c>
      <c r="F18" s="19">
        <f>IFERROR(IF(E18=1,INDEX(CRITERIOS!K6:M6,MATCH($B$5,VARIABLES!$E$2:$E$4,0)),0),0)</f>
        <v/>
      </c>
      <c r="G18" s="19">
        <f>IF(CRITERIOS!N6="","",CRITERIOS!N6)</f>
        <v/>
      </c>
      <c r="H18" s="19">
        <f>IF(CRITERIOS!O6="","",CRITERIOS!O6)</f>
        <v/>
      </c>
      <c r="I18" s="21" t="n"/>
      <c r="J18" s="22">
        <f>IF(OR($E18=0,I$78=0),0,IF(AND(I18="N/A",$G18&lt;&gt;""),0,$F18+SUMPRODUCT(($G$14:$G$71=$A18)*($E$14:$E$71=1)*(I$14:I$71="N/A")*$F$14:$F$71)))</f>
        <v/>
      </c>
      <c r="K18" s="22">
        <f>IF(I18="SI",J18,0)</f>
        <v/>
      </c>
      <c r="L18" s="21" t="n"/>
      <c r="M18" s="22">
        <f>IF(OR($E18=0,L$78=0),0,IF(AND(L18="N/A",$G18&lt;&gt;""),0,$F18+SUMPRODUCT(($G$14:$G$71=$A18)*($E$14:$E$71=1)*(L$14:L$71="N/A")*$F$14:$F$71)))</f>
        <v/>
      </c>
      <c r="N18" s="22">
        <f>IF(L18="SI",M18,0)</f>
        <v/>
      </c>
      <c r="O18" s="21" t="n"/>
      <c r="P18" s="22">
        <f>IF(OR($E18=0,O$78=0),0,IF(AND(O18="N/A",$G18&lt;&gt;""),0,$F18+SUMPRODUCT(($G$14:$G$71=$A18)*($E$14:$E$71=1)*(O$14:O$71="N/A")*$F$14:$F$71)))</f>
        <v/>
      </c>
      <c r="Q18" s="22">
        <f>IF(O18="SI",P18,0)</f>
        <v/>
      </c>
      <c r="R18" s="21" t="n"/>
      <c r="S18" s="22">
        <f>IF(OR($E18=0,R$78=0),0,IF(AND(R18="N/A",$G18&lt;&gt;""),0,$F18+SUMPRODUCT(($G$14:$G$71=$A18)*($E$14:$E$71=1)*(R$14:R$71="N/A")*$F$14:$F$71)))</f>
        <v/>
      </c>
      <c r="T18" s="22">
        <f>IF(R18="SI",S18,0)</f>
        <v/>
      </c>
      <c r="U18" s="21" t="n"/>
      <c r="V18" s="22">
        <f>IF(OR($E18=0,U$78=0),0,IF(AND(U18="N/A",$G18&lt;&gt;""),0,$F18+SUMPRODUCT(($G$14:$G$71=$A18)*($E$14:$E$71=1)*(U$14:U$71="N/A")*$F$14:$F$71)))</f>
        <v/>
      </c>
      <c r="W18" s="22">
        <f>IF(U18="SI",V18,0)</f>
        <v/>
      </c>
      <c r="X18" s="21" t="n"/>
      <c r="Y18" s="22">
        <f>IF(OR($E18=0,X$78=0),0,IF(AND(X18="N/A",$G18&lt;&gt;""),0,$F18+SUMPRODUCT(($G$14:$G$71=$A18)*($E$14:$E$71=1)*(X$14:X$71="N/A")*$F$14:$F$71)))</f>
        <v/>
      </c>
      <c r="Z18" s="22">
        <f>IF(X18="SI",Y18,0)</f>
        <v/>
      </c>
      <c r="AA18" s="22">
        <f>SUM(J18,M18,P18,S18,V18,Y18)</f>
        <v/>
      </c>
      <c r="AB18" s="22">
        <f>SUM(K18,N18,Q18,T18,W18,Z18)</f>
        <v/>
      </c>
      <c r="AC18" s="23">
        <f>IF(AA18=0,"",AB18/AA18)</f>
        <v/>
      </c>
      <c r="AD18" s="22">
        <f>CRITERIOS!Q6</f>
        <v/>
      </c>
      <c r="AE18" s="22">
        <f>IF(AND(E18=1,H18&lt;&gt;"X",((I18="N/A")+(L18="N/A")+(O18="N/A")+(R18="N/A")+(U18="N/A")+(X18="N/A"))&gt;0),"REVISAR","")</f>
        <v/>
      </c>
    </row>
    <row r="19">
      <c r="A19" s="19">
        <f>CRITERIOS!B7</f>
        <v/>
      </c>
      <c r="B19" s="19">
        <f>CRITERIOS!C7</f>
        <v/>
      </c>
      <c r="C19" s="20">
        <f>CRITERIOS!D7</f>
        <v/>
      </c>
      <c r="D19" s="19">
        <f>CRITERIOS!E7</f>
        <v/>
      </c>
      <c r="E19" s="19">
        <f>IFERROR(IF(AND(OR(CRITERIOS!F7="Todos",CRITERIOS!F7=$B$4),INDEX(CRITERIOS!H7:J7,MATCH($B$5,VARIABLES!$E$2:$E$4,0))=1),1,0),0)</f>
        <v/>
      </c>
      <c r="F19" s="19">
        <f>IFERROR(IF(E19=1,INDEX(CRITERIOS!K7:M7,MATCH($B$5,VARIABLES!$E$2:$E$4,0)),0),0)</f>
        <v/>
      </c>
      <c r="G19" s="19">
        <f>IF(CRITERIOS!N7="","",CRITERIOS!N7)</f>
        <v/>
      </c>
      <c r="H19" s="19">
        <f>IF(CRITERIOS!O7="","",CRITERIOS!O7)</f>
        <v/>
      </c>
      <c r="I19" s="21" t="n"/>
      <c r="J19" s="22">
        <f>IF(OR($E19=0,I$78=0),0,IF(AND(I19="N/A",$G19&lt;&gt;""),0,$F19+SUMPRODUCT(($G$14:$G$71=$A19)*($E$14:$E$71=1)*(I$14:I$71="N/A")*$F$14:$F$71)))</f>
        <v/>
      </c>
      <c r="K19" s="22">
        <f>IF(I19="SI",J19,0)</f>
        <v/>
      </c>
      <c r="L19" s="21" t="n"/>
      <c r="M19" s="22">
        <f>IF(OR($E19=0,L$78=0),0,IF(AND(L19="N/A",$G19&lt;&gt;""),0,$F19+SUMPRODUCT(($G$14:$G$71=$A19)*($E$14:$E$71=1)*(L$14:L$71="N/A")*$F$14:$F$71)))</f>
        <v/>
      </c>
      <c r="N19" s="22">
        <f>IF(L19="SI",M19,0)</f>
        <v/>
      </c>
      <c r="O19" s="21" t="n"/>
      <c r="P19" s="22">
        <f>IF(OR($E19=0,O$78=0),0,IF(AND(O19="N/A",$G19&lt;&gt;""),0,$F19+SUMPRODUCT(($G$14:$G$71=$A19)*($E$14:$E$71=1)*(O$14:O$71="N/A")*$F$14:$F$71)))</f>
        <v/>
      </c>
      <c r="Q19" s="22">
        <f>IF(O19="SI",P19,0)</f>
        <v/>
      </c>
      <c r="R19" s="21" t="n"/>
      <c r="S19" s="22">
        <f>IF(OR($E19=0,R$78=0),0,IF(AND(R19="N/A",$G19&lt;&gt;""),0,$F19+SUMPRODUCT(($G$14:$G$71=$A19)*($E$14:$E$71=1)*(R$14:R$71="N/A")*$F$14:$F$71)))</f>
        <v/>
      </c>
      <c r="T19" s="22">
        <f>IF(R19="SI",S19,0)</f>
        <v/>
      </c>
      <c r="U19" s="21" t="n"/>
      <c r="V19" s="22">
        <f>IF(OR($E19=0,U$78=0),0,IF(AND(U19="N/A",$G19&lt;&gt;""),0,$F19+SUMPRODUCT(($G$14:$G$71=$A19)*($E$14:$E$71=1)*(U$14:U$71="N/A")*$F$14:$F$71)))</f>
        <v/>
      </c>
      <c r="W19" s="22">
        <f>IF(U19="SI",V19,0)</f>
        <v/>
      </c>
      <c r="X19" s="21" t="n"/>
      <c r="Y19" s="22">
        <f>IF(OR($E19=0,X$78=0),0,IF(AND(X19="N/A",$G19&lt;&gt;""),0,$F19+SUMPRODUCT(($G$14:$G$71=$A19)*($E$14:$E$71=1)*(X$14:X$71="N/A")*$F$14:$F$71)))</f>
        <v/>
      </c>
      <c r="Z19" s="22">
        <f>IF(X19="SI",Y19,0)</f>
        <v/>
      </c>
      <c r="AA19" s="22">
        <f>SUM(J19,M19,P19,S19,V19,Y19)</f>
        <v/>
      </c>
      <c r="AB19" s="22">
        <f>SUM(K19,N19,Q19,T19,W19,Z19)</f>
        <v/>
      </c>
      <c r="AC19" s="23">
        <f>IF(AA19=0,"",AB19/AA19)</f>
        <v/>
      </c>
      <c r="AD19" s="22">
        <f>CRITERIOS!Q7</f>
        <v/>
      </c>
      <c r="AE19" s="22">
        <f>IF(AND(E19=1,H19&lt;&gt;"X",((I19="N/A")+(L19="N/A")+(O19="N/A")+(R19="N/A")+(U19="N/A")+(X19="N/A"))&gt;0),"REVISAR","")</f>
        <v/>
      </c>
    </row>
    <row r="20">
      <c r="A20" s="19">
        <f>CRITERIOS!B8</f>
        <v/>
      </c>
      <c r="B20" s="19">
        <f>CRITERIOS!C8</f>
        <v/>
      </c>
      <c r="C20" s="20">
        <f>CRITERIOS!D8</f>
        <v/>
      </c>
      <c r="D20" s="19">
        <f>CRITERIOS!E8</f>
        <v/>
      </c>
      <c r="E20" s="19">
        <f>IFERROR(IF(AND(OR(CRITERIOS!F8="Todos",CRITERIOS!F8=$B$4),INDEX(CRITERIOS!H8:J8,MATCH($B$5,VARIABLES!$E$2:$E$4,0))=1),1,0),0)</f>
        <v/>
      </c>
      <c r="F20" s="19">
        <f>IFERROR(IF(E20=1,INDEX(CRITERIOS!K8:M8,MATCH($B$5,VARIABLES!$E$2:$E$4,0)),0),0)</f>
        <v/>
      </c>
      <c r="G20" s="19">
        <f>IF(CRITERIOS!N8="","",CRITERIOS!N8)</f>
        <v/>
      </c>
      <c r="H20" s="19">
        <f>IF(CRITERIOS!O8="","",CRITERIOS!O8)</f>
        <v/>
      </c>
      <c r="I20" s="21" t="n"/>
      <c r="J20" s="22">
        <f>IF(OR($E20=0,I$78=0),0,IF(AND(I20="N/A",$G20&lt;&gt;""),0,$F20+SUMPRODUCT(($G$14:$G$71=$A20)*($E$14:$E$71=1)*(I$14:I$71="N/A")*$F$14:$F$71)))</f>
        <v/>
      </c>
      <c r="K20" s="22">
        <f>IF(I20="SI",J20,0)</f>
        <v/>
      </c>
      <c r="L20" s="21" t="n"/>
      <c r="M20" s="22">
        <f>IF(OR($E20=0,L$78=0),0,IF(AND(L20="N/A",$G20&lt;&gt;""),0,$F20+SUMPRODUCT(($G$14:$G$71=$A20)*($E$14:$E$71=1)*(L$14:L$71="N/A")*$F$14:$F$71)))</f>
        <v/>
      </c>
      <c r="N20" s="22">
        <f>IF(L20="SI",M20,0)</f>
        <v/>
      </c>
      <c r="O20" s="21" t="n"/>
      <c r="P20" s="22">
        <f>IF(OR($E20=0,O$78=0),0,IF(AND(O20="N/A",$G20&lt;&gt;""),0,$F20+SUMPRODUCT(($G$14:$G$71=$A20)*($E$14:$E$71=1)*(O$14:O$71="N/A")*$F$14:$F$71)))</f>
        <v/>
      </c>
      <c r="Q20" s="22">
        <f>IF(O20="SI",P20,0)</f>
        <v/>
      </c>
      <c r="R20" s="21" t="n"/>
      <c r="S20" s="22">
        <f>IF(OR($E20=0,R$78=0),0,IF(AND(R20="N/A",$G20&lt;&gt;""),0,$F20+SUMPRODUCT(($G$14:$G$71=$A20)*($E$14:$E$71=1)*(R$14:R$71="N/A")*$F$14:$F$71)))</f>
        <v/>
      </c>
      <c r="T20" s="22">
        <f>IF(R20="SI",S20,0)</f>
        <v/>
      </c>
      <c r="U20" s="21" t="n"/>
      <c r="V20" s="22">
        <f>IF(OR($E20=0,U$78=0),0,IF(AND(U20="N/A",$G20&lt;&gt;""),0,$F20+SUMPRODUCT(($G$14:$G$71=$A20)*($E$14:$E$71=1)*(U$14:U$71="N/A")*$F$14:$F$71)))</f>
        <v/>
      </c>
      <c r="W20" s="22">
        <f>IF(U20="SI",V20,0)</f>
        <v/>
      </c>
      <c r="X20" s="21" t="n"/>
      <c r="Y20" s="22">
        <f>IF(OR($E20=0,X$78=0),0,IF(AND(X20="N/A",$G20&lt;&gt;""),0,$F20+SUMPRODUCT(($G$14:$G$71=$A20)*($E$14:$E$71=1)*(X$14:X$71="N/A")*$F$14:$F$71)))</f>
        <v/>
      </c>
      <c r="Z20" s="22">
        <f>IF(X20="SI",Y20,0)</f>
        <v/>
      </c>
      <c r="AA20" s="22">
        <f>SUM(J20,M20,P20,S20,V20,Y20)</f>
        <v/>
      </c>
      <c r="AB20" s="22">
        <f>SUM(K20,N20,Q20,T20,W20,Z20)</f>
        <v/>
      </c>
      <c r="AC20" s="23">
        <f>IF(AA20=0,"",AB20/AA20)</f>
        <v/>
      </c>
      <c r="AD20" s="22">
        <f>CRITERIOS!Q8</f>
        <v/>
      </c>
      <c r="AE20" s="22">
        <f>IF(AND(E20=1,H20&lt;&gt;"X",((I20="N/A")+(L20="N/A")+(O20="N/A")+(R20="N/A")+(U20="N/A")+(X20="N/A"))&gt;0),"REVISAR","")</f>
        <v/>
      </c>
    </row>
    <row r="21">
      <c r="A21" s="19">
        <f>CRITERIOS!B9</f>
        <v/>
      </c>
      <c r="B21" s="19">
        <f>CRITERIOS!C9</f>
        <v/>
      </c>
      <c r="C21" s="20">
        <f>CRITERIOS!D9</f>
        <v/>
      </c>
      <c r="D21" s="19">
        <f>CRITERIOS!E9</f>
        <v/>
      </c>
      <c r="E21" s="19">
        <f>IFERROR(IF(AND(OR(CRITERIOS!F9="Todos",CRITERIOS!F9=$B$4),INDEX(CRITERIOS!H9:J9,MATCH($B$5,VARIABLES!$E$2:$E$4,0))=1),1,0),0)</f>
        <v/>
      </c>
      <c r="F21" s="19">
        <f>IFERROR(IF(E21=1,INDEX(CRITERIOS!K9:M9,MATCH($B$5,VARIABLES!$E$2:$E$4,0)),0),0)</f>
        <v/>
      </c>
      <c r="G21" s="19">
        <f>IF(CRITERIOS!N9="","",CRITERIOS!N9)</f>
        <v/>
      </c>
      <c r="H21" s="19">
        <f>IF(CRITERIOS!O9="","",CRITERIOS!O9)</f>
        <v/>
      </c>
      <c r="I21" s="21" t="n"/>
      <c r="J21" s="22">
        <f>IF(OR($E21=0,I$78=0),0,IF(AND(I21="N/A",$G21&lt;&gt;""),0,$F21+SUMPRODUCT(($G$14:$G$71=$A21)*($E$14:$E$71=1)*(I$14:I$71="N/A")*$F$14:$F$71)))</f>
        <v/>
      </c>
      <c r="K21" s="22">
        <f>IF(I21="SI",J21,0)</f>
        <v/>
      </c>
      <c r="L21" s="21" t="n"/>
      <c r="M21" s="22">
        <f>IF(OR($E21=0,L$78=0),0,IF(AND(L21="N/A",$G21&lt;&gt;""),0,$F21+SUMPRODUCT(($G$14:$G$71=$A21)*($E$14:$E$71=1)*(L$14:L$71="N/A")*$F$14:$F$71)))</f>
        <v/>
      </c>
      <c r="N21" s="22">
        <f>IF(L21="SI",M21,0)</f>
        <v/>
      </c>
      <c r="O21" s="21" t="n"/>
      <c r="P21" s="22">
        <f>IF(OR($E21=0,O$78=0),0,IF(AND(O21="N/A",$G21&lt;&gt;""),0,$F21+SUMPRODUCT(($G$14:$G$71=$A21)*($E$14:$E$71=1)*(O$14:O$71="N/A")*$F$14:$F$71)))</f>
        <v/>
      </c>
      <c r="Q21" s="22">
        <f>IF(O21="SI",P21,0)</f>
        <v/>
      </c>
      <c r="R21" s="21" t="n"/>
      <c r="S21" s="22">
        <f>IF(OR($E21=0,R$78=0),0,IF(AND(R21="N/A",$G21&lt;&gt;""),0,$F21+SUMPRODUCT(($G$14:$G$71=$A21)*($E$14:$E$71=1)*(R$14:R$71="N/A")*$F$14:$F$71)))</f>
        <v/>
      </c>
      <c r="T21" s="22">
        <f>IF(R21="SI",S21,0)</f>
        <v/>
      </c>
      <c r="U21" s="21" t="n"/>
      <c r="V21" s="22">
        <f>IF(OR($E21=0,U$78=0),0,IF(AND(U21="N/A",$G21&lt;&gt;""),0,$F21+SUMPRODUCT(($G$14:$G$71=$A21)*($E$14:$E$71=1)*(U$14:U$71="N/A")*$F$14:$F$71)))</f>
        <v/>
      </c>
      <c r="W21" s="22">
        <f>IF(U21="SI",V21,0)</f>
        <v/>
      </c>
      <c r="X21" s="21" t="n"/>
      <c r="Y21" s="22">
        <f>IF(OR($E21=0,X$78=0),0,IF(AND(X21="N/A",$G21&lt;&gt;""),0,$F21+SUMPRODUCT(($G$14:$G$71=$A21)*($E$14:$E$71=1)*(X$14:X$71="N/A")*$F$14:$F$71)))</f>
        <v/>
      </c>
      <c r="Z21" s="22">
        <f>IF(X21="SI",Y21,0)</f>
        <v/>
      </c>
      <c r="AA21" s="22">
        <f>SUM(J21,M21,P21,S21,V21,Y21)</f>
        <v/>
      </c>
      <c r="AB21" s="22">
        <f>SUM(K21,N21,Q21,T21,W21,Z21)</f>
        <v/>
      </c>
      <c r="AC21" s="23">
        <f>IF(AA21=0,"",AB21/AA21)</f>
        <v/>
      </c>
      <c r="AD21" s="22">
        <f>CRITERIOS!Q9</f>
        <v/>
      </c>
      <c r="AE21" s="22">
        <f>IF(AND(E21=1,H21&lt;&gt;"X",((I21="N/A")+(L21="N/A")+(O21="N/A")+(R21="N/A")+(U21="N/A")+(X21="N/A"))&gt;0),"REVISAR","")</f>
        <v/>
      </c>
    </row>
    <row r="22">
      <c r="A22" s="19">
        <f>CRITERIOS!B10</f>
        <v/>
      </c>
      <c r="B22" s="19">
        <f>CRITERIOS!C10</f>
        <v/>
      </c>
      <c r="C22" s="20">
        <f>CRITERIOS!D10</f>
        <v/>
      </c>
      <c r="D22" s="19">
        <f>CRITERIOS!E10</f>
        <v/>
      </c>
      <c r="E22" s="19">
        <f>IFERROR(IF(AND(OR(CRITERIOS!F10="Todos",CRITERIOS!F10=$B$4),INDEX(CRITERIOS!H10:J10,MATCH($B$5,VARIABLES!$E$2:$E$4,0))=1),1,0),0)</f>
        <v/>
      </c>
      <c r="F22" s="19">
        <f>IFERROR(IF(E22=1,INDEX(CRITERIOS!K10:M10,MATCH($B$5,VARIABLES!$E$2:$E$4,0)),0),0)</f>
        <v/>
      </c>
      <c r="G22" s="19">
        <f>IF(CRITERIOS!N10="","",CRITERIOS!N10)</f>
        <v/>
      </c>
      <c r="H22" s="19">
        <f>IF(CRITERIOS!O10="","",CRITERIOS!O10)</f>
        <v/>
      </c>
      <c r="I22" s="21" t="n"/>
      <c r="J22" s="22">
        <f>IF(OR($E22=0,I$78=0),0,IF(AND(I22="N/A",$G22&lt;&gt;""),0,$F22+SUMPRODUCT(($G$14:$G$71=$A22)*($E$14:$E$71=1)*(I$14:I$71="N/A")*$F$14:$F$71)))</f>
        <v/>
      </c>
      <c r="K22" s="22">
        <f>IF(I22="SI",J22,0)</f>
        <v/>
      </c>
      <c r="L22" s="21" t="n"/>
      <c r="M22" s="22">
        <f>IF(OR($E22=0,L$78=0),0,IF(AND(L22="N/A",$G22&lt;&gt;""),0,$F22+SUMPRODUCT(($G$14:$G$71=$A22)*($E$14:$E$71=1)*(L$14:L$71="N/A")*$F$14:$F$71)))</f>
        <v/>
      </c>
      <c r="N22" s="22">
        <f>IF(L22="SI",M22,0)</f>
        <v/>
      </c>
      <c r="O22" s="21" t="n"/>
      <c r="P22" s="22">
        <f>IF(OR($E22=0,O$78=0),0,IF(AND(O22="N/A",$G22&lt;&gt;""),0,$F22+SUMPRODUCT(($G$14:$G$71=$A22)*($E$14:$E$71=1)*(O$14:O$71="N/A")*$F$14:$F$71)))</f>
        <v/>
      </c>
      <c r="Q22" s="22">
        <f>IF(O22="SI",P22,0)</f>
        <v/>
      </c>
      <c r="R22" s="21" t="n"/>
      <c r="S22" s="22">
        <f>IF(OR($E22=0,R$78=0),0,IF(AND(R22="N/A",$G22&lt;&gt;""),0,$F22+SUMPRODUCT(($G$14:$G$71=$A22)*($E$14:$E$71=1)*(R$14:R$71="N/A")*$F$14:$F$71)))</f>
        <v/>
      </c>
      <c r="T22" s="22">
        <f>IF(R22="SI",S22,0)</f>
        <v/>
      </c>
      <c r="U22" s="21" t="n"/>
      <c r="V22" s="22">
        <f>IF(OR($E22=0,U$78=0),0,IF(AND(U22="N/A",$G22&lt;&gt;""),0,$F22+SUMPRODUCT(($G$14:$G$71=$A22)*($E$14:$E$71=1)*(U$14:U$71="N/A")*$F$14:$F$71)))</f>
        <v/>
      </c>
      <c r="W22" s="22">
        <f>IF(U22="SI",V22,0)</f>
        <v/>
      </c>
      <c r="X22" s="21" t="n"/>
      <c r="Y22" s="22">
        <f>IF(OR($E22=0,X$78=0),0,IF(AND(X22="N/A",$G22&lt;&gt;""),0,$F22+SUMPRODUCT(($G$14:$G$71=$A22)*($E$14:$E$71=1)*(X$14:X$71="N/A")*$F$14:$F$71)))</f>
        <v/>
      </c>
      <c r="Z22" s="22">
        <f>IF(X22="SI",Y22,0)</f>
        <v/>
      </c>
      <c r="AA22" s="22">
        <f>SUM(J22,M22,P22,S22,V22,Y22)</f>
        <v/>
      </c>
      <c r="AB22" s="22">
        <f>SUM(K22,N22,Q22,T22,W22,Z22)</f>
        <v/>
      </c>
      <c r="AC22" s="23">
        <f>IF(AA22=0,"",AB22/AA22)</f>
        <v/>
      </c>
      <c r="AD22" s="22">
        <f>CRITERIOS!Q10</f>
        <v/>
      </c>
      <c r="AE22" s="22">
        <f>IF(AND(E22=1,H22&lt;&gt;"X",((I22="N/A")+(L22="N/A")+(O22="N/A")+(R22="N/A")+(U22="N/A")+(X22="N/A"))&gt;0),"REVISAR","")</f>
        <v/>
      </c>
    </row>
    <row r="23">
      <c r="A23" s="19">
        <f>CRITERIOS!B11</f>
        <v/>
      </c>
      <c r="B23" s="19">
        <f>CRITERIOS!C11</f>
        <v/>
      </c>
      <c r="C23" s="20">
        <f>CRITERIOS!D11</f>
        <v/>
      </c>
      <c r="D23" s="19">
        <f>CRITERIOS!E11</f>
        <v/>
      </c>
      <c r="E23" s="19">
        <f>IFERROR(IF(AND(OR(CRITERIOS!F11="Todos",CRITERIOS!F11=$B$4),INDEX(CRITERIOS!H11:J11,MATCH($B$5,VARIABLES!$E$2:$E$4,0))=1),1,0),0)</f>
        <v/>
      </c>
      <c r="F23" s="19">
        <f>IFERROR(IF(E23=1,INDEX(CRITERIOS!K11:M11,MATCH($B$5,VARIABLES!$E$2:$E$4,0)),0),0)</f>
        <v/>
      </c>
      <c r="G23" s="19">
        <f>IF(CRITERIOS!N11="","",CRITERIOS!N11)</f>
        <v/>
      </c>
      <c r="H23" s="19">
        <f>IF(CRITERIOS!O11="","",CRITERIOS!O11)</f>
        <v/>
      </c>
      <c r="I23" s="21" t="n"/>
      <c r="J23" s="22">
        <f>IF(OR($E23=0,I$78=0),0,IF(AND(I23="N/A",$G23&lt;&gt;""),0,$F23+SUMPRODUCT(($G$14:$G$71=$A23)*($E$14:$E$71=1)*(I$14:I$71="N/A")*$F$14:$F$71)))</f>
        <v/>
      </c>
      <c r="K23" s="22">
        <f>IF(I23="SI",J23,0)</f>
        <v/>
      </c>
      <c r="L23" s="21" t="n"/>
      <c r="M23" s="22">
        <f>IF(OR($E23=0,L$78=0),0,IF(AND(L23="N/A",$G23&lt;&gt;""),0,$F23+SUMPRODUCT(($G$14:$G$71=$A23)*($E$14:$E$71=1)*(L$14:L$71="N/A")*$F$14:$F$71)))</f>
        <v/>
      </c>
      <c r="N23" s="22">
        <f>IF(L23="SI",M23,0)</f>
        <v/>
      </c>
      <c r="O23" s="21" t="n"/>
      <c r="P23" s="22">
        <f>IF(OR($E23=0,O$78=0),0,IF(AND(O23="N/A",$G23&lt;&gt;""),0,$F23+SUMPRODUCT(($G$14:$G$71=$A23)*($E$14:$E$71=1)*(O$14:O$71="N/A")*$F$14:$F$71)))</f>
        <v/>
      </c>
      <c r="Q23" s="22">
        <f>IF(O23="SI",P23,0)</f>
        <v/>
      </c>
      <c r="R23" s="21" t="n"/>
      <c r="S23" s="22">
        <f>IF(OR($E23=0,R$78=0),0,IF(AND(R23="N/A",$G23&lt;&gt;""),0,$F23+SUMPRODUCT(($G$14:$G$71=$A23)*($E$14:$E$71=1)*(R$14:R$71="N/A")*$F$14:$F$71)))</f>
        <v/>
      </c>
      <c r="T23" s="22">
        <f>IF(R23="SI",S23,0)</f>
        <v/>
      </c>
      <c r="U23" s="21" t="n"/>
      <c r="V23" s="22">
        <f>IF(OR($E23=0,U$78=0),0,IF(AND(U23="N/A",$G23&lt;&gt;""),0,$F23+SUMPRODUCT(($G$14:$G$71=$A23)*($E$14:$E$71=1)*(U$14:U$71="N/A")*$F$14:$F$71)))</f>
        <v/>
      </c>
      <c r="W23" s="22">
        <f>IF(U23="SI",V23,0)</f>
        <v/>
      </c>
      <c r="X23" s="21" t="n"/>
      <c r="Y23" s="22">
        <f>IF(OR($E23=0,X$78=0),0,IF(AND(X23="N/A",$G23&lt;&gt;""),0,$F23+SUMPRODUCT(($G$14:$G$71=$A23)*($E$14:$E$71=1)*(X$14:X$71="N/A")*$F$14:$F$71)))</f>
        <v/>
      </c>
      <c r="Z23" s="22">
        <f>IF(X23="SI",Y23,0)</f>
        <v/>
      </c>
      <c r="AA23" s="22">
        <f>SUM(J23,M23,P23,S23,V23,Y23)</f>
        <v/>
      </c>
      <c r="AB23" s="22">
        <f>SUM(K23,N23,Q23,T23,W23,Z23)</f>
        <v/>
      </c>
      <c r="AC23" s="23">
        <f>IF(AA23=0,"",AB23/AA23)</f>
        <v/>
      </c>
      <c r="AD23" s="22">
        <f>CRITERIOS!Q11</f>
        <v/>
      </c>
      <c r="AE23" s="22">
        <f>IF(AND(E23=1,H23&lt;&gt;"X",((I23="N/A")+(L23="N/A")+(O23="N/A")+(R23="N/A")+(U23="N/A")+(X23="N/A"))&gt;0),"REVISAR","")</f>
        <v/>
      </c>
    </row>
    <row r="24">
      <c r="A24" s="19">
        <f>CRITERIOS!B12</f>
        <v/>
      </c>
      <c r="B24" s="19">
        <f>CRITERIOS!C12</f>
        <v/>
      </c>
      <c r="C24" s="20">
        <f>CRITERIOS!D12</f>
        <v/>
      </c>
      <c r="D24" s="19">
        <f>CRITERIOS!E12</f>
        <v/>
      </c>
      <c r="E24" s="19">
        <f>IFERROR(IF(AND(OR(CRITERIOS!F12="Todos",CRITERIOS!F12=$B$4),INDEX(CRITERIOS!H12:J12,MATCH($B$5,VARIABLES!$E$2:$E$4,0))=1),1,0),0)</f>
        <v/>
      </c>
      <c r="F24" s="19">
        <f>IFERROR(IF(E24=1,INDEX(CRITERIOS!K12:M12,MATCH($B$5,VARIABLES!$E$2:$E$4,0)),0),0)</f>
        <v/>
      </c>
      <c r="G24" s="19">
        <f>IF(CRITERIOS!N12="","",CRITERIOS!N12)</f>
        <v/>
      </c>
      <c r="H24" s="19">
        <f>IF(CRITERIOS!O12="","",CRITERIOS!O12)</f>
        <v/>
      </c>
      <c r="I24" s="21" t="n"/>
      <c r="J24" s="22">
        <f>IF(OR($E24=0,I$78=0),0,IF(AND(I24="N/A",$G24&lt;&gt;""),0,$F24+SUMPRODUCT(($G$14:$G$71=$A24)*($E$14:$E$71=1)*(I$14:I$71="N/A")*$F$14:$F$71)))</f>
        <v/>
      </c>
      <c r="K24" s="22">
        <f>IF(I24="SI",J24,0)</f>
        <v/>
      </c>
      <c r="L24" s="21" t="n"/>
      <c r="M24" s="22">
        <f>IF(OR($E24=0,L$78=0),0,IF(AND(L24="N/A",$G24&lt;&gt;""),0,$F24+SUMPRODUCT(($G$14:$G$71=$A24)*($E$14:$E$71=1)*(L$14:L$71="N/A")*$F$14:$F$71)))</f>
        <v/>
      </c>
      <c r="N24" s="22">
        <f>IF(L24="SI",M24,0)</f>
        <v/>
      </c>
      <c r="O24" s="21" t="n"/>
      <c r="P24" s="22">
        <f>IF(OR($E24=0,O$78=0),0,IF(AND(O24="N/A",$G24&lt;&gt;""),0,$F24+SUMPRODUCT(($G$14:$G$71=$A24)*($E$14:$E$71=1)*(O$14:O$71="N/A")*$F$14:$F$71)))</f>
        <v/>
      </c>
      <c r="Q24" s="22">
        <f>IF(O24="SI",P24,0)</f>
        <v/>
      </c>
      <c r="R24" s="21" t="n"/>
      <c r="S24" s="22">
        <f>IF(OR($E24=0,R$78=0),0,IF(AND(R24="N/A",$G24&lt;&gt;""),0,$F24+SUMPRODUCT(($G$14:$G$71=$A24)*($E$14:$E$71=1)*(R$14:R$71="N/A")*$F$14:$F$71)))</f>
        <v/>
      </c>
      <c r="T24" s="22">
        <f>IF(R24="SI",S24,0)</f>
        <v/>
      </c>
      <c r="U24" s="21" t="n"/>
      <c r="V24" s="22">
        <f>IF(OR($E24=0,U$78=0),0,IF(AND(U24="N/A",$G24&lt;&gt;""),0,$F24+SUMPRODUCT(($G$14:$G$71=$A24)*($E$14:$E$71=1)*(U$14:U$71="N/A")*$F$14:$F$71)))</f>
        <v/>
      </c>
      <c r="W24" s="22">
        <f>IF(U24="SI",V24,0)</f>
        <v/>
      </c>
      <c r="X24" s="21" t="n"/>
      <c r="Y24" s="22">
        <f>IF(OR($E24=0,X$78=0),0,IF(AND(X24="N/A",$G24&lt;&gt;""),0,$F24+SUMPRODUCT(($G$14:$G$71=$A24)*($E$14:$E$71=1)*(X$14:X$71="N/A")*$F$14:$F$71)))</f>
        <v/>
      </c>
      <c r="Z24" s="22">
        <f>IF(X24="SI",Y24,0)</f>
        <v/>
      </c>
      <c r="AA24" s="22">
        <f>SUM(J24,M24,P24,S24,V24,Y24)</f>
        <v/>
      </c>
      <c r="AB24" s="22">
        <f>SUM(K24,N24,Q24,T24,W24,Z24)</f>
        <v/>
      </c>
      <c r="AC24" s="23">
        <f>IF(AA24=0,"",AB24/AA24)</f>
        <v/>
      </c>
      <c r="AD24" s="22">
        <f>CRITERIOS!Q12</f>
        <v/>
      </c>
      <c r="AE24" s="22">
        <f>IF(AND(E24=1,H24&lt;&gt;"X",((I24="N/A")+(L24="N/A")+(O24="N/A")+(R24="N/A")+(U24="N/A")+(X24="N/A"))&gt;0),"REVISAR","")</f>
        <v/>
      </c>
    </row>
    <row r="25">
      <c r="A25" s="19">
        <f>CRITERIOS!B13</f>
        <v/>
      </c>
      <c r="B25" s="19">
        <f>CRITERIOS!C13</f>
        <v/>
      </c>
      <c r="C25" s="20">
        <f>CRITERIOS!D13</f>
        <v/>
      </c>
      <c r="D25" s="19">
        <f>CRITERIOS!E13</f>
        <v/>
      </c>
      <c r="E25" s="19">
        <f>IFERROR(IF(AND(OR(CRITERIOS!F13="Todos",CRITERIOS!F13=$B$4),INDEX(CRITERIOS!H13:J13,MATCH($B$5,VARIABLES!$E$2:$E$4,0))=1),1,0),0)</f>
        <v/>
      </c>
      <c r="F25" s="19">
        <f>IFERROR(IF(E25=1,INDEX(CRITERIOS!K13:M13,MATCH($B$5,VARIABLES!$E$2:$E$4,0)),0),0)</f>
        <v/>
      </c>
      <c r="G25" s="19">
        <f>IF(CRITERIOS!N13="","",CRITERIOS!N13)</f>
        <v/>
      </c>
      <c r="H25" s="19">
        <f>IF(CRITERIOS!O13="","",CRITERIOS!O13)</f>
        <v/>
      </c>
      <c r="I25" s="21" t="n"/>
      <c r="J25" s="22">
        <f>IF(OR($E25=0,I$78=0),0,IF(AND(I25="N/A",$G25&lt;&gt;""),0,$F25+SUMPRODUCT(($G$14:$G$71=$A25)*($E$14:$E$71=1)*(I$14:I$71="N/A")*$F$14:$F$71)))</f>
        <v/>
      </c>
      <c r="K25" s="22">
        <f>IF(I25="SI",J25,0)</f>
        <v/>
      </c>
      <c r="L25" s="21" t="n"/>
      <c r="M25" s="22">
        <f>IF(OR($E25=0,L$78=0),0,IF(AND(L25="N/A",$G25&lt;&gt;""),0,$F25+SUMPRODUCT(($G$14:$G$71=$A25)*($E$14:$E$71=1)*(L$14:L$71="N/A")*$F$14:$F$71)))</f>
        <v/>
      </c>
      <c r="N25" s="22">
        <f>IF(L25="SI",M25,0)</f>
        <v/>
      </c>
      <c r="O25" s="21" t="n"/>
      <c r="P25" s="22">
        <f>IF(OR($E25=0,O$78=0),0,IF(AND(O25="N/A",$G25&lt;&gt;""),0,$F25+SUMPRODUCT(($G$14:$G$71=$A25)*($E$14:$E$71=1)*(O$14:O$71="N/A")*$F$14:$F$71)))</f>
        <v/>
      </c>
      <c r="Q25" s="22">
        <f>IF(O25="SI",P25,0)</f>
        <v/>
      </c>
      <c r="R25" s="21" t="n"/>
      <c r="S25" s="22">
        <f>IF(OR($E25=0,R$78=0),0,IF(AND(R25="N/A",$G25&lt;&gt;""),0,$F25+SUMPRODUCT(($G$14:$G$71=$A25)*($E$14:$E$71=1)*(R$14:R$71="N/A")*$F$14:$F$71)))</f>
        <v/>
      </c>
      <c r="T25" s="22">
        <f>IF(R25="SI",S25,0)</f>
        <v/>
      </c>
      <c r="U25" s="21" t="n"/>
      <c r="V25" s="22">
        <f>IF(OR($E25=0,U$78=0),0,IF(AND(U25="N/A",$G25&lt;&gt;""),0,$F25+SUMPRODUCT(($G$14:$G$71=$A25)*($E$14:$E$71=1)*(U$14:U$71="N/A")*$F$14:$F$71)))</f>
        <v/>
      </c>
      <c r="W25" s="22">
        <f>IF(U25="SI",V25,0)</f>
        <v/>
      </c>
      <c r="X25" s="21" t="n"/>
      <c r="Y25" s="22">
        <f>IF(OR($E25=0,X$78=0),0,IF(AND(X25="N/A",$G25&lt;&gt;""),0,$F25+SUMPRODUCT(($G$14:$G$71=$A25)*($E$14:$E$71=1)*(X$14:X$71="N/A")*$F$14:$F$71)))</f>
        <v/>
      </c>
      <c r="Z25" s="22">
        <f>IF(X25="SI",Y25,0)</f>
        <v/>
      </c>
      <c r="AA25" s="22">
        <f>SUM(J25,M25,P25,S25,V25,Y25)</f>
        <v/>
      </c>
      <c r="AB25" s="22">
        <f>SUM(K25,N25,Q25,T25,W25,Z25)</f>
        <v/>
      </c>
      <c r="AC25" s="23">
        <f>IF(AA25=0,"",AB25/AA25)</f>
        <v/>
      </c>
      <c r="AD25" s="22">
        <f>CRITERIOS!Q13</f>
        <v/>
      </c>
      <c r="AE25" s="22">
        <f>IF(AND(E25=1,H25&lt;&gt;"X",((I25="N/A")+(L25="N/A")+(O25="N/A")+(R25="N/A")+(U25="N/A")+(X25="N/A"))&gt;0),"REVISAR","")</f>
        <v/>
      </c>
    </row>
    <row r="26">
      <c r="A26" s="19">
        <f>CRITERIOS!B14</f>
        <v/>
      </c>
      <c r="B26" s="19">
        <f>CRITERIOS!C14</f>
        <v/>
      </c>
      <c r="C26" s="20">
        <f>CRITERIOS!D14</f>
        <v/>
      </c>
      <c r="D26" s="19">
        <f>CRITERIOS!E14</f>
        <v/>
      </c>
      <c r="E26" s="19">
        <f>IFERROR(IF(AND(OR(CRITERIOS!F14="Todos",CRITERIOS!F14=$B$4),INDEX(CRITERIOS!H14:J14,MATCH($B$5,VARIABLES!$E$2:$E$4,0))=1),1,0),0)</f>
        <v/>
      </c>
      <c r="F26" s="19">
        <f>IFERROR(IF(E26=1,INDEX(CRITERIOS!K14:M14,MATCH($B$5,VARIABLES!$E$2:$E$4,0)),0),0)</f>
        <v/>
      </c>
      <c r="G26" s="19">
        <f>IF(CRITERIOS!N14="","",CRITERIOS!N14)</f>
        <v/>
      </c>
      <c r="H26" s="19">
        <f>IF(CRITERIOS!O14="","",CRITERIOS!O14)</f>
        <v/>
      </c>
      <c r="I26" s="21" t="n"/>
      <c r="J26" s="22">
        <f>IF(OR($E26=0,I$78=0),0,IF(AND(I26="N/A",$G26&lt;&gt;""),0,$F26+SUMPRODUCT(($G$14:$G$71=$A26)*($E$14:$E$71=1)*(I$14:I$71="N/A")*$F$14:$F$71)))</f>
        <v/>
      </c>
      <c r="K26" s="22">
        <f>IF(I26="SI",J26,0)</f>
        <v/>
      </c>
      <c r="L26" s="21" t="n"/>
      <c r="M26" s="22">
        <f>IF(OR($E26=0,L$78=0),0,IF(AND(L26="N/A",$G26&lt;&gt;""),0,$F26+SUMPRODUCT(($G$14:$G$71=$A26)*($E$14:$E$71=1)*(L$14:L$71="N/A")*$F$14:$F$71)))</f>
        <v/>
      </c>
      <c r="N26" s="22">
        <f>IF(L26="SI",M26,0)</f>
        <v/>
      </c>
      <c r="O26" s="21" t="n"/>
      <c r="P26" s="22">
        <f>IF(OR($E26=0,O$78=0),0,IF(AND(O26="N/A",$G26&lt;&gt;""),0,$F26+SUMPRODUCT(($G$14:$G$71=$A26)*($E$14:$E$71=1)*(O$14:O$71="N/A")*$F$14:$F$71)))</f>
        <v/>
      </c>
      <c r="Q26" s="22">
        <f>IF(O26="SI",P26,0)</f>
        <v/>
      </c>
      <c r="R26" s="21" t="n"/>
      <c r="S26" s="22">
        <f>IF(OR($E26=0,R$78=0),0,IF(AND(R26="N/A",$G26&lt;&gt;""),0,$F26+SUMPRODUCT(($G$14:$G$71=$A26)*($E$14:$E$71=1)*(R$14:R$71="N/A")*$F$14:$F$71)))</f>
        <v/>
      </c>
      <c r="T26" s="22">
        <f>IF(R26="SI",S26,0)</f>
        <v/>
      </c>
      <c r="U26" s="21" t="n"/>
      <c r="V26" s="22">
        <f>IF(OR($E26=0,U$78=0),0,IF(AND(U26="N/A",$G26&lt;&gt;""),0,$F26+SUMPRODUCT(($G$14:$G$71=$A26)*($E$14:$E$71=1)*(U$14:U$71="N/A")*$F$14:$F$71)))</f>
        <v/>
      </c>
      <c r="W26" s="22">
        <f>IF(U26="SI",V26,0)</f>
        <v/>
      </c>
      <c r="X26" s="21" t="n"/>
      <c r="Y26" s="22">
        <f>IF(OR($E26=0,X$78=0),0,IF(AND(X26="N/A",$G26&lt;&gt;""),0,$F26+SUMPRODUCT(($G$14:$G$71=$A26)*($E$14:$E$71=1)*(X$14:X$71="N/A")*$F$14:$F$71)))</f>
        <v/>
      </c>
      <c r="Z26" s="22">
        <f>IF(X26="SI",Y26,0)</f>
        <v/>
      </c>
      <c r="AA26" s="22">
        <f>SUM(J26,M26,P26,S26,V26,Y26)</f>
        <v/>
      </c>
      <c r="AB26" s="22">
        <f>SUM(K26,N26,Q26,T26,W26,Z26)</f>
        <v/>
      </c>
      <c r="AC26" s="23">
        <f>IF(AA26=0,"",AB26/AA26)</f>
        <v/>
      </c>
      <c r="AD26" s="22">
        <f>CRITERIOS!Q14</f>
        <v/>
      </c>
      <c r="AE26" s="22">
        <f>IF(AND(E26=1,H26&lt;&gt;"X",((I26="N/A")+(L26="N/A")+(O26="N/A")+(R26="N/A")+(U26="N/A")+(X26="N/A"))&gt;0),"REVISAR","")</f>
        <v/>
      </c>
    </row>
    <row r="27">
      <c r="A27" s="19">
        <f>CRITERIOS!B15</f>
        <v/>
      </c>
      <c r="B27" s="19">
        <f>CRITERIOS!C15</f>
        <v/>
      </c>
      <c r="C27" s="20">
        <f>CRITERIOS!D15</f>
        <v/>
      </c>
      <c r="D27" s="19">
        <f>CRITERIOS!E15</f>
        <v/>
      </c>
      <c r="E27" s="19">
        <f>IFERROR(IF(AND(OR(CRITERIOS!F15="Todos",CRITERIOS!F15=$B$4),INDEX(CRITERIOS!H15:J15,MATCH($B$5,VARIABLES!$E$2:$E$4,0))=1),1,0),0)</f>
        <v/>
      </c>
      <c r="F27" s="19">
        <f>IFERROR(IF(E27=1,INDEX(CRITERIOS!K15:M15,MATCH($B$5,VARIABLES!$E$2:$E$4,0)),0),0)</f>
        <v/>
      </c>
      <c r="G27" s="19">
        <f>IF(CRITERIOS!N15="","",CRITERIOS!N15)</f>
        <v/>
      </c>
      <c r="H27" s="19">
        <f>IF(CRITERIOS!O15="","",CRITERIOS!O15)</f>
        <v/>
      </c>
      <c r="I27" s="21" t="n"/>
      <c r="J27" s="22">
        <f>IF(OR($E27=0,I$78=0),0,IF(AND(I27="N/A",$G27&lt;&gt;""),0,$F27+SUMPRODUCT(($G$14:$G$71=$A27)*($E$14:$E$71=1)*(I$14:I$71="N/A")*$F$14:$F$71)))</f>
        <v/>
      </c>
      <c r="K27" s="22">
        <f>IF(I27="SI",J27,0)</f>
        <v/>
      </c>
      <c r="L27" s="21" t="n"/>
      <c r="M27" s="22">
        <f>IF(OR($E27=0,L$78=0),0,IF(AND(L27="N/A",$G27&lt;&gt;""),0,$F27+SUMPRODUCT(($G$14:$G$71=$A27)*($E$14:$E$71=1)*(L$14:L$71="N/A")*$F$14:$F$71)))</f>
        <v/>
      </c>
      <c r="N27" s="22">
        <f>IF(L27="SI",M27,0)</f>
        <v/>
      </c>
      <c r="O27" s="21" t="n"/>
      <c r="P27" s="22">
        <f>IF(OR($E27=0,O$78=0),0,IF(AND(O27="N/A",$G27&lt;&gt;""),0,$F27+SUMPRODUCT(($G$14:$G$71=$A27)*($E$14:$E$71=1)*(O$14:O$71="N/A")*$F$14:$F$71)))</f>
        <v/>
      </c>
      <c r="Q27" s="22">
        <f>IF(O27="SI",P27,0)</f>
        <v/>
      </c>
      <c r="R27" s="21" t="n"/>
      <c r="S27" s="22">
        <f>IF(OR($E27=0,R$78=0),0,IF(AND(R27="N/A",$G27&lt;&gt;""),0,$F27+SUMPRODUCT(($G$14:$G$71=$A27)*($E$14:$E$71=1)*(R$14:R$71="N/A")*$F$14:$F$71)))</f>
        <v/>
      </c>
      <c r="T27" s="22">
        <f>IF(R27="SI",S27,0)</f>
        <v/>
      </c>
      <c r="U27" s="21" t="n"/>
      <c r="V27" s="22">
        <f>IF(OR($E27=0,U$78=0),0,IF(AND(U27="N/A",$G27&lt;&gt;""),0,$F27+SUMPRODUCT(($G$14:$G$71=$A27)*($E$14:$E$71=1)*(U$14:U$71="N/A")*$F$14:$F$71)))</f>
        <v/>
      </c>
      <c r="W27" s="22">
        <f>IF(U27="SI",V27,0)</f>
        <v/>
      </c>
      <c r="X27" s="21" t="n"/>
      <c r="Y27" s="22">
        <f>IF(OR($E27=0,X$78=0),0,IF(AND(X27="N/A",$G27&lt;&gt;""),0,$F27+SUMPRODUCT(($G$14:$G$71=$A27)*($E$14:$E$71=1)*(X$14:X$71="N/A")*$F$14:$F$71)))</f>
        <v/>
      </c>
      <c r="Z27" s="22">
        <f>IF(X27="SI",Y27,0)</f>
        <v/>
      </c>
      <c r="AA27" s="22">
        <f>SUM(J27,M27,P27,S27,V27,Y27)</f>
        <v/>
      </c>
      <c r="AB27" s="22">
        <f>SUM(K27,N27,Q27,T27,W27,Z27)</f>
        <v/>
      </c>
      <c r="AC27" s="23">
        <f>IF(AA27=0,"",AB27/AA27)</f>
        <v/>
      </c>
      <c r="AD27" s="22">
        <f>CRITERIOS!Q15</f>
        <v/>
      </c>
      <c r="AE27" s="22">
        <f>IF(AND(E27=1,H27&lt;&gt;"X",((I27="N/A")+(L27="N/A")+(O27="N/A")+(R27="N/A")+(U27="N/A")+(X27="N/A"))&gt;0),"REVISAR","")</f>
        <v/>
      </c>
    </row>
    <row r="28">
      <c r="A28" s="19">
        <f>CRITERIOS!B16</f>
        <v/>
      </c>
      <c r="B28" s="19">
        <f>CRITERIOS!C16</f>
        <v/>
      </c>
      <c r="C28" s="20">
        <f>CRITERIOS!D16</f>
        <v/>
      </c>
      <c r="D28" s="19">
        <f>CRITERIOS!E16</f>
        <v/>
      </c>
      <c r="E28" s="19">
        <f>IFERROR(IF(AND(OR(CRITERIOS!F16="Todos",CRITERIOS!F16=$B$4),INDEX(CRITERIOS!H16:J16,MATCH($B$5,VARIABLES!$E$2:$E$4,0))=1),1,0),0)</f>
        <v/>
      </c>
      <c r="F28" s="19">
        <f>IFERROR(IF(E28=1,INDEX(CRITERIOS!K16:M16,MATCH($B$5,VARIABLES!$E$2:$E$4,0)),0),0)</f>
        <v/>
      </c>
      <c r="G28" s="19">
        <f>IF(CRITERIOS!N16="","",CRITERIOS!N16)</f>
        <v/>
      </c>
      <c r="H28" s="19">
        <f>IF(CRITERIOS!O16="","",CRITERIOS!O16)</f>
        <v/>
      </c>
      <c r="I28" s="21" t="n"/>
      <c r="J28" s="22">
        <f>IF(OR($E28=0,I$78=0),0,IF(AND(I28="N/A",$G28&lt;&gt;""),0,$F28+SUMPRODUCT(($G$14:$G$71=$A28)*($E$14:$E$71=1)*(I$14:I$71="N/A")*$F$14:$F$71)))</f>
        <v/>
      </c>
      <c r="K28" s="22">
        <f>IF(I28="SI",J28,0)</f>
        <v/>
      </c>
      <c r="L28" s="21" t="n"/>
      <c r="M28" s="22">
        <f>IF(OR($E28=0,L$78=0),0,IF(AND(L28="N/A",$G28&lt;&gt;""),0,$F28+SUMPRODUCT(($G$14:$G$71=$A28)*($E$14:$E$71=1)*(L$14:L$71="N/A")*$F$14:$F$71)))</f>
        <v/>
      </c>
      <c r="N28" s="22">
        <f>IF(L28="SI",M28,0)</f>
        <v/>
      </c>
      <c r="O28" s="21" t="n"/>
      <c r="P28" s="22">
        <f>IF(OR($E28=0,O$78=0),0,IF(AND(O28="N/A",$G28&lt;&gt;""),0,$F28+SUMPRODUCT(($G$14:$G$71=$A28)*($E$14:$E$71=1)*(O$14:O$71="N/A")*$F$14:$F$71)))</f>
        <v/>
      </c>
      <c r="Q28" s="22">
        <f>IF(O28="SI",P28,0)</f>
        <v/>
      </c>
      <c r="R28" s="21" t="n"/>
      <c r="S28" s="22">
        <f>IF(OR($E28=0,R$78=0),0,IF(AND(R28="N/A",$G28&lt;&gt;""),0,$F28+SUMPRODUCT(($G$14:$G$71=$A28)*($E$14:$E$71=1)*(R$14:R$71="N/A")*$F$14:$F$71)))</f>
        <v/>
      </c>
      <c r="T28" s="22">
        <f>IF(R28="SI",S28,0)</f>
        <v/>
      </c>
      <c r="U28" s="21" t="n"/>
      <c r="V28" s="22">
        <f>IF(OR($E28=0,U$78=0),0,IF(AND(U28="N/A",$G28&lt;&gt;""),0,$F28+SUMPRODUCT(($G$14:$G$71=$A28)*($E$14:$E$71=1)*(U$14:U$71="N/A")*$F$14:$F$71)))</f>
        <v/>
      </c>
      <c r="W28" s="22">
        <f>IF(U28="SI",V28,0)</f>
        <v/>
      </c>
      <c r="X28" s="21" t="n"/>
      <c r="Y28" s="22">
        <f>IF(OR($E28=0,X$78=0),0,IF(AND(X28="N/A",$G28&lt;&gt;""),0,$F28+SUMPRODUCT(($G$14:$G$71=$A28)*($E$14:$E$71=1)*(X$14:X$71="N/A")*$F$14:$F$71)))</f>
        <v/>
      </c>
      <c r="Z28" s="22">
        <f>IF(X28="SI",Y28,0)</f>
        <v/>
      </c>
      <c r="AA28" s="22">
        <f>SUM(J28,M28,P28,S28,V28,Y28)</f>
        <v/>
      </c>
      <c r="AB28" s="22">
        <f>SUM(K28,N28,Q28,T28,W28,Z28)</f>
        <v/>
      </c>
      <c r="AC28" s="23">
        <f>IF(AA28=0,"",AB28/AA28)</f>
        <v/>
      </c>
      <c r="AD28" s="22">
        <f>CRITERIOS!Q16</f>
        <v/>
      </c>
      <c r="AE28" s="22">
        <f>IF(AND(E28=1,H28&lt;&gt;"X",((I28="N/A")+(L28="N/A")+(O28="N/A")+(R28="N/A")+(U28="N/A")+(X28="N/A"))&gt;0),"REVISAR","")</f>
        <v/>
      </c>
    </row>
    <row r="29">
      <c r="A29" s="19">
        <f>CRITERIOS!B17</f>
        <v/>
      </c>
      <c r="B29" s="19">
        <f>CRITERIOS!C17</f>
        <v/>
      </c>
      <c r="C29" s="20">
        <f>CRITERIOS!D17</f>
        <v/>
      </c>
      <c r="D29" s="19">
        <f>CRITERIOS!E17</f>
        <v/>
      </c>
      <c r="E29" s="19">
        <f>IFERROR(IF(AND(OR(CRITERIOS!F17="Todos",CRITERIOS!F17=$B$4),INDEX(CRITERIOS!H17:J17,MATCH($B$5,VARIABLES!$E$2:$E$4,0))=1),1,0),0)</f>
        <v/>
      </c>
      <c r="F29" s="19">
        <f>IFERROR(IF(E29=1,INDEX(CRITERIOS!K17:M17,MATCH($B$5,VARIABLES!$E$2:$E$4,0)),0),0)</f>
        <v/>
      </c>
      <c r="G29" s="19">
        <f>IF(CRITERIOS!N17="","",CRITERIOS!N17)</f>
        <v/>
      </c>
      <c r="H29" s="19">
        <f>IF(CRITERIOS!O17="","",CRITERIOS!O17)</f>
        <v/>
      </c>
      <c r="I29" s="21" t="n"/>
      <c r="J29" s="22">
        <f>IF(OR($E29=0,I$78=0),0,IF(AND(I29="N/A",$G29&lt;&gt;""),0,$F29+SUMPRODUCT(($G$14:$G$71=$A29)*($E$14:$E$71=1)*(I$14:I$71="N/A")*$F$14:$F$71)))</f>
        <v/>
      </c>
      <c r="K29" s="22">
        <f>IF(I29="SI",J29,0)</f>
        <v/>
      </c>
      <c r="L29" s="21" t="n"/>
      <c r="M29" s="22">
        <f>IF(OR($E29=0,L$78=0),0,IF(AND(L29="N/A",$G29&lt;&gt;""),0,$F29+SUMPRODUCT(($G$14:$G$71=$A29)*($E$14:$E$71=1)*(L$14:L$71="N/A")*$F$14:$F$71)))</f>
        <v/>
      </c>
      <c r="N29" s="22">
        <f>IF(L29="SI",M29,0)</f>
        <v/>
      </c>
      <c r="O29" s="21" t="n"/>
      <c r="P29" s="22">
        <f>IF(OR($E29=0,O$78=0),0,IF(AND(O29="N/A",$G29&lt;&gt;""),0,$F29+SUMPRODUCT(($G$14:$G$71=$A29)*($E$14:$E$71=1)*(O$14:O$71="N/A")*$F$14:$F$71)))</f>
        <v/>
      </c>
      <c r="Q29" s="22">
        <f>IF(O29="SI",P29,0)</f>
        <v/>
      </c>
      <c r="R29" s="21" t="n"/>
      <c r="S29" s="22">
        <f>IF(OR($E29=0,R$78=0),0,IF(AND(R29="N/A",$G29&lt;&gt;""),0,$F29+SUMPRODUCT(($G$14:$G$71=$A29)*($E$14:$E$71=1)*(R$14:R$71="N/A")*$F$14:$F$71)))</f>
        <v/>
      </c>
      <c r="T29" s="22">
        <f>IF(R29="SI",S29,0)</f>
        <v/>
      </c>
      <c r="U29" s="21" t="n"/>
      <c r="V29" s="22">
        <f>IF(OR($E29=0,U$78=0),0,IF(AND(U29="N/A",$G29&lt;&gt;""),0,$F29+SUMPRODUCT(($G$14:$G$71=$A29)*($E$14:$E$71=1)*(U$14:U$71="N/A")*$F$14:$F$71)))</f>
        <v/>
      </c>
      <c r="W29" s="22">
        <f>IF(U29="SI",V29,0)</f>
        <v/>
      </c>
      <c r="X29" s="21" t="n"/>
      <c r="Y29" s="22">
        <f>IF(OR($E29=0,X$78=0),0,IF(AND(X29="N/A",$G29&lt;&gt;""),0,$F29+SUMPRODUCT(($G$14:$G$71=$A29)*($E$14:$E$71=1)*(X$14:X$71="N/A")*$F$14:$F$71)))</f>
        <v/>
      </c>
      <c r="Z29" s="22">
        <f>IF(X29="SI",Y29,0)</f>
        <v/>
      </c>
      <c r="AA29" s="22">
        <f>SUM(J29,M29,P29,S29,V29,Y29)</f>
        <v/>
      </c>
      <c r="AB29" s="22">
        <f>SUM(K29,N29,Q29,T29,W29,Z29)</f>
        <v/>
      </c>
      <c r="AC29" s="23">
        <f>IF(AA29=0,"",AB29/AA29)</f>
        <v/>
      </c>
      <c r="AD29" s="22">
        <f>CRITERIOS!Q17</f>
        <v/>
      </c>
      <c r="AE29" s="22">
        <f>IF(AND(E29=1,H29&lt;&gt;"X",((I29="N/A")+(L29="N/A")+(O29="N/A")+(R29="N/A")+(U29="N/A")+(X29="N/A"))&gt;0),"REVISAR","")</f>
        <v/>
      </c>
    </row>
    <row r="30">
      <c r="A30" s="22">
        <f>CRITERIOS!B18</f>
        <v/>
      </c>
      <c r="B30" s="22">
        <f>CRITERIOS!C18</f>
        <v/>
      </c>
      <c r="C30" s="8">
        <f>CRITERIOS!D18</f>
        <v/>
      </c>
      <c r="D30" s="22">
        <f>CRITERIOS!E18</f>
        <v/>
      </c>
      <c r="E30" s="22">
        <f>IFERROR(IF(AND(OR(CRITERIOS!F18="Todos",CRITERIOS!F18=$B$4),INDEX(CRITERIOS!H18:J18,MATCH($B$5,VARIABLES!$E$2:$E$4,0))=1),1,0),0)</f>
        <v/>
      </c>
      <c r="F30" s="22">
        <f>IFERROR(IF(E30=1,INDEX(CRITERIOS!K18:M18,MATCH($B$5,VARIABLES!$E$2:$E$4,0)),0),0)</f>
        <v/>
      </c>
      <c r="G30" s="22">
        <f>IF(CRITERIOS!N18="","",CRITERIOS!N18)</f>
        <v/>
      </c>
      <c r="H30" s="22">
        <f>IF(CRITERIOS!O18="","",CRITERIOS!O18)</f>
        <v/>
      </c>
      <c r="I30" s="21" t="n"/>
      <c r="J30" s="22">
        <f>IF(OR($E30=0,I$78=0),0,IF(AND(I30="N/A",$G30&lt;&gt;""),0,$F30+SUMPRODUCT(($G$14:$G$71=$A30)*($E$14:$E$71=1)*(I$14:I$71="N/A")*$F$14:$F$71)))</f>
        <v/>
      </c>
      <c r="K30" s="22">
        <f>IF(I30="SI",J30,0)</f>
        <v/>
      </c>
      <c r="L30" s="21" t="n"/>
      <c r="M30" s="22">
        <f>IF(OR($E30=0,L$78=0),0,IF(AND(L30="N/A",$G30&lt;&gt;""),0,$F30+SUMPRODUCT(($G$14:$G$71=$A30)*($E$14:$E$71=1)*(L$14:L$71="N/A")*$F$14:$F$71)))</f>
        <v/>
      </c>
      <c r="N30" s="22">
        <f>IF(L30="SI",M30,0)</f>
        <v/>
      </c>
      <c r="O30" s="21" t="n"/>
      <c r="P30" s="22">
        <f>IF(OR($E30=0,O$78=0),0,IF(AND(O30="N/A",$G30&lt;&gt;""),0,$F30+SUMPRODUCT(($G$14:$G$71=$A30)*($E$14:$E$71=1)*(O$14:O$71="N/A")*$F$14:$F$71)))</f>
        <v/>
      </c>
      <c r="Q30" s="22">
        <f>IF(O30="SI",P30,0)</f>
        <v/>
      </c>
      <c r="R30" s="21" t="n"/>
      <c r="S30" s="22">
        <f>IF(OR($E30=0,R$78=0),0,IF(AND(R30="N/A",$G30&lt;&gt;""),0,$F30+SUMPRODUCT(($G$14:$G$71=$A30)*($E$14:$E$71=1)*(R$14:R$71="N/A")*$F$14:$F$71)))</f>
        <v/>
      </c>
      <c r="T30" s="22">
        <f>IF(R30="SI",S30,0)</f>
        <v/>
      </c>
      <c r="U30" s="21" t="n"/>
      <c r="V30" s="22">
        <f>IF(OR($E30=0,U$78=0),0,IF(AND(U30="N/A",$G30&lt;&gt;""),0,$F30+SUMPRODUCT(($G$14:$G$71=$A30)*($E$14:$E$71=1)*(U$14:U$71="N/A")*$F$14:$F$71)))</f>
        <v/>
      </c>
      <c r="W30" s="22">
        <f>IF(U30="SI",V30,0)</f>
        <v/>
      </c>
      <c r="X30" s="21" t="n"/>
      <c r="Y30" s="22">
        <f>IF(OR($E30=0,X$78=0),0,IF(AND(X30="N/A",$G30&lt;&gt;""),0,$F30+SUMPRODUCT(($G$14:$G$71=$A30)*($E$14:$E$71=1)*(X$14:X$71="N/A")*$F$14:$F$71)))</f>
        <v/>
      </c>
      <c r="Z30" s="22">
        <f>IF(X30="SI",Y30,0)</f>
        <v/>
      </c>
      <c r="AA30" s="22">
        <f>SUM(J30,M30,P30,S30,V30,Y30)</f>
        <v/>
      </c>
      <c r="AB30" s="22">
        <f>SUM(K30,N30,Q30,T30,W30,Z30)</f>
        <v/>
      </c>
      <c r="AC30" s="23">
        <f>IF(AA30=0,"",AB30/AA30)</f>
        <v/>
      </c>
      <c r="AD30" s="22">
        <f>CRITERIOS!Q18</f>
        <v/>
      </c>
      <c r="AE30" s="22">
        <f>IF(AND(E30=1,H30&lt;&gt;"X",((I30="N/A")+(L30="N/A")+(O30="N/A")+(R30="N/A")+(U30="N/A")+(X30="N/A"))&gt;0),"REVISAR","")</f>
        <v/>
      </c>
    </row>
    <row r="31">
      <c r="A31" s="24">
        <f>CRITERIOS!B19</f>
        <v/>
      </c>
      <c r="B31" s="24">
        <f>CRITERIOS!C19</f>
        <v/>
      </c>
      <c r="C31" s="25">
        <f>CRITERIOS!D19</f>
        <v/>
      </c>
      <c r="D31" s="24">
        <f>CRITERIOS!E19</f>
        <v/>
      </c>
      <c r="E31" s="24">
        <f>IFERROR(IF(AND(OR(CRITERIOS!F19="Todos",CRITERIOS!F19=$B$4),INDEX(CRITERIOS!H19:J19,MATCH($B$5,VARIABLES!$E$2:$E$4,0))=1),1,0),0)</f>
        <v/>
      </c>
      <c r="F31" s="24">
        <f>IFERROR(IF(E31=1,INDEX(CRITERIOS!K19:M19,MATCH($B$5,VARIABLES!$E$2:$E$4,0)),0),0)</f>
        <v/>
      </c>
      <c r="G31" s="24">
        <f>IF(CRITERIOS!N19="","",CRITERIOS!N19)</f>
        <v/>
      </c>
      <c r="H31" s="24">
        <f>IF(CRITERIOS!O19="","",CRITERIOS!O19)</f>
        <v/>
      </c>
      <c r="I31" s="21" t="n"/>
      <c r="J31" s="22">
        <f>IF(OR($E31=0,I$78=0),0,IF(AND(I31="N/A",$G31&lt;&gt;""),0,$F31+SUMPRODUCT(($G$14:$G$71=$A31)*($E$14:$E$71=1)*(I$14:I$71="N/A")*$F$14:$F$71)))</f>
        <v/>
      </c>
      <c r="K31" s="22">
        <f>IF(I31="SI",J31,0)</f>
        <v/>
      </c>
      <c r="L31" s="21" t="n"/>
      <c r="M31" s="22">
        <f>IF(OR($E31=0,L$78=0),0,IF(AND(L31="N/A",$G31&lt;&gt;""),0,$F31+SUMPRODUCT(($G$14:$G$71=$A31)*($E$14:$E$71=1)*(L$14:L$71="N/A")*$F$14:$F$71)))</f>
        <v/>
      </c>
      <c r="N31" s="22">
        <f>IF(L31="SI",M31,0)</f>
        <v/>
      </c>
      <c r="O31" s="21" t="n"/>
      <c r="P31" s="22">
        <f>IF(OR($E31=0,O$78=0),0,IF(AND(O31="N/A",$G31&lt;&gt;""),0,$F31+SUMPRODUCT(($G$14:$G$71=$A31)*($E$14:$E$71=1)*(O$14:O$71="N/A")*$F$14:$F$71)))</f>
        <v/>
      </c>
      <c r="Q31" s="22">
        <f>IF(O31="SI",P31,0)</f>
        <v/>
      </c>
      <c r="R31" s="21" t="n"/>
      <c r="S31" s="22">
        <f>IF(OR($E31=0,R$78=0),0,IF(AND(R31="N/A",$G31&lt;&gt;""),0,$F31+SUMPRODUCT(($G$14:$G$71=$A31)*($E$14:$E$71=1)*(R$14:R$71="N/A")*$F$14:$F$71)))</f>
        <v/>
      </c>
      <c r="T31" s="22">
        <f>IF(R31="SI",S31,0)</f>
        <v/>
      </c>
      <c r="U31" s="21" t="n"/>
      <c r="V31" s="22">
        <f>IF(OR($E31=0,U$78=0),0,IF(AND(U31="N/A",$G31&lt;&gt;""),0,$F31+SUMPRODUCT(($G$14:$G$71=$A31)*($E$14:$E$71=1)*(U$14:U$71="N/A")*$F$14:$F$71)))</f>
        <v/>
      </c>
      <c r="W31" s="22">
        <f>IF(U31="SI",V31,0)</f>
        <v/>
      </c>
      <c r="X31" s="21" t="n"/>
      <c r="Y31" s="22">
        <f>IF(OR($E31=0,X$78=0),0,IF(AND(X31="N/A",$G31&lt;&gt;""),0,$F31+SUMPRODUCT(($G$14:$G$71=$A31)*($E$14:$E$71=1)*(X$14:X$71="N/A")*$F$14:$F$71)))</f>
        <v/>
      </c>
      <c r="Z31" s="22">
        <f>IF(X31="SI",Y31,0)</f>
        <v/>
      </c>
      <c r="AA31" s="22">
        <f>SUM(J31,M31,P31,S31,V31,Y31)</f>
        <v/>
      </c>
      <c r="AB31" s="22">
        <f>SUM(K31,N31,Q31,T31,W31,Z31)</f>
        <v/>
      </c>
      <c r="AC31" s="23">
        <f>IF(AA31=0,"",AB31/AA31)</f>
        <v/>
      </c>
      <c r="AD31" s="22">
        <f>CRITERIOS!Q19</f>
        <v/>
      </c>
      <c r="AE31" s="22">
        <f>IF(AND(E31=1,H31&lt;&gt;"X",((I31="N/A")+(L31="N/A")+(O31="N/A")+(R31="N/A")+(U31="N/A")+(X31="N/A"))&gt;0),"REVISAR","")</f>
        <v/>
      </c>
    </row>
    <row r="32">
      <c r="A32" s="24">
        <f>CRITERIOS!B20</f>
        <v/>
      </c>
      <c r="B32" s="24">
        <f>CRITERIOS!C20</f>
        <v/>
      </c>
      <c r="C32" s="25">
        <f>CRITERIOS!D20</f>
        <v/>
      </c>
      <c r="D32" s="24">
        <f>CRITERIOS!E20</f>
        <v/>
      </c>
      <c r="E32" s="24">
        <f>IFERROR(IF(AND(OR(CRITERIOS!F20="Todos",CRITERIOS!F20=$B$4),INDEX(CRITERIOS!H20:J20,MATCH($B$5,VARIABLES!$E$2:$E$4,0))=1),1,0),0)</f>
        <v/>
      </c>
      <c r="F32" s="24">
        <f>IFERROR(IF(E32=1,INDEX(CRITERIOS!K20:M20,MATCH($B$5,VARIABLES!$E$2:$E$4,0)),0),0)</f>
        <v/>
      </c>
      <c r="G32" s="24">
        <f>IF(CRITERIOS!N20="","",CRITERIOS!N20)</f>
        <v/>
      </c>
      <c r="H32" s="24">
        <f>IF(CRITERIOS!O20="","",CRITERIOS!O20)</f>
        <v/>
      </c>
      <c r="I32" s="21" t="n"/>
      <c r="J32" s="22">
        <f>IF(OR($E32=0,I$78=0),0,IF(AND(I32="N/A",$G32&lt;&gt;""),0,$F32+SUMPRODUCT(($G$14:$G$71=$A32)*($E$14:$E$71=1)*(I$14:I$71="N/A")*$F$14:$F$71)))</f>
        <v/>
      </c>
      <c r="K32" s="22">
        <f>IF(I32="SI",J32,0)</f>
        <v/>
      </c>
      <c r="L32" s="21" t="n"/>
      <c r="M32" s="22">
        <f>IF(OR($E32=0,L$78=0),0,IF(AND(L32="N/A",$G32&lt;&gt;""),0,$F32+SUMPRODUCT(($G$14:$G$71=$A32)*($E$14:$E$71=1)*(L$14:L$71="N/A")*$F$14:$F$71)))</f>
        <v/>
      </c>
      <c r="N32" s="22">
        <f>IF(L32="SI",M32,0)</f>
        <v/>
      </c>
      <c r="O32" s="21" t="n"/>
      <c r="P32" s="22">
        <f>IF(OR($E32=0,O$78=0),0,IF(AND(O32="N/A",$G32&lt;&gt;""),0,$F32+SUMPRODUCT(($G$14:$G$71=$A32)*($E$14:$E$71=1)*(O$14:O$71="N/A")*$F$14:$F$71)))</f>
        <v/>
      </c>
      <c r="Q32" s="22">
        <f>IF(O32="SI",P32,0)</f>
        <v/>
      </c>
      <c r="R32" s="21" t="n"/>
      <c r="S32" s="22">
        <f>IF(OR($E32=0,R$78=0),0,IF(AND(R32="N/A",$G32&lt;&gt;""),0,$F32+SUMPRODUCT(($G$14:$G$71=$A32)*($E$14:$E$71=1)*(R$14:R$71="N/A")*$F$14:$F$71)))</f>
        <v/>
      </c>
      <c r="T32" s="22">
        <f>IF(R32="SI",S32,0)</f>
        <v/>
      </c>
      <c r="U32" s="21" t="n"/>
      <c r="V32" s="22">
        <f>IF(OR($E32=0,U$78=0),0,IF(AND(U32="N/A",$G32&lt;&gt;""),0,$F32+SUMPRODUCT(($G$14:$G$71=$A32)*($E$14:$E$71=1)*(U$14:U$71="N/A")*$F$14:$F$71)))</f>
        <v/>
      </c>
      <c r="W32" s="22">
        <f>IF(U32="SI",V32,0)</f>
        <v/>
      </c>
      <c r="X32" s="21" t="n"/>
      <c r="Y32" s="22">
        <f>IF(OR($E32=0,X$78=0),0,IF(AND(X32="N/A",$G32&lt;&gt;""),0,$F32+SUMPRODUCT(($G$14:$G$71=$A32)*($E$14:$E$71=1)*(X$14:X$71="N/A")*$F$14:$F$71)))</f>
        <v/>
      </c>
      <c r="Z32" s="22">
        <f>IF(X32="SI",Y32,0)</f>
        <v/>
      </c>
      <c r="AA32" s="22">
        <f>SUM(J32,M32,P32,S32,V32,Y32)</f>
        <v/>
      </c>
      <c r="AB32" s="22">
        <f>SUM(K32,N32,Q32,T32,W32,Z32)</f>
        <v/>
      </c>
      <c r="AC32" s="23">
        <f>IF(AA32=0,"",AB32/AA32)</f>
        <v/>
      </c>
      <c r="AD32" s="22">
        <f>CRITERIOS!Q20</f>
        <v/>
      </c>
      <c r="AE32" s="22">
        <f>IF(AND(E32=1,H32&lt;&gt;"X",((I32="N/A")+(L32="N/A")+(O32="N/A")+(R32="N/A")+(U32="N/A")+(X32="N/A"))&gt;0),"REVISAR","")</f>
        <v/>
      </c>
    </row>
    <row r="33">
      <c r="A33" s="24">
        <f>CRITERIOS!B21</f>
        <v/>
      </c>
      <c r="B33" s="24">
        <f>CRITERIOS!C21</f>
        <v/>
      </c>
      <c r="C33" s="25">
        <f>CRITERIOS!D21</f>
        <v/>
      </c>
      <c r="D33" s="24">
        <f>CRITERIOS!E21</f>
        <v/>
      </c>
      <c r="E33" s="24">
        <f>IFERROR(IF(AND(OR(CRITERIOS!F21="Todos",CRITERIOS!F21=$B$4),INDEX(CRITERIOS!H21:J21,MATCH($B$5,VARIABLES!$E$2:$E$4,0))=1),1,0),0)</f>
        <v/>
      </c>
      <c r="F33" s="24">
        <f>IFERROR(IF(E33=1,INDEX(CRITERIOS!K21:M21,MATCH($B$5,VARIABLES!$E$2:$E$4,0)),0),0)</f>
        <v/>
      </c>
      <c r="G33" s="24">
        <f>IF(CRITERIOS!N21="","",CRITERIOS!N21)</f>
        <v/>
      </c>
      <c r="H33" s="24">
        <f>IF(CRITERIOS!O21="","",CRITERIOS!O21)</f>
        <v/>
      </c>
      <c r="I33" s="21" t="n"/>
      <c r="J33" s="22">
        <f>IF(OR($E33=0,I$78=0),0,IF(AND(I33="N/A",$G33&lt;&gt;""),0,$F33+SUMPRODUCT(($G$14:$G$71=$A33)*($E$14:$E$71=1)*(I$14:I$71="N/A")*$F$14:$F$71)))</f>
        <v/>
      </c>
      <c r="K33" s="22">
        <f>IF(I33="SI",J33,0)</f>
        <v/>
      </c>
      <c r="L33" s="21" t="n"/>
      <c r="M33" s="22">
        <f>IF(OR($E33=0,L$78=0),0,IF(AND(L33="N/A",$G33&lt;&gt;""),0,$F33+SUMPRODUCT(($G$14:$G$71=$A33)*($E$14:$E$71=1)*(L$14:L$71="N/A")*$F$14:$F$71)))</f>
        <v/>
      </c>
      <c r="N33" s="22">
        <f>IF(L33="SI",M33,0)</f>
        <v/>
      </c>
      <c r="O33" s="21" t="n"/>
      <c r="P33" s="22">
        <f>IF(OR($E33=0,O$78=0),0,IF(AND(O33="N/A",$G33&lt;&gt;""),0,$F33+SUMPRODUCT(($G$14:$G$71=$A33)*($E$14:$E$71=1)*(O$14:O$71="N/A")*$F$14:$F$71)))</f>
        <v/>
      </c>
      <c r="Q33" s="22">
        <f>IF(O33="SI",P33,0)</f>
        <v/>
      </c>
      <c r="R33" s="21" t="n"/>
      <c r="S33" s="22">
        <f>IF(OR($E33=0,R$78=0),0,IF(AND(R33="N/A",$G33&lt;&gt;""),0,$F33+SUMPRODUCT(($G$14:$G$71=$A33)*($E$14:$E$71=1)*(R$14:R$71="N/A")*$F$14:$F$71)))</f>
        <v/>
      </c>
      <c r="T33" s="22">
        <f>IF(R33="SI",S33,0)</f>
        <v/>
      </c>
      <c r="U33" s="21" t="n"/>
      <c r="V33" s="22">
        <f>IF(OR($E33=0,U$78=0),0,IF(AND(U33="N/A",$G33&lt;&gt;""),0,$F33+SUMPRODUCT(($G$14:$G$71=$A33)*($E$14:$E$71=1)*(U$14:U$71="N/A")*$F$14:$F$71)))</f>
        <v/>
      </c>
      <c r="W33" s="22">
        <f>IF(U33="SI",V33,0)</f>
        <v/>
      </c>
      <c r="X33" s="21" t="n"/>
      <c r="Y33" s="22">
        <f>IF(OR($E33=0,X$78=0),0,IF(AND(X33="N/A",$G33&lt;&gt;""),0,$F33+SUMPRODUCT(($G$14:$G$71=$A33)*($E$14:$E$71=1)*(X$14:X$71="N/A")*$F$14:$F$71)))</f>
        <v/>
      </c>
      <c r="Z33" s="22">
        <f>IF(X33="SI",Y33,0)</f>
        <v/>
      </c>
      <c r="AA33" s="22">
        <f>SUM(J33,M33,P33,S33,V33,Y33)</f>
        <v/>
      </c>
      <c r="AB33" s="22">
        <f>SUM(K33,N33,Q33,T33,W33,Z33)</f>
        <v/>
      </c>
      <c r="AC33" s="23">
        <f>IF(AA33=0,"",AB33/AA33)</f>
        <v/>
      </c>
      <c r="AD33" s="22">
        <f>CRITERIOS!Q21</f>
        <v/>
      </c>
      <c r="AE33" s="22">
        <f>IF(AND(E33=1,H33&lt;&gt;"X",((I33="N/A")+(L33="N/A")+(O33="N/A")+(R33="N/A")+(U33="N/A")+(X33="N/A"))&gt;0),"REVISAR","")</f>
        <v/>
      </c>
    </row>
    <row r="34">
      <c r="A34" s="22">
        <f>CRITERIOS!B22</f>
        <v/>
      </c>
      <c r="B34" s="22">
        <f>CRITERIOS!C22</f>
        <v/>
      </c>
      <c r="C34" s="8">
        <f>CRITERIOS!D22</f>
        <v/>
      </c>
      <c r="D34" s="22">
        <f>CRITERIOS!E22</f>
        <v/>
      </c>
      <c r="E34" s="22">
        <f>IFERROR(IF(AND(OR(CRITERIOS!F22="Todos",CRITERIOS!F22=$B$4),INDEX(CRITERIOS!H22:J22,MATCH($B$5,VARIABLES!$E$2:$E$4,0))=1),1,0),0)</f>
        <v/>
      </c>
      <c r="F34" s="22">
        <f>IFERROR(IF(E34=1,INDEX(CRITERIOS!K22:M22,MATCH($B$5,VARIABLES!$E$2:$E$4,0)),0),0)</f>
        <v/>
      </c>
      <c r="G34" s="22">
        <f>IF(CRITERIOS!N22="","",CRITERIOS!N22)</f>
        <v/>
      </c>
      <c r="H34" s="22">
        <f>IF(CRITERIOS!O22="","",CRITERIOS!O22)</f>
        <v/>
      </c>
      <c r="I34" s="21" t="n"/>
      <c r="J34" s="22">
        <f>IF(OR($E34=0,I$78=0),0,IF(AND(I34="N/A",$G34&lt;&gt;""),0,$F34+SUMPRODUCT(($G$14:$G$71=$A34)*($E$14:$E$71=1)*(I$14:I$71="N/A")*$F$14:$F$71)))</f>
        <v/>
      </c>
      <c r="K34" s="22">
        <f>IF(I34="SI",J34,0)</f>
        <v/>
      </c>
      <c r="L34" s="21" t="n"/>
      <c r="M34" s="22">
        <f>IF(OR($E34=0,L$78=0),0,IF(AND(L34="N/A",$G34&lt;&gt;""),0,$F34+SUMPRODUCT(($G$14:$G$71=$A34)*($E$14:$E$71=1)*(L$14:L$71="N/A")*$F$14:$F$71)))</f>
        <v/>
      </c>
      <c r="N34" s="22">
        <f>IF(L34="SI",M34,0)</f>
        <v/>
      </c>
      <c r="O34" s="21" t="n"/>
      <c r="P34" s="22">
        <f>IF(OR($E34=0,O$78=0),0,IF(AND(O34="N/A",$G34&lt;&gt;""),0,$F34+SUMPRODUCT(($G$14:$G$71=$A34)*($E$14:$E$71=1)*(O$14:O$71="N/A")*$F$14:$F$71)))</f>
        <v/>
      </c>
      <c r="Q34" s="22">
        <f>IF(O34="SI",P34,0)</f>
        <v/>
      </c>
      <c r="R34" s="21" t="n"/>
      <c r="S34" s="22">
        <f>IF(OR($E34=0,R$78=0),0,IF(AND(R34="N/A",$G34&lt;&gt;""),0,$F34+SUMPRODUCT(($G$14:$G$71=$A34)*($E$14:$E$71=1)*(R$14:R$71="N/A")*$F$14:$F$71)))</f>
        <v/>
      </c>
      <c r="T34" s="22">
        <f>IF(R34="SI",S34,0)</f>
        <v/>
      </c>
      <c r="U34" s="21" t="n"/>
      <c r="V34" s="22">
        <f>IF(OR($E34=0,U$78=0),0,IF(AND(U34="N/A",$G34&lt;&gt;""),0,$F34+SUMPRODUCT(($G$14:$G$71=$A34)*($E$14:$E$71=1)*(U$14:U$71="N/A")*$F$14:$F$71)))</f>
        <v/>
      </c>
      <c r="W34" s="22">
        <f>IF(U34="SI",V34,0)</f>
        <v/>
      </c>
      <c r="X34" s="21" t="n"/>
      <c r="Y34" s="22">
        <f>IF(OR($E34=0,X$78=0),0,IF(AND(X34="N/A",$G34&lt;&gt;""),0,$F34+SUMPRODUCT(($G$14:$G$71=$A34)*($E$14:$E$71=1)*(X$14:X$71="N/A")*$F$14:$F$71)))</f>
        <v/>
      </c>
      <c r="Z34" s="22">
        <f>IF(X34="SI",Y34,0)</f>
        <v/>
      </c>
      <c r="AA34" s="22">
        <f>SUM(J34,M34,P34,S34,V34,Y34)</f>
        <v/>
      </c>
      <c r="AB34" s="22">
        <f>SUM(K34,N34,Q34,T34,W34,Z34)</f>
        <v/>
      </c>
      <c r="AC34" s="23">
        <f>IF(AA34=0,"",AB34/AA34)</f>
        <v/>
      </c>
      <c r="AD34" s="22">
        <f>CRITERIOS!Q22</f>
        <v/>
      </c>
      <c r="AE34" s="22">
        <f>IF(AND(E34=1,H34&lt;&gt;"X",((I34="N/A")+(L34="N/A")+(O34="N/A")+(R34="N/A")+(U34="N/A")+(X34="N/A"))&gt;0),"REVISAR","")</f>
        <v/>
      </c>
    </row>
    <row r="35">
      <c r="A35" s="22">
        <f>CRITERIOS!B23</f>
        <v/>
      </c>
      <c r="B35" s="22">
        <f>CRITERIOS!C23</f>
        <v/>
      </c>
      <c r="C35" s="8">
        <f>CRITERIOS!D23</f>
        <v/>
      </c>
      <c r="D35" s="22">
        <f>CRITERIOS!E23</f>
        <v/>
      </c>
      <c r="E35" s="22">
        <f>IFERROR(IF(AND(OR(CRITERIOS!F23="Todos",CRITERIOS!F23=$B$4),INDEX(CRITERIOS!H23:J23,MATCH($B$5,VARIABLES!$E$2:$E$4,0))=1),1,0),0)</f>
        <v/>
      </c>
      <c r="F35" s="22">
        <f>IFERROR(IF(E35=1,INDEX(CRITERIOS!K23:M23,MATCH($B$5,VARIABLES!$E$2:$E$4,0)),0),0)</f>
        <v/>
      </c>
      <c r="G35" s="22">
        <f>IF(CRITERIOS!N23="","",CRITERIOS!N23)</f>
        <v/>
      </c>
      <c r="H35" s="22">
        <f>IF(CRITERIOS!O23="","",CRITERIOS!O23)</f>
        <v/>
      </c>
      <c r="I35" s="21" t="n"/>
      <c r="J35" s="22">
        <f>IF(OR($E35=0,I$78=0),0,IF(AND(I35="N/A",$G35&lt;&gt;""),0,$F35+SUMPRODUCT(($G$14:$G$71=$A35)*($E$14:$E$71=1)*(I$14:I$71="N/A")*$F$14:$F$71)))</f>
        <v/>
      </c>
      <c r="K35" s="22">
        <f>IF(I35="SI",J35,0)</f>
        <v/>
      </c>
      <c r="L35" s="21" t="n"/>
      <c r="M35" s="22">
        <f>IF(OR($E35=0,L$78=0),0,IF(AND(L35="N/A",$G35&lt;&gt;""),0,$F35+SUMPRODUCT(($G$14:$G$71=$A35)*($E$14:$E$71=1)*(L$14:L$71="N/A")*$F$14:$F$71)))</f>
        <v/>
      </c>
      <c r="N35" s="22">
        <f>IF(L35="SI",M35,0)</f>
        <v/>
      </c>
      <c r="O35" s="21" t="n"/>
      <c r="P35" s="22">
        <f>IF(OR($E35=0,O$78=0),0,IF(AND(O35="N/A",$G35&lt;&gt;""),0,$F35+SUMPRODUCT(($G$14:$G$71=$A35)*($E$14:$E$71=1)*(O$14:O$71="N/A")*$F$14:$F$71)))</f>
        <v/>
      </c>
      <c r="Q35" s="22">
        <f>IF(O35="SI",P35,0)</f>
        <v/>
      </c>
      <c r="R35" s="21" t="n"/>
      <c r="S35" s="22">
        <f>IF(OR($E35=0,R$78=0),0,IF(AND(R35="N/A",$G35&lt;&gt;""),0,$F35+SUMPRODUCT(($G$14:$G$71=$A35)*($E$14:$E$71=1)*(R$14:R$71="N/A")*$F$14:$F$71)))</f>
        <v/>
      </c>
      <c r="T35" s="22">
        <f>IF(R35="SI",S35,0)</f>
        <v/>
      </c>
      <c r="U35" s="21" t="n"/>
      <c r="V35" s="22">
        <f>IF(OR($E35=0,U$78=0),0,IF(AND(U35="N/A",$G35&lt;&gt;""),0,$F35+SUMPRODUCT(($G$14:$G$71=$A35)*($E$14:$E$71=1)*(U$14:U$71="N/A")*$F$14:$F$71)))</f>
        <v/>
      </c>
      <c r="W35" s="22">
        <f>IF(U35="SI",V35,0)</f>
        <v/>
      </c>
      <c r="X35" s="21" t="n"/>
      <c r="Y35" s="22">
        <f>IF(OR($E35=0,X$78=0),0,IF(AND(X35="N/A",$G35&lt;&gt;""),0,$F35+SUMPRODUCT(($G$14:$G$71=$A35)*($E$14:$E$71=1)*(X$14:X$71="N/A")*$F$14:$F$71)))</f>
        <v/>
      </c>
      <c r="Z35" s="22">
        <f>IF(X35="SI",Y35,0)</f>
        <v/>
      </c>
      <c r="AA35" s="22">
        <f>SUM(J35,M35,P35,S35,V35,Y35)</f>
        <v/>
      </c>
      <c r="AB35" s="22">
        <f>SUM(K35,N35,Q35,T35,W35,Z35)</f>
        <v/>
      </c>
      <c r="AC35" s="23">
        <f>IF(AA35=0,"",AB35/AA35)</f>
        <v/>
      </c>
      <c r="AD35" s="22">
        <f>CRITERIOS!Q23</f>
        <v/>
      </c>
      <c r="AE35" s="22">
        <f>IF(AND(E35=1,H35&lt;&gt;"X",((I35="N/A")+(L35="N/A")+(O35="N/A")+(R35="N/A")+(U35="N/A")+(X35="N/A"))&gt;0),"REVISAR","")</f>
        <v/>
      </c>
    </row>
    <row r="36">
      <c r="A36" s="22">
        <f>CRITERIOS!B24</f>
        <v/>
      </c>
      <c r="B36" s="22">
        <f>CRITERIOS!C24</f>
        <v/>
      </c>
      <c r="C36" s="8">
        <f>CRITERIOS!D24</f>
        <v/>
      </c>
      <c r="D36" s="22">
        <f>CRITERIOS!E24</f>
        <v/>
      </c>
      <c r="E36" s="22">
        <f>IFERROR(IF(AND(OR(CRITERIOS!F24="Todos",CRITERIOS!F24=$B$4),INDEX(CRITERIOS!H24:J24,MATCH($B$5,VARIABLES!$E$2:$E$4,0))=1),1,0),0)</f>
        <v/>
      </c>
      <c r="F36" s="22">
        <f>IFERROR(IF(E36=1,INDEX(CRITERIOS!K24:M24,MATCH($B$5,VARIABLES!$E$2:$E$4,0)),0),0)</f>
        <v/>
      </c>
      <c r="G36" s="22">
        <f>IF(CRITERIOS!N24="","",CRITERIOS!N24)</f>
        <v/>
      </c>
      <c r="H36" s="22">
        <f>IF(CRITERIOS!O24="","",CRITERIOS!O24)</f>
        <v/>
      </c>
      <c r="I36" s="21" t="n"/>
      <c r="J36" s="22">
        <f>IF(OR($E36=0,I$78=0),0,IF(AND(I36="N/A",$G36&lt;&gt;""),0,$F36+SUMPRODUCT(($G$14:$G$71=$A36)*($E$14:$E$71=1)*(I$14:I$71="N/A")*$F$14:$F$71)))</f>
        <v/>
      </c>
      <c r="K36" s="22">
        <f>IF(I36="SI",J36,0)</f>
        <v/>
      </c>
      <c r="L36" s="21" t="n"/>
      <c r="M36" s="22">
        <f>IF(OR($E36=0,L$78=0),0,IF(AND(L36="N/A",$G36&lt;&gt;""),0,$F36+SUMPRODUCT(($G$14:$G$71=$A36)*($E$14:$E$71=1)*(L$14:L$71="N/A")*$F$14:$F$71)))</f>
        <v/>
      </c>
      <c r="N36" s="22">
        <f>IF(L36="SI",M36,0)</f>
        <v/>
      </c>
      <c r="O36" s="21" t="n"/>
      <c r="P36" s="22">
        <f>IF(OR($E36=0,O$78=0),0,IF(AND(O36="N/A",$G36&lt;&gt;""),0,$F36+SUMPRODUCT(($G$14:$G$71=$A36)*($E$14:$E$71=1)*(O$14:O$71="N/A")*$F$14:$F$71)))</f>
        <v/>
      </c>
      <c r="Q36" s="22">
        <f>IF(O36="SI",P36,0)</f>
        <v/>
      </c>
      <c r="R36" s="21" t="n"/>
      <c r="S36" s="22">
        <f>IF(OR($E36=0,R$78=0),0,IF(AND(R36="N/A",$G36&lt;&gt;""),0,$F36+SUMPRODUCT(($G$14:$G$71=$A36)*($E$14:$E$71=1)*(R$14:R$71="N/A")*$F$14:$F$71)))</f>
        <v/>
      </c>
      <c r="T36" s="22">
        <f>IF(R36="SI",S36,0)</f>
        <v/>
      </c>
      <c r="U36" s="21" t="n"/>
      <c r="V36" s="22">
        <f>IF(OR($E36=0,U$78=0),0,IF(AND(U36="N/A",$G36&lt;&gt;""),0,$F36+SUMPRODUCT(($G$14:$G$71=$A36)*($E$14:$E$71=1)*(U$14:U$71="N/A")*$F$14:$F$71)))</f>
        <v/>
      </c>
      <c r="W36" s="22">
        <f>IF(U36="SI",V36,0)</f>
        <v/>
      </c>
      <c r="X36" s="21" t="n"/>
      <c r="Y36" s="22">
        <f>IF(OR($E36=0,X$78=0),0,IF(AND(X36="N/A",$G36&lt;&gt;""),0,$F36+SUMPRODUCT(($G$14:$G$71=$A36)*($E$14:$E$71=1)*(X$14:X$71="N/A")*$F$14:$F$71)))</f>
        <v/>
      </c>
      <c r="Z36" s="22">
        <f>IF(X36="SI",Y36,0)</f>
        <v/>
      </c>
      <c r="AA36" s="22">
        <f>SUM(J36,M36,P36,S36,V36,Y36)</f>
        <v/>
      </c>
      <c r="AB36" s="22">
        <f>SUM(K36,N36,Q36,T36,W36,Z36)</f>
        <v/>
      </c>
      <c r="AC36" s="23">
        <f>IF(AA36=0,"",AB36/AA36)</f>
        <v/>
      </c>
      <c r="AD36" s="22">
        <f>CRITERIOS!Q24</f>
        <v/>
      </c>
      <c r="AE36" s="22">
        <f>IF(AND(E36=1,H36&lt;&gt;"X",((I36="N/A")+(L36="N/A")+(O36="N/A")+(R36="N/A")+(U36="N/A")+(X36="N/A"))&gt;0),"REVISAR","")</f>
        <v/>
      </c>
    </row>
    <row r="37">
      <c r="A37" s="22">
        <f>CRITERIOS!B25</f>
        <v/>
      </c>
      <c r="B37" s="22">
        <f>CRITERIOS!C25</f>
        <v/>
      </c>
      <c r="C37" s="8">
        <f>CRITERIOS!D25</f>
        <v/>
      </c>
      <c r="D37" s="22">
        <f>CRITERIOS!E25</f>
        <v/>
      </c>
      <c r="E37" s="22">
        <f>IFERROR(IF(AND(OR(CRITERIOS!F25="Todos",CRITERIOS!F25=$B$4),INDEX(CRITERIOS!H25:J25,MATCH($B$5,VARIABLES!$E$2:$E$4,0))=1),1,0),0)</f>
        <v/>
      </c>
      <c r="F37" s="22">
        <f>IFERROR(IF(E37=1,INDEX(CRITERIOS!K25:M25,MATCH($B$5,VARIABLES!$E$2:$E$4,0)),0),0)</f>
        <v/>
      </c>
      <c r="G37" s="22">
        <f>IF(CRITERIOS!N25="","",CRITERIOS!N25)</f>
        <v/>
      </c>
      <c r="H37" s="22">
        <f>IF(CRITERIOS!O25="","",CRITERIOS!O25)</f>
        <v/>
      </c>
      <c r="I37" s="21" t="n"/>
      <c r="J37" s="22">
        <f>IF(OR($E37=0,I$78=0),0,IF(AND(I37="N/A",$G37&lt;&gt;""),0,$F37+SUMPRODUCT(($G$14:$G$71=$A37)*($E$14:$E$71=1)*(I$14:I$71="N/A")*$F$14:$F$71)))</f>
        <v/>
      </c>
      <c r="K37" s="22">
        <f>IF(I37="SI",J37,0)</f>
        <v/>
      </c>
      <c r="L37" s="21" t="n"/>
      <c r="M37" s="22">
        <f>IF(OR($E37=0,L$78=0),0,IF(AND(L37="N/A",$G37&lt;&gt;""),0,$F37+SUMPRODUCT(($G$14:$G$71=$A37)*($E$14:$E$71=1)*(L$14:L$71="N/A")*$F$14:$F$71)))</f>
        <v/>
      </c>
      <c r="N37" s="22">
        <f>IF(L37="SI",M37,0)</f>
        <v/>
      </c>
      <c r="O37" s="21" t="n"/>
      <c r="P37" s="22">
        <f>IF(OR($E37=0,O$78=0),0,IF(AND(O37="N/A",$G37&lt;&gt;""),0,$F37+SUMPRODUCT(($G$14:$G$71=$A37)*($E$14:$E$71=1)*(O$14:O$71="N/A")*$F$14:$F$71)))</f>
        <v/>
      </c>
      <c r="Q37" s="22">
        <f>IF(O37="SI",P37,0)</f>
        <v/>
      </c>
      <c r="R37" s="21" t="n"/>
      <c r="S37" s="22">
        <f>IF(OR($E37=0,R$78=0),0,IF(AND(R37="N/A",$G37&lt;&gt;""),0,$F37+SUMPRODUCT(($G$14:$G$71=$A37)*($E$14:$E$71=1)*(R$14:R$71="N/A")*$F$14:$F$71)))</f>
        <v/>
      </c>
      <c r="T37" s="22">
        <f>IF(R37="SI",S37,0)</f>
        <v/>
      </c>
      <c r="U37" s="21" t="n"/>
      <c r="V37" s="22">
        <f>IF(OR($E37=0,U$78=0),0,IF(AND(U37="N/A",$G37&lt;&gt;""),0,$F37+SUMPRODUCT(($G$14:$G$71=$A37)*($E$14:$E$71=1)*(U$14:U$71="N/A")*$F$14:$F$71)))</f>
        <v/>
      </c>
      <c r="W37" s="22">
        <f>IF(U37="SI",V37,0)</f>
        <v/>
      </c>
      <c r="X37" s="21" t="n"/>
      <c r="Y37" s="22">
        <f>IF(OR($E37=0,X$78=0),0,IF(AND(X37="N/A",$G37&lt;&gt;""),0,$F37+SUMPRODUCT(($G$14:$G$71=$A37)*($E$14:$E$71=1)*(X$14:X$71="N/A")*$F$14:$F$71)))</f>
        <v/>
      </c>
      <c r="Z37" s="22">
        <f>IF(X37="SI",Y37,0)</f>
        <v/>
      </c>
      <c r="AA37" s="22">
        <f>SUM(J37,M37,P37,S37,V37,Y37)</f>
        <v/>
      </c>
      <c r="AB37" s="22">
        <f>SUM(K37,N37,Q37,T37,W37,Z37)</f>
        <v/>
      </c>
      <c r="AC37" s="23">
        <f>IF(AA37=0,"",AB37/AA37)</f>
        <v/>
      </c>
      <c r="AD37" s="22">
        <f>CRITERIOS!Q25</f>
        <v/>
      </c>
      <c r="AE37" s="22">
        <f>IF(AND(E37=1,H37&lt;&gt;"X",((I37="N/A")+(L37="N/A")+(O37="N/A")+(R37="N/A")+(U37="N/A")+(X37="N/A"))&gt;0),"REVISAR","")</f>
        <v/>
      </c>
    </row>
    <row r="38">
      <c r="A38" s="22">
        <f>CRITERIOS!B26</f>
        <v/>
      </c>
      <c r="B38" s="22">
        <f>CRITERIOS!C26</f>
        <v/>
      </c>
      <c r="C38" s="8">
        <f>CRITERIOS!D26</f>
        <v/>
      </c>
      <c r="D38" s="22">
        <f>CRITERIOS!E26</f>
        <v/>
      </c>
      <c r="E38" s="22">
        <f>IFERROR(IF(AND(OR(CRITERIOS!F26="Todos",CRITERIOS!F26=$B$4),INDEX(CRITERIOS!H26:J26,MATCH($B$5,VARIABLES!$E$2:$E$4,0))=1),1,0),0)</f>
        <v/>
      </c>
      <c r="F38" s="22">
        <f>IFERROR(IF(E38=1,INDEX(CRITERIOS!K26:M26,MATCH($B$5,VARIABLES!$E$2:$E$4,0)),0),0)</f>
        <v/>
      </c>
      <c r="G38" s="22">
        <f>IF(CRITERIOS!N26="","",CRITERIOS!N26)</f>
        <v/>
      </c>
      <c r="H38" s="22">
        <f>IF(CRITERIOS!O26="","",CRITERIOS!O26)</f>
        <v/>
      </c>
      <c r="I38" s="21" t="n"/>
      <c r="J38" s="22">
        <f>IF(OR($E38=0,I$78=0),0,IF(AND(I38="N/A",$G38&lt;&gt;""),0,$F38+SUMPRODUCT(($G$14:$G$71=$A38)*($E$14:$E$71=1)*(I$14:I$71="N/A")*$F$14:$F$71)))</f>
        <v/>
      </c>
      <c r="K38" s="22">
        <f>IF(I38="SI",J38,0)</f>
        <v/>
      </c>
      <c r="L38" s="21" t="n"/>
      <c r="M38" s="22">
        <f>IF(OR($E38=0,L$78=0),0,IF(AND(L38="N/A",$G38&lt;&gt;""),0,$F38+SUMPRODUCT(($G$14:$G$71=$A38)*($E$14:$E$71=1)*(L$14:L$71="N/A")*$F$14:$F$71)))</f>
        <v/>
      </c>
      <c r="N38" s="22">
        <f>IF(L38="SI",M38,0)</f>
        <v/>
      </c>
      <c r="O38" s="21" t="n"/>
      <c r="P38" s="22">
        <f>IF(OR($E38=0,O$78=0),0,IF(AND(O38="N/A",$G38&lt;&gt;""),0,$F38+SUMPRODUCT(($G$14:$G$71=$A38)*($E$14:$E$71=1)*(O$14:O$71="N/A")*$F$14:$F$71)))</f>
        <v/>
      </c>
      <c r="Q38" s="22">
        <f>IF(O38="SI",P38,0)</f>
        <v/>
      </c>
      <c r="R38" s="21" t="n"/>
      <c r="S38" s="22">
        <f>IF(OR($E38=0,R$78=0),0,IF(AND(R38="N/A",$G38&lt;&gt;""),0,$F38+SUMPRODUCT(($G$14:$G$71=$A38)*($E$14:$E$71=1)*(R$14:R$71="N/A")*$F$14:$F$71)))</f>
        <v/>
      </c>
      <c r="T38" s="22">
        <f>IF(R38="SI",S38,0)</f>
        <v/>
      </c>
      <c r="U38" s="21" t="n"/>
      <c r="V38" s="22">
        <f>IF(OR($E38=0,U$78=0),0,IF(AND(U38="N/A",$G38&lt;&gt;""),0,$F38+SUMPRODUCT(($G$14:$G$71=$A38)*($E$14:$E$71=1)*(U$14:U$71="N/A")*$F$14:$F$71)))</f>
        <v/>
      </c>
      <c r="W38" s="22">
        <f>IF(U38="SI",V38,0)</f>
        <v/>
      </c>
      <c r="X38" s="21" t="n"/>
      <c r="Y38" s="22">
        <f>IF(OR($E38=0,X$78=0),0,IF(AND(X38="N/A",$G38&lt;&gt;""),0,$F38+SUMPRODUCT(($G$14:$G$71=$A38)*($E$14:$E$71=1)*(X$14:X$71="N/A")*$F$14:$F$71)))</f>
        <v/>
      </c>
      <c r="Z38" s="22">
        <f>IF(X38="SI",Y38,0)</f>
        <v/>
      </c>
      <c r="AA38" s="22">
        <f>SUM(J38,M38,P38,S38,V38,Y38)</f>
        <v/>
      </c>
      <c r="AB38" s="22">
        <f>SUM(K38,N38,Q38,T38,W38,Z38)</f>
        <v/>
      </c>
      <c r="AC38" s="23">
        <f>IF(AA38=0,"",AB38/AA38)</f>
        <v/>
      </c>
      <c r="AD38" s="22">
        <f>CRITERIOS!Q26</f>
        <v/>
      </c>
      <c r="AE38" s="22">
        <f>IF(AND(E38=1,H38&lt;&gt;"X",((I38="N/A")+(L38="N/A")+(O38="N/A")+(R38="N/A")+(U38="N/A")+(X38="N/A"))&gt;0),"REVISAR","")</f>
        <v/>
      </c>
    </row>
    <row r="39">
      <c r="A39" s="22">
        <f>CRITERIOS!B27</f>
        <v/>
      </c>
      <c r="B39" s="22">
        <f>CRITERIOS!C27</f>
        <v/>
      </c>
      <c r="C39" s="8">
        <f>CRITERIOS!D27</f>
        <v/>
      </c>
      <c r="D39" s="22">
        <f>CRITERIOS!E27</f>
        <v/>
      </c>
      <c r="E39" s="22">
        <f>IFERROR(IF(AND(OR(CRITERIOS!F27="Todos",CRITERIOS!F27=$B$4),INDEX(CRITERIOS!H27:J27,MATCH($B$5,VARIABLES!$E$2:$E$4,0))=1),1,0),0)</f>
        <v/>
      </c>
      <c r="F39" s="22">
        <f>IFERROR(IF(E39=1,INDEX(CRITERIOS!K27:M27,MATCH($B$5,VARIABLES!$E$2:$E$4,0)),0),0)</f>
        <v/>
      </c>
      <c r="G39" s="22">
        <f>IF(CRITERIOS!N27="","",CRITERIOS!N27)</f>
        <v/>
      </c>
      <c r="H39" s="22">
        <f>IF(CRITERIOS!O27="","",CRITERIOS!O27)</f>
        <v/>
      </c>
      <c r="I39" s="21" t="n"/>
      <c r="J39" s="22">
        <f>IF(OR($E39=0,I$78=0),0,IF(AND(I39="N/A",$G39&lt;&gt;""),0,$F39+SUMPRODUCT(($G$14:$G$71=$A39)*($E$14:$E$71=1)*(I$14:I$71="N/A")*$F$14:$F$71)))</f>
        <v/>
      </c>
      <c r="K39" s="22">
        <f>IF(I39="SI",J39,0)</f>
        <v/>
      </c>
      <c r="L39" s="21" t="n"/>
      <c r="M39" s="22">
        <f>IF(OR($E39=0,L$78=0),0,IF(AND(L39="N/A",$G39&lt;&gt;""),0,$F39+SUMPRODUCT(($G$14:$G$71=$A39)*($E$14:$E$71=1)*(L$14:L$71="N/A")*$F$14:$F$71)))</f>
        <v/>
      </c>
      <c r="N39" s="22">
        <f>IF(L39="SI",M39,0)</f>
        <v/>
      </c>
      <c r="O39" s="21" t="n"/>
      <c r="P39" s="22">
        <f>IF(OR($E39=0,O$78=0),0,IF(AND(O39="N/A",$G39&lt;&gt;""),0,$F39+SUMPRODUCT(($G$14:$G$71=$A39)*($E$14:$E$71=1)*(O$14:O$71="N/A")*$F$14:$F$71)))</f>
        <v/>
      </c>
      <c r="Q39" s="22">
        <f>IF(O39="SI",P39,0)</f>
        <v/>
      </c>
      <c r="R39" s="21" t="n"/>
      <c r="S39" s="22">
        <f>IF(OR($E39=0,R$78=0),0,IF(AND(R39="N/A",$G39&lt;&gt;""),0,$F39+SUMPRODUCT(($G$14:$G$71=$A39)*($E$14:$E$71=1)*(R$14:R$71="N/A")*$F$14:$F$71)))</f>
        <v/>
      </c>
      <c r="T39" s="22">
        <f>IF(R39="SI",S39,0)</f>
        <v/>
      </c>
      <c r="U39" s="21" t="n"/>
      <c r="V39" s="22">
        <f>IF(OR($E39=0,U$78=0),0,IF(AND(U39="N/A",$G39&lt;&gt;""),0,$F39+SUMPRODUCT(($G$14:$G$71=$A39)*($E$14:$E$71=1)*(U$14:U$71="N/A")*$F$14:$F$71)))</f>
        <v/>
      </c>
      <c r="W39" s="22">
        <f>IF(U39="SI",V39,0)</f>
        <v/>
      </c>
      <c r="X39" s="21" t="n"/>
      <c r="Y39" s="22">
        <f>IF(OR($E39=0,X$78=0),0,IF(AND(X39="N/A",$G39&lt;&gt;""),0,$F39+SUMPRODUCT(($G$14:$G$71=$A39)*($E$14:$E$71=1)*(X$14:X$71="N/A")*$F$14:$F$71)))</f>
        <v/>
      </c>
      <c r="Z39" s="22">
        <f>IF(X39="SI",Y39,0)</f>
        <v/>
      </c>
      <c r="AA39" s="22">
        <f>SUM(J39,M39,P39,S39,V39,Y39)</f>
        <v/>
      </c>
      <c r="AB39" s="22">
        <f>SUM(K39,N39,Q39,T39,W39,Z39)</f>
        <v/>
      </c>
      <c r="AC39" s="23">
        <f>IF(AA39=0,"",AB39/AA39)</f>
        <v/>
      </c>
      <c r="AD39" s="22">
        <f>CRITERIOS!Q27</f>
        <v/>
      </c>
      <c r="AE39" s="22">
        <f>IF(AND(E39=1,H39&lt;&gt;"X",((I39="N/A")+(L39="N/A")+(O39="N/A")+(R39="N/A")+(U39="N/A")+(X39="N/A"))&gt;0),"REVISAR","")</f>
        <v/>
      </c>
    </row>
    <row r="40">
      <c r="A40" s="22">
        <f>CRITERIOS!B28</f>
        <v/>
      </c>
      <c r="B40" s="22">
        <f>CRITERIOS!C28</f>
        <v/>
      </c>
      <c r="C40" s="8">
        <f>CRITERIOS!D28</f>
        <v/>
      </c>
      <c r="D40" s="22">
        <f>CRITERIOS!E28</f>
        <v/>
      </c>
      <c r="E40" s="22">
        <f>IFERROR(IF(AND(OR(CRITERIOS!F28="Todos",CRITERIOS!F28=$B$4),INDEX(CRITERIOS!H28:J28,MATCH($B$5,VARIABLES!$E$2:$E$4,0))=1),1,0),0)</f>
        <v/>
      </c>
      <c r="F40" s="22">
        <f>IFERROR(IF(E40=1,INDEX(CRITERIOS!K28:M28,MATCH($B$5,VARIABLES!$E$2:$E$4,0)),0),0)</f>
        <v/>
      </c>
      <c r="G40" s="22">
        <f>IF(CRITERIOS!N28="","",CRITERIOS!N28)</f>
        <v/>
      </c>
      <c r="H40" s="22">
        <f>IF(CRITERIOS!O28="","",CRITERIOS!O28)</f>
        <v/>
      </c>
      <c r="I40" s="21" t="n"/>
      <c r="J40" s="22">
        <f>IF(OR($E40=0,I$78=0),0,IF(AND(I40="N/A",$G40&lt;&gt;""),0,$F40+SUMPRODUCT(($G$14:$G$71=$A40)*($E$14:$E$71=1)*(I$14:I$71="N/A")*$F$14:$F$71)))</f>
        <v/>
      </c>
      <c r="K40" s="22">
        <f>IF(I40="SI",J40,0)</f>
        <v/>
      </c>
      <c r="L40" s="21" t="n"/>
      <c r="M40" s="22">
        <f>IF(OR($E40=0,L$78=0),0,IF(AND(L40="N/A",$G40&lt;&gt;""),0,$F40+SUMPRODUCT(($G$14:$G$71=$A40)*($E$14:$E$71=1)*(L$14:L$71="N/A")*$F$14:$F$71)))</f>
        <v/>
      </c>
      <c r="N40" s="22">
        <f>IF(L40="SI",M40,0)</f>
        <v/>
      </c>
      <c r="O40" s="21" t="n"/>
      <c r="P40" s="22">
        <f>IF(OR($E40=0,O$78=0),0,IF(AND(O40="N/A",$G40&lt;&gt;""),0,$F40+SUMPRODUCT(($G$14:$G$71=$A40)*($E$14:$E$71=1)*(O$14:O$71="N/A")*$F$14:$F$71)))</f>
        <v/>
      </c>
      <c r="Q40" s="22">
        <f>IF(O40="SI",P40,0)</f>
        <v/>
      </c>
      <c r="R40" s="21" t="n"/>
      <c r="S40" s="22">
        <f>IF(OR($E40=0,R$78=0),0,IF(AND(R40="N/A",$G40&lt;&gt;""),0,$F40+SUMPRODUCT(($G$14:$G$71=$A40)*($E$14:$E$71=1)*(R$14:R$71="N/A")*$F$14:$F$71)))</f>
        <v/>
      </c>
      <c r="T40" s="22">
        <f>IF(R40="SI",S40,0)</f>
        <v/>
      </c>
      <c r="U40" s="21" t="n"/>
      <c r="V40" s="22">
        <f>IF(OR($E40=0,U$78=0),0,IF(AND(U40="N/A",$G40&lt;&gt;""),0,$F40+SUMPRODUCT(($G$14:$G$71=$A40)*($E$14:$E$71=1)*(U$14:U$71="N/A")*$F$14:$F$71)))</f>
        <v/>
      </c>
      <c r="W40" s="22">
        <f>IF(U40="SI",V40,0)</f>
        <v/>
      </c>
      <c r="X40" s="21" t="n"/>
      <c r="Y40" s="22">
        <f>IF(OR($E40=0,X$78=0),0,IF(AND(X40="N/A",$G40&lt;&gt;""),0,$F40+SUMPRODUCT(($G$14:$G$71=$A40)*($E$14:$E$71=1)*(X$14:X$71="N/A")*$F$14:$F$71)))</f>
        <v/>
      </c>
      <c r="Z40" s="22">
        <f>IF(X40="SI",Y40,0)</f>
        <v/>
      </c>
      <c r="AA40" s="22">
        <f>SUM(J40,M40,P40,S40,V40,Y40)</f>
        <v/>
      </c>
      <c r="AB40" s="22">
        <f>SUM(K40,N40,Q40,T40,W40,Z40)</f>
        <v/>
      </c>
      <c r="AC40" s="23">
        <f>IF(AA40=0,"",AB40/AA40)</f>
        <v/>
      </c>
      <c r="AD40" s="22">
        <f>CRITERIOS!Q28</f>
        <v/>
      </c>
      <c r="AE40" s="22">
        <f>IF(AND(E40=1,H40&lt;&gt;"X",((I40="N/A")+(L40="N/A")+(O40="N/A")+(R40="N/A")+(U40="N/A")+(X40="N/A"))&gt;0),"REVISAR","")</f>
        <v/>
      </c>
    </row>
    <row r="41">
      <c r="A41" s="22">
        <f>CRITERIOS!B29</f>
        <v/>
      </c>
      <c r="B41" s="22">
        <f>CRITERIOS!C29</f>
        <v/>
      </c>
      <c r="C41" s="8">
        <f>CRITERIOS!D29</f>
        <v/>
      </c>
      <c r="D41" s="22">
        <f>CRITERIOS!E29</f>
        <v/>
      </c>
      <c r="E41" s="22">
        <f>IFERROR(IF(AND(OR(CRITERIOS!F29="Todos",CRITERIOS!F29=$B$4),INDEX(CRITERIOS!H29:J29,MATCH($B$5,VARIABLES!$E$2:$E$4,0))=1),1,0),0)</f>
        <v/>
      </c>
      <c r="F41" s="22">
        <f>IFERROR(IF(E41=1,INDEX(CRITERIOS!K29:M29,MATCH($B$5,VARIABLES!$E$2:$E$4,0)),0),0)</f>
        <v/>
      </c>
      <c r="G41" s="22">
        <f>IF(CRITERIOS!N29="","",CRITERIOS!N29)</f>
        <v/>
      </c>
      <c r="H41" s="22">
        <f>IF(CRITERIOS!O29="","",CRITERIOS!O29)</f>
        <v/>
      </c>
      <c r="I41" s="21" t="n"/>
      <c r="J41" s="22">
        <f>IF(OR($E41=0,I$78=0),0,IF(AND(I41="N/A",$G41&lt;&gt;""),0,$F41+SUMPRODUCT(($G$14:$G$71=$A41)*($E$14:$E$71=1)*(I$14:I$71="N/A")*$F$14:$F$71)))</f>
        <v/>
      </c>
      <c r="K41" s="22">
        <f>IF(I41="SI",J41,0)</f>
        <v/>
      </c>
      <c r="L41" s="21" t="n"/>
      <c r="M41" s="22">
        <f>IF(OR($E41=0,L$78=0),0,IF(AND(L41="N/A",$G41&lt;&gt;""),0,$F41+SUMPRODUCT(($G$14:$G$71=$A41)*($E$14:$E$71=1)*(L$14:L$71="N/A")*$F$14:$F$71)))</f>
        <v/>
      </c>
      <c r="N41" s="22">
        <f>IF(L41="SI",M41,0)</f>
        <v/>
      </c>
      <c r="O41" s="21" t="n"/>
      <c r="P41" s="22">
        <f>IF(OR($E41=0,O$78=0),0,IF(AND(O41="N/A",$G41&lt;&gt;""),0,$F41+SUMPRODUCT(($G$14:$G$71=$A41)*($E$14:$E$71=1)*(O$14:O$71="N/A")*$F$14:$F$71)))</f>
        <v/>
      </c>
      <c r="Q41" s="22">
        <f>IF(O41="SI",P41,0)</f>
        <v/>
      </c>
      <c r="R41" s="21" t="n"/>
      <c r="S41" s="22">
        <f>IF(OR($E41=0,R$78=0),0,IF(AND(R41="N/A",$G41&lt;&gt;""),0,$F41+SUMPRODUCT(($G$14:$G$71=$A41)*($E$14:$E$71=1)*(R$14:R$71="N/A")*$F$14:$F$71)))</f>
        <v/>
      </c>
      <c r="T41" s="22">
        <f>IF(R41="SI",S41,0)</f>
        <v/>
      </c>
      <c r="U41" s="21" t="n"/>
      <c r="V41" s="22">
        <f>IF(OR($E41=0,U$78=0),0,IF(AND(U41="N/A",$G41&lt;&gt;""),0,$F41+SUMPRODUCT(($G$14:$G$71=$A41)*($E$14:$E$71=1)*(U$14:U$71="N/A")*$F$14:$F$71)))</f>
        <v/>
      </c>
      <c r="W41" s="22">
        <f>IF(U41="SI",V41,0)</f>
        <v/>
      </c>
      <c r="X41" s="21" t="n"/>
      <c r="Y41" s="22">
        <f>IF(OR($E41=0,X$78=0),0,IF(AND(X41="N/A",$G41&lt;&gt;""),0,$F41+SUMPRODUCT(($G$14:$G$71=$A41)*($E$14:$E$71=1)*(X$14:X$71="N/A")*$F$14:$F$71)))</f>
        <v/>
      </c>
      <c r="Z41" s="22">
        <f>IF(X41="SI",Y41,0)</f>
        <v/>
      </c>
      <c r="AA41" s="22">
        <f>SUM(J41,M41,P41,S41,V41,Y41)</f>
        <v/>
      </c>
      <c r="AB41" s="22">
        <f>SUM(K41,N41,Q41,T41,W41,Z41)</f>
        <v/>
      </c>
      <c r="AC41" s="23">
        <f>IF(AA41=0,"",AB41/AA41)</f>
        <v/>
      </c>
      <c r="AD41" s="22">
        <f>CRITERIOS!Q29</f>
        <v/>
      </c>
      <c r="AE41" s="22">
        <f>IF(AND(E41=1,H41&lt;&gt;"X",((I41="N/A")+(L41="N/A")+(O41="N/A")+(R41="N/A")+(U41="N/A")+(X41="N/A"))&gt;0),"REVISAR","")</f>
        <v/>
      </c>
    </row>
    <row r="42">
      <c r="A42" s="24">
        <f>CRITERIOS!B30</f>
        <v/>
      </c>
      <c r="B42" s="24">
        <f>CRITERIOS!C30</f>
        <v/>
      </c>
      <c r="C42" s="25">
        <f>CRITERIOS!D30</f>
        <v/>
      </c>
      <c r="D42" s="24">
        <f>CRITERIOS!E30</f>
        <v/>
      </c>
      <c r="E42" s="24">
        <f>IFERROR(IF(AND(OR(CRITERIOS!F30="Todos",CRITERIOS!F30=$B$4),INDEX(CRITERIOS!H30:J30,MATCH($B$5,VARIABLES!$E$2:$E$4,0))=1),1,0),0)</f>
        <v/>
      </c>
      <c r="F42" s="24">
        <f>IFERROR(IF(E42=1,INDEX(CRITERIOS!K30:M30,MATCH($B$5,VARIABLES!$E$2:$E$4,0)),0),0)</f>
        <v/>
      </c>
      <c r="G42" s="24">
        <f>IF(CRITERIOS!N30="","",CRITERIOS!N30)</f>
        <v/>
      </c>
      <c r="H42" s="24">
        <f>IF(CRITERIOS!O30="","",CRITERIOS!O30)</f>
        <v/>
      </c>
      <c r="I42" s="21" t="n"/>
      <c r="J42" s="22">
        <f>IF(OR($E42=0,I$78=0),0,IF(AND(I42="N/A",$G42&lt;&gt;""),0,$F42+SUMPRODUCT(($G$14:$G$71=$A42)*($E$14:$E$71=1)*(I$14:I$71="N/A")*$F$14:$F$71)))</f>
        <v/>
      </c>
      <c r="K42" s="22">
        <f>IF(I42="SI",J42,0)</f>
        <v/>
      </c>
      <c r="L42" s="21" t="n"/>
      <c r="M42" s="22">
        <f>IF(OR($E42=0,L$78=0),0,IF(AND(L42="N/A",$G42&lt;&gt;""),0,$F42+SUMPRODUCT(($G$14:$G$71=$A42)*($E$14:$E$71=1)*(L$14:L$71="N/A")*$F$14:$F$71)))</f>
        <v/>
      </c>
      <c r="N42" s="22">
        <f>IF(L42="SI",M42,0)</f>
        <v/>
      </c>
      <c r="O42" s="21" t="n"/>
      <c r="P42" s="22">
        <f>IF(OR($E42=0,O$78=0),0,IF(AND(O42="N/A",$G42&lt;&gt;""),0,$F42+SUMPRODUCT(($G$14:$G$71=$A42)*($E$14:$E$71=1)*(O$14:O$71="N/A")*$F$14:$F$71)))</f>
        <v/>
      </c>
      <c r="Q42" s="22">
        <f>IF(O42="SI",P42,0)</f>
        <v/>
      </c>
      <c r="R42" s="21" t="n"/>
      <c r="S42" s="22">
        <f>IF(OR($E42=0,R$78=0),0,IF(AND(R42="N/A",$G42&lt;&gt;""),0,$F42+SUMPRODUCT(($G$14:$G$71=$A42)*($E$14:$E$71=1)*(R$14:R$71="N/A")*$F$14:$F$71)))</f>
        <v/>
      </c>
      <c r="T42" s="22">
        <f>IF(R42="SI",S42,0)</f>
        <v/>
      </c>
      <c r="U42" s="21" t="n"/>
      <c r="V42" s="22">
        <f>IF(OR($E42=0,U$78=0),0,IF(AND(U42="N/A",$G42&lt;&gt;""),0,$F42+SUMPRODUCT(($G$14:$G$71=$A42)*($E$14:$E$71=1)*(U$14:U$71="N/A")*$F$14:$F$71)))</f>
        <v/>
      </c>
      <c r="W42" s="22">
        <f>IF(U42="SI",V42,0)</f>
        <v/>
      </c>
      <c r="X42" s="21" t="n"/>
      <c r="Y42" s="22">
        <f>IF(OR($E42=0,X$78=0),0,IF(AND(X42="N/A",$G42&lt;&gt;""),0,$F42+SUMPRODUCT(($G$14:$G$71=$A42)*($E$14:$E$71=1)*(X$14:X$71="N/A")*$F$14:$F$71)))</f>
        <v/>
      </c>
      <c r="Z42" s="22">
        <f>IF(X42="SI",Y42,0)</f>
        <v/>
      </c>
      <c r="AA42" s="22">
        <f>SUM(J42,M42,P42,S42,V42,Y42)</f>
        <v/>
      </c>
      <c r="AB42" s="22">
        <f>SUM(K42,N42,Q42,T42,W42,Z42)</f>
        <v/>
      </c>
      <c r="AC42" s="23">
        <f>IF(AA42=0,"",AB42/AA42)</f>
        <v/>
      </c>
      <c r="AD42" s="22">
        <f>CRITERIOS!Q30</f>
        <v/>
      </c>
      <c r="AE42" s="22">
        <f>IF(AND(E42=1,H42&lt;&gt;"X",((I42="N/A")+(L42="N/A")+(O42="N/A")+(R42="N/A")+(U42="N/A")+(X42="N/A"))&gt;0),"REVISAR","")</f>
        <v/>
      </c>
    </row>
    <row r="43">
      <c r="A43" s="22">
        <f>CRITERIOS!B31</f>
        <v/>
      </c>
      <c r="B43" s="22">
        <f>CRITERIOS!C31</f>
        <v/>
      </c>
      <c r="C43" s="8">
        <f>CRITERIOS!D31</f>
        <v/>
      </c>
      <c r="D43" s="22">
        <f>CRITERIOS!E31</f>
        <v/>
      </c>
      <c r="E43" s="22">
        <f>IFERROR(IF(AND(OR(CRITERIOS!F31="Todos",CRITERIOS!F31=$B$4),INDEX(CRITERIOS!H31:J31,MATCH($B$5,VARIABLES!$E$2:$E$4,0))=1),1,0),0)</f>
        <v/>
      </c>
      <c r="F43" s="22">
        <f>IFERROR(IF(E43=1,INDEX(CRITERIOS!K31:M31,MATCH($B$5,VARIABLES!$E$2:$E$4,0)),0),0)</f>
        <v/>
      </c>
      <c r="G43" s="22">
        <f>IF(CRITERIOS!N31="","",CRITERIOS!N31)</f>
        <v/>
      </c>
      <c r="H43" s="22">
        <f>IF(CRITERIOS!O31="","",CRITERIOS!O31)</f>
        <v/>
      </c>
      <c r="I43" s="21" t="n"/>
      <c r="J43" s="22">
        <f>IF(OR($E43=0,I$78=0),0,IF(AND(I43="N/A",$G43&lt;&gt;""),0,$F43+SUMPRODUCT(($G$14:$G$71=$A43)*($E$14:$E$71=1)*(I$14:I$71="N/A")*$F$14:$F$71)))</f>
        <v/>
      </c>
      <c r="K43" s="22">
        <f>IF(I43="SI",J43,0)</f>
        <v/>
      </c>
      <c r="L43" s="21" t="n"/>
      <c r="M43" s="22">
        <f>IF(OR($E43=0,L$78=0),0,IF(AND(L43="N/A",$G43&lt;&gt;""),0,$F43+SUMPRODUCT(($G$14:$G$71=$A43)*($E$14:$E$71=1)*(L$14:L$71="N/A")*$F$14:$F$71)))</f>
        <v/>
      </c>
      <c r="N43" s="22">
        <f>IF(L43="SI",M43,0)</f>
        <v/>
      </c>
      <c r="O43" s="21" t="n"/>
      <c r="P43" s="22">
        <f>IF(OR($E43=0,O$78=0),0,IF(AND(O43="N/A",$G43&lt;&gt;""),0,$F43+SUMPRODUCT(($G$14:$G$71=$A43)*($E$14:$E$71=1)*(O$14:O$71="N/A")*$F$14:$F$71)))</f>
        <v/>
      </c>
      <c r="Q43" s="22">
        <f>IF(O43="SI",P43,0)</f>
        <v/>
      </c>
      <c r="R43" s="21" t="n"/>
      <c r="S43" s="22">
        <f>IF(OR($E43=0,R$78=0),0,IF(AND(R43="N/A",$G43&lt;&gt;""),0,$F43+SUMPRODUCT(($G$14:$G$71=$A43)*($E$14:$E$71=1)*(R$14:R$71="N/A")*$F$14:$F$71)))</f>
        <v/>
      </c>
      <c r="T43" s="22">
        <f>IF(R43="SI",S43,0)</f>
        <v/>
      </c>
      <c r="U43" s="21" t="n"/>
      <c r="V43" s="22">
        <f>IF(OR($E43=0,U$78=0),0,IF(AND(U43="N/A",$G43&lt;&gt;""),0,$F43+SUMPRODUCT(($G$14:$G$71=$A43)*($E$14:$E$71=1)*(U$14:U$71="N/A")*$F$14:$F$71)))</f>
        <v/>
      </c>
      <c r="W43" s="22">
        <f>IF(U43="SI",V43,0)</f>
        <v/>
      </c>
      <c r="X43" s="21" t="n"/>
      <c r="Y43" s="22">
        <f>IF(OR($E43=0,X$78=0),0,IF(AND(X43="N/A",$G43&lt;&gt;""),0,$F43+SUMPRODUCT(($G$14:$G$71=$A43)*($E$14:$E$71=1)*(X$14:X$71="N/A")*$F$14:$F$71)))</f>
        <v/>
      </c>
      <c r="Z43" s="22">
        <f>IF(X43="SI",Y43,0)</f>
        <v/>
      </c>
      <c r="AA43" s="22">
        <f>SUM(J43,M43,P43,S43,V43,Y43)</f>
        <v/>
      </c>
      <c r="AB43" s="22">
        <f>SUM(K43,N43,Q43,T43,W43,Z43)</f>
        <v/>
      </c>
      <c r="AC43" s="23">
        <f>IF(AA43=0,"",AB43/AA43)</f>
        <v/>
      </c>
      <c r="AD43" s="22">
        <f>CRITERIOS!Q31</f>
        <v/>
      </c>
      <c r="AE43" s="22">
        <f>IF(AND(E43=1,H43&lt;&gt;"X",((I43="N/A")+(L43="N/A")+(O43="N/A")+(R43="N/A")+(U43="N/A")+(X43="N/A"))&gt;0),"REVISAR","")</f>
        <v/>
      </c>
    </row>
    <row r="44">
      <c r="A44" s="24">
        <f>CRITERIOS!B32</f>
        <v/>
      </c>
      <c r="B44" s="24">
        <f>CRITERIOS!C32</f>
        <v/>
      </c>
      <c r="C44" s="25">
        <f>CRITERIOS!D32</f>
        <v/>
      </c>
      <c r="D44" s="24">
        <f>CRITERIOS!E32</f>
        <v/>
      </c>
      <c r="E44" s="24">
        <f>IFERROR(IF(AND(OR(CRITERIOS!F32="Todos",CRITERIOS!F32=$B$4),INDEX(CRITERIOS!H32:J32,MATCH($B$5,VARIABLES!$E$2:$E$4,0))=1),1,0),0)</f>
        <v/>
      </c>
      <c r="F44" s="24">
        <f>IFERROR(IF(E44=1,INDEX(CRITERIOS!K32:M32,MATCH($B$5,VARIABLES!$E$2:$E$4,0)),0),0)</f>
        <v/>
      </c>
      <c r="G44" s="24">
        <f>IF(CRITERIOS!N32="","",CRITERIOS!N32)</f>
        <v/>
      </c>
      <c r="H44" s="24">
        <f>IF(CRITERIOS!O32="","",CRITERIOS!O32)</f>
        <v/>
      </c>
      <c r="I44" s="21" t="n"/>
      <c r="J44" s="22">
        <f>IF(OR($E44=0,I$78=0),0,IF(AND(I44="N/A",$G44&lt;&gt;""),0,$F44+SUMPRODUCT(($G$14:$G$71=$A44)*($E$14:$E$71=1)*(I$14:I$71="N/A")*$F$14:$F$71)))</f>
        <v/>
      </c>
      <c r="K44" s="22">
        <f>IF(I44="SI",J44,0)</f>
        <v/>
      </c>
      <c r="L44" s="21" t="n"/>
      <c r="M44" s="22">
        <f>IF(OR($E44=0,L$78=0),0,IF(AND(L44="N/A",$G44&lt;&gt;""),0,$F44+SUMPRODUCT(($G$14:$G$71=$A44)*($E$14:$E$71=1)*(L$14:L$71="N/A")*$F$14:$F$71)))</f>
        <v/>
      </c>
      <c r="N44" s="22">
        <f>IF(L44="SI",M44,0)</f>
        <v/>
      </c>
      <c r="O44" s="21" t="n"/>
      <c r="P44" s="22">
        <f>IF(OR($E44=0,O$78=0),0,IF(AND(O44="N/A",$G44&lt;&gt;""),0,$F44+SUMPRODUCT(($G$14:$G$71=$A44)*($E$14:$E$71=1)*(O$14:O$71="N/A")*$F$14:$F$71)))</f>
        <v/>
      </c>
      <c r="Q44" s="22">
        <f>IF(O44="SI",P44,0)</f>
        <v/>
      </c>
      <c r="R44" s="21" t="n"/>
      <c r="S44" s="22">
        <f>IF(OR($E44=0,R$78=0),0,IF(AND(R44="N/A",$G44&lt;&gt;""),0,$F44+SUMPRODUCT(($G$14:$G$71=$A44)*($E$14:$E$71=1)*(R$14:R$71="N/A")*$F$14:$F$71)))</f>
        <v/>
      </c>
      <c r="T44" s="22">
        <f>IF(R44="SI",S44,0)</f>
        <v/>
      </c>
      <c r="U44" s="21" t="n"/>
      <c r="V44" s="22">
        <f>IF(OR($E44=0,U$78=0),0,IF(AND(U44="N/A",$G44&lt;&gt;""),0,$F44+SUMPRODUCT(($G$14:$G$71=$A44)*($E$14:$E$71=1)*(U$14:U$71="N/A")*$F$14:$F$71)))</f>
        <v/>
      </c>
      <c r="W44" s="22">
        <f>IF(U44="SI",V44,0)</f>
        <v/>
      </c>
      <c r="X44" s="21" t="n"/>
      <c r="Y44" s="22">
        <f>IF(OR($E44=0,X$78=0),0,IF(AND(X44="N/A",$G44&lt;&gt;""),0,$F44+SUMPRODUCT(($G$14:$G$71=$A44)*($E$14:$E$71=1)*(X$14:X$71="N/A")*$F$14:$F$71)))</f>
        <v/>
      </c>
      <c r="Z44" s="22">
        <f>IF(X44="SI",Y44,0)</f>
        <v/>
      </c>
      <c r="AA44" s="22">
        <f>SUM(J44,M44,P44,S44,V44,Y44)</f>
        <v/>
      </c>
      <c r="AB44" s="22">
        <f>SUM(K44,N44,Q44,T44,W44,Z44)</f>
        <v/>
      </c>
      <c r="AC44" s="23">
        <f>IF(AA44=0,"",AB44/AA44)</f>
        <v/>
      </c>
      <c r="AD44" s="22">
        <f>CRITERIOS!Q32</f>
        <v/>
      </c>
      <c r="AE44" s="22">
        <f>IF(AND(E44=1,H44&lt;&gt;"X",((I44="N/A")+(L44="N/A")+(O44="N/A")+(R44="N/A")+(U44="N/A")+(X44="N/A"))&gt;0),"REVISAR","")</f>
        <v/>
      </c>
    </row>
    <row r="45">
      <c r="A45" s="22">
        <f>CRITERIOS!B33</f>
        <v/>
      </c>
      <c r="B45" s="22">
        <f>CRITERIOS!C33</f>
        <v/>
      </c>
      <c r="C45" s="8">
        <f>CRITERIOS!D33</f>
        <v/>
      </c>
      <c r="D45" s="22">
        <f>CRITERIOS!E33</f>
        <v/>
      </c>
      <c r="E45" s="22">
        <f>IFERROR(IF(AND(OR(CRITERIOS!F33="Todos",CRITERIOS!F33=$B$4),INDEX(CRITERIOS!H33:J33,MATCH($B$5,VARIABLES!$E$2:$E$4,0))=1),1,0),0)</f>
        <v/>
      </c>
      <c r="F45" s="22">
        <f>IFERROR(IF(E45=1,INDEX(CRITERIOS!K33:M33,MATCH($B$5,VARIABLES!$E$2:$E$4,0)),0),0)</f>
        <v/>
      </c>
      <c r="G45" s="22">
        <f>IF(CRITERIOS!N33="","",CRITERIOS!N33)</f>
        <v/>
      </c>
      <c r="H45" s="22">
        <f>IF(CRITERIOS!O33="","",CRITERIOS!O33)</f>
        <v/>
      </c>
      <c r="I45" s="21" t="n"/>
      <c r="J45" s="22">
        <f>IF(OR($E45=0,I$78=0),0,IF(AND(I45="N/A",$G45&lt;&gt;""),0,$F45+SUMPRODUCT(($G$14:$G$71=$A45)*($E$14:$E$71=1)*(I$14:I$71="N/A")*$F$14:$F$71)))</f>
        <v/>
      </c>
      <c r="K45" s="22">
        <f>IF(I45="SI",J45,0)</f>
        <v/>
      </c>
      <c r="L45" s="21" t="n"/>
      <c r="M45" s="22">
        <f>IF(OR($E45=0,L$78=0),0,IF(AND(L45="N/A",$G45&lt;&gt;""),0,$F45+SUMPRODUCT(($G$14:$G$71=$A45)*($E$14:$E$71=1)*(L$14:L$71="N/A")*$F$14:$F$71)))</f>
        <v/>
      </c>
      <c r="N45" s="22">
        <f>IF(L45="SI",M45,0)</f>
        <v/>
      </c>
      <c r="O45" s="21" t="n"/>
      <c r="P45" s="22">
        <f>IF(OR($E45=0,O$78=0),0,IF(AND(O45="N/A",$G45&lt;&gt;""),0,$F45+SUMPRODUCT(($G$14:$G$71=$A45)*($E$14:$E$71=1)*(O$14:O$71="N/A")*$F$14:$F$71)))</f>
        <v/>
      </c>
      <c r="Q45" s="22">
        <f>IF(O45="SI",P45,0)</f>
        <v/>
      </c>
      <c r="R45" s="21" t="n"/>
      <c r="S45" s="22">
        <f>IF(OR($E45=0,R$78=0),0,IF(AND(R45="N/A",$G45&lt;&gt;""),0,$F45+SUMPRODUCT(($G$14:$G$71=$A45)*($E$14:$E$71=1)*(R$14:R$71="N/A")*$F$14:$F$71)))</f>
        <v/>
      </c>
      <c r="T45" s="22">
        <f>IF(R45="SI",S45,0)</f>
        <v/>
      </c>
      <c r="U45" s="21" t="n"/>
      <c r="V45" s="22">
        <f>IF(OR($E45=0,U$78=0),0,IF(AND(U45="N/A",$G45&lt;&gt;""),0,$F45+SUMPRODUCT(($G$14:$G$71=$A45)*($E$14:$E$71=1)*(U$14:U$71="N/A")*$F$14:$F$71)))</f>
        <v/>
      </c>
      <c r="W45" s="22">
        <f>IF(U45="SI",V45,0)</f>
        <v/>
      </c>
      <c r="X45" s="21" t="n"/>
      <c r="Y45" s="22">
        <f>IF(OR($E45=0,X$78=0),0,IF(AND(X45="N/A",$G45&lt;&gt;""),0,$F45+SUMPRODUCT(($G$14:$G$71=$A45)*($E$14:$E$71=1)*(X$14:X$71="N/A")*$F$14:$F$71)))</f>
        <v/>
      </c>
      <c r="Z45" s="22">
        <f>IF(X45="SI",Y45,0)</f>
        <v/>
      </c>
      <c r="AA45" s="22">
        <f>SUM(J45,M45,P45,S45,V45,Y45)</f>
        <v/>
      </c>
      <c r="AB45" s="22">
        <f>SUM(K45,N45,Q45,T45,W45,Z45)</f>
        <v/>
      </c>
      <c r="AC45" s="23">
        <f>IF(AA45=0,"",AB45/AA45)</f>
        <v/>
      </c>
      <c r="AD45" s="22">
        <f>CRITERIOS!Q33</f>
        <v/>
      </c>
      <c r="AE45" s="22">
        <f>IF(AND(E45=1,H45&lt;&gt;"X",((I45="N/A")+(L45="N/A")+(O45="N/A")+(R45="N/A")+(U45="N/A")+(X45="N/A"))&gt;0),"REVISAR","")</f>
        <v/>
      </c>
    </row>
    <row r="46">
      <c r="A46" s="24">
        <f>CRITERIOS!B34</f>
        <v/>
      </c>
      <c r="B46" s="24">
        <f>CRITERIOS!C34</f>
        <v/>
      </c>
      <c r="C46" s="25">
        <f>CRITERIOS!D34</f>
        <v/>
      </c>
      <c r="D46" s="24">
        <f>CRITERIOS!E34</f>
        <v/>
      </c>
      <c r="E46" s="24">
        <f>IFERROR(IF(AND(OR(CRITERIOS!F34="Todos",CRITERIOS!F34=$B$4),INDEX(CRITERIOS!H34:J34,MATCH($B$5,VARIABLES!$E$2:$E$4,0))=1),1,0),0)</f>
        <v/>
      </c>
      <c r="F46" s="24">
        <f>IFERROR(IF(E46=1,INDEX(CRITERIOS!K34:M34,MATCH($B$5,VARIABLES!$E$2:$E$4,0)),0),0)</f>
        <v/>
      </c>
      <c r="G46" s="24">
        <f>IF(CRITERIOS!N34="","",CRITERIOS!N34)</f>
        <v/>
      </c>
      <c r="H46" s="24">
        <f>IF(CRITERIOS!O34="","",CRITERIOS!O34)</f>
        <v/>
      </c>
      <c r="I46" s="21" t="n"/>
      <c r="J46" s="22">
        <f>IF(OR($E46=0,I$78=0),0,IF(AND(I46="N/A",$G46&lt;&gt;""),0,$F46+SUMPRODUCT(($G$14:$G$71=$A46)*($E$14:$E$71=1)*(I$14:I$71="N/A")*$F$14:$F$71)))</f>
        <v/>
      </c>
      <c r="K46" s="22">
        <f>IF(I46="SI",J46,0)</f>
        <v/>
      </c>
      <c r="L46" s="21" t="n"/>
      <c r="M46" s="22">
        <f>IF(OR($E46=0,L$78=0),0,IF(AND(L46="N/A",$G46&lt;&gt;""),0,$F46+SUMPRODUCT(($G$14:$G$71=$A46)*($E$14:$E$71=1)*(L$14:L$71="N/A")*$F$14:$F$71)))</f>
        <v/>
      </c>
      <c r="N46" s="22">
        <f>IF(L46="SI",M46,0)</f>
        <v/>
      </c>
      <c r="O46" s="21" t="n"/>
      <c r="P46" s="22">
        <f>IF(OR($E46=0,O$78=0),0,IF(AND(O46="N/A",$G46&lt;&gt;""),0,$F46+SUMPRODUCT(($G$14:$G$71=$A46)*($E$14:$E$71=1)*(O$14:O$71="N/A")*$F$14:$F$71)))</f>
        <v/>
      </c>
      <c r="Q46" s="22">
        <f>IF(O46="SI",P46,0)</f>
        <v/>
      </c>
      <c r="R46" s="21" t="n"/>
      <c r="S46" s="22">
        <f>IF(OR($E46=0,R$78=0),0,IF(AND(R46="N/A",$G46&lt;&gt;""),0,$F46+SUMPRODUCT(($G$14:$G$71=$A46)*($E$14:$E$71=1)*(R$14:R$71="N/A")*$F$14:$F$71)))</f>
        <v/>
      </c>
      <c r="T46" s="22">
        <f>IF(R46="SI",S46,0)</f>
        <v/>
      </c>
      <c r="U46" s="21" t="n"/>
      <c r="V46" s="22">
        <f>IF(OR($E46=0,U$78=0),0,IF(AND(U46="N/A",$G46&lt;&gt;""),0,$F46+SUMPRODUCT(($G$14:$G$71=$A46)*($E$14:$E$71=1)*(U$14:U$71="N/A")*$F$14:$F$71)))</f>
        <v/>
      </c>
      <c r="W46" s="22">
        <f>IF(U46="SI",V46,0)</f>
        <v/>
      </c>
      <c r="X46" s="21" t="n"/>
      <c r="Y46" s="22">
        <f>IF(OR($E46=0,X$78=0),0,IF(AND(X46="N/A",$G46&lt;&gt;""),0,$F46+SUMPRODUCT(($G$14:$G$71=$A46)*($E$14:$E$71=1)*(X$14:X$71="N/A")*$F$14:$F$71)))</f>
        <v/>
      </c>
      <c r="Z46" s="22">
        <f>IF(X46="SI",Y46,0)</f>
        <v/>
      </c>
      <c r="AA46" s="22">
        <f>SUM(J46,M46,P46,S46,V46,Y46)</f>
        <v/>
      </c>
      <c r="AB46" s="22">
        <f>SUM(K46,N46,Q46,T46,W46,Z46)</f>
        <v/>
      </c>
      <c r="AC46" s="23">
        <f>IF(AA46=0,"",AB46/AA46)</f>
        <v/>
      </c>
      <c r="AD46" s="22">
        <f>CRITERIOS!Q34</f>
        <v/>
      </c>
      <c r="AE46" s="22">
        <f>IF(AND(E46=1,H46&lt;&gt;"X",((I46="N/A")+(L46="N/A")+(O46="N/A")+(R46="N/A")+(U46="N/A")+(X46="N/A"))&gt;0),"REVISAR","")</f>
        <v/>
      </c>
    </row>
    <row r="47">
      <c r="A47" s="22">
        <f>CRITERIOS!B35</f>
        <v/>
      </c>
      <c r="B47" s="22">
        <f>CRITERIOS!C35</f>
        <v/>
      </c>
      <c r="C47" s="8">
        <f>CRITERIOS!D35</f>
        <v/>
      </c>
      <c r="D47" s="22">
        <f>CRITERIOS!E35</f>
        <v/>
      </c>
      <c r="E47" s="22">
        <f>IFERROR(IF(AND(OR(CRITERIOS!F35="Todos",CRITERIOS!F35=$B$4),INDEX(CRITERIOS!H35:J35,MATCH($B$5,VARIABLES!$E$2:$E$4,0))=1),1,0),0)</f>
        <v/>
      </c>
      <c r="F47" s="22">
        <f>IFERROR(IF(E47=1,INDEX(CRITERIOS!K35:M35,MATCH($B$5,VARIABLES!$E$2:$E$4,0)),0),0)</f>
        <v/>
      </c>
      <c r="G47" s="22">
        <f>IF(CRITERIOS!N35="","",CRITERIOS!N35)</f>
        <v/>
      </c>
      <c r="H47" s="22">
        <f>IF(CRITERIOS!O35="","",CRITERIOS!O35)</f>
        <v/>
      </c>
      <c r="I47" s="21" t="n"/>
      <c r="J47" s="22">
        <f>IF(OR($E47=0,I$78=0),0,IF(AND(I47="N/A",$G47&lt;&gt;""),0,$F47+SUMPRODUCT(($G$14:$G$71=$A47)*($E$14:$E$71=1)*(I$14:I$71="N/A")*$F$14:$F$71)))</f>
        <v/>
      </c>
      <c r="K47" s="22">
        <f>IF(I47="SI",J47,0)</f>
        <v/>
      </c>
      <c r="L47" s="21" t="n"/>
      <c r="M47" s="22">
        <f>IF(OR($E47=0,L$78=0),0,IF(AND(L47="N/A",$G47&lt;&gt;""),0,$F47+SUMPRODUCT(($G$14:$G$71=$A47)*($E$14:$E$71=1)*(L$14:L$71="N/A")*$F$14:$F$71)))</f>
        <v/>
      </c>
      <c r="N47" s="22">
        <f>IF(L47="SI",M47,0)</f>
        <v/>
      </c>
      <c r="O47" s="21" t="n"/>
      <c r="P47" s="22">
        <f>IF(OR($E47=0,O$78=0),0,IF(AND(O47="N/A",$G47&lt;&gt;""),0,$F47+SUMPRODUCT(($G$14:$G$71=$A47)*($E$14:$E$71=1)*(O$14:O$71="N/A")*$F$14:$F$71)))</f>
        <v/>
      </c>
      <c r="Q47" s="22">
        <f>IF(O47="SI",P47,0)</f>
        <v/>
      </c>
      <c r="R47" s="21" t="n"/>
      <c r="S47" s="22">
        <f>IF(OR($E47=0,R$78=0),0,IF(AND(R47="N/A",$G47&lt;&gt;""),0,$F47+SUMPRODUCT(($G$14:$G$71=$A47)*($E$14:$E$71=1)*(R$14:R$71="N/A")*$F$14:$F$71)))</f>
        <v/>
      </c>
      <c r="T47" s="22">
        <f>IF(R47="SI",S47,0)</f>
        <v/>
      </c>
      <c r="U47" s="21" t="n"/>
      <c r="V47" s="22">
        <f>IF(OR($E47=0,U$78=0),0,IF(AND(U47="N/A",$G47&lt;&gt;""),0,$F47+SUMPRODUCT(($G$14:$G$71=$A47)*($E$14:$E$71=1)*(U$14:U$71="N/A")*$F$14:$F$71)))</f>
        <v/>
      </c>
      <c r="W47" s="22">
        <f>IF(U47="SI",V47,0)</f>
        <v/>
      </c>
      <c r="X47" s="21" t="n"/>
      <c r="Y47" s="22">
        <f>IF(OR($E47=0,X$78=0),0,IF(AND(X47="N/A",$G47&lt;&gt;""),0,$F47+SUMPRODUCT(($G$14:$G$71=$A47)*($E$14:$E$71=1)*(X$14:X$71="N/A")*$F$14:$F$71)))</f>
        <v/>
      </c>
      <c r="Z47" s="22">
        <f>IF(X47="SI",Y47,0)</f>
        <v/>
      </c>
      <c r="AA47" s="22">
        <f>SUM(J47,M47,P47,S47,V47,Y47)</f>
        <v/>
      </c>
      <c r="AB47" s="22">
        <f>SUM(K47,N47,Q47,T47,W47,Z47)</f>
        <v/>
      </c>
      <c r="AC47" s="23">
        <f>IF(AA47=0,"",AB47/AA47)</f>
        <v/>
      </c>
      <c r="AD47" s="22">
        <f>CRITERIOS!Q35</f>
        <v/>
      </c>
      <c r="AE47" s="22">
        <f>IF(AND(E47=1,H47&lt;&gt;"X",((I47="N/A")+(L47="N/A")+(O47="N/A")+(R47="N/A")+(U47="N/A")+(X47="N/A"))&gt;0),"REVISAR","")</f>
        <v/>
      </c>
    </row>
    <row r="48">
      <c r="A48" s="24">
        <f>CRITERIOS!B36</f>
        <v/>
      </c>
      <c r="B48" s="24">
        <f>CRITERIOS!C36</f>
        <v/>
      </c>
      <c r="C48" s="25">
        <f>CRITERIOS!D36</f>
        <v/>
      </c>
      <c r="D48" s="24">
        <f>CRITERIOS!E36</f>
        <v/>
      </c>
      <c r="E48" s="24">
        <f>IFERROR(IF(AND(OR(CRITERIOS!F36="Todos",CRITERIOS!F36=$B$4),INDEX(CRITERIOS!H36:J36,MATCH($B$5,VARIABLES!$E$2:$E$4,0))=1),1,0),0)</f>
        <v/>
      </c>
      <c r="F48" s="24">
        <f>IFERROR(IF(E48=1,INDEX(CRITERIOS!K36:M36,MATCH($B$5,VARIABLES!$E$2:$E$4,0)),0),0)</f>
        <v/>
      </c>
      <c r="G48" s="24">
        <f>IF(CRITERIOS!N36="","",CRITERIOS!N36)</f>
        <v/>
      </c>
      <c r="H48" s="24">
        <f>IF(CRITERIOS!O36="","",CRITERIOS!O36)</f>
        <v/>
      </c>
      <c r="I48" s="21" t="n"/>
      <c r="J48" s="22">
        <f>IF(OR($E48=0,I$78=0),0,IF(AND(I48="N/A",$G48&lt;&gt;""),0,$F48+SUMPRODUCT(($G$14:$G$71=$A48)*($E$14:$E$71=1)*(I$14:I$71="N/A")*$F$14:$F$71)))</f>
        <v/>
      </c>
      <c r="K48" s="22">
        <f>IF(I48="SI",J48,0)</f>
        <v/>
      </c>
      <c r="L48" s="21" t="n"/>
      <c r="M48" s="22">
        <f>IF(OR($E48=0,L$78=0),0,IF(AND(L48="N/A",$G48&lt;&gt;""),0,$F48+SUMPRODUCT(($G$14:$G$71=$A48)*($E$14:$E$71=1)*(L$14:L$71="N/A")*$F$14:$F$71)))</f>
        <v/>
      </c>
      <c r="N48" s="22">
        <f>IF(L48="SI",M48,0)</f>
        <v/>
      </c>
      <c r="O48" s="21" t="n"/>
      <c r="P48" s="22">
        <f>IF(OR($E48=0,O$78=0),0,IF(AND(O48="N/A",$G48&lt;&gt;""),0,$F48+SUMPRODUCT(($G$14:$G$71=$A48)*($E$14:$E$71=1)*(O$14:O$71="N/A")*$F$14:$F$71)))</f>
        <v/>
      </c>
      <c r="Q48" s="22">
        <f>IF(O48="SI",P48,0)</f>
        <v/>
      </c>
      <c r="R48" s="21" t="n"/>
      <c r="S48" s="22">
        <f>IF(OR($E48=0,R$78=0),0,IF(AND(R48="N/A",$G48&lt;&gt;""),0,$F48+SUMPRODUCT(($G$14:$G$71=$A48)*($E$14:$E$71=1)*(R$14:R$71="N/A")*$F$14:$F$71)))</f>
        <v/>
      </c>
      <c r="T48" s="22">
        <f>IF(R48="SI",S48,0)</f>
        <v/>
      </c>
      <c r="U48" s="21" t="n"/>
      <c r="V48" s="22">
        <f>IF(OR($E48=0,U$78=0),0,IF(AND(U48="N/A",$G48&lt;&gt;""),0,$F48+SUMPRODUCT(($G$14:$G$71=$A48)*($E$14:$E$71=1)*(U$14:U$71="N/A")*$F$14:$F$71)))</f>
        <v/>
      </c>
      <c r="W48" s="22">
        <f>IF(U48="SI",V48,0)</f>
        <v/>
      </c>
      <c r="X48" s="21" t="n"/>
      <c r="Y48" s="22">
        <f>IF(OR($E48=0,X$78=0),0,IF(AND(X48="N/A",$G48&lt;&gt;""),0,$F48+SUMPRODUCT(($G$14:$G$71=$A48)*($E$14:$E$71=1)*(X$14:X$71="N/A")*$F$14:$F$71)))</f>
        <v/>
      </c>
      <c r="Z48" s="22">
        <f>IF(X48="SI",Y48,0)</f>
        <v/>
      </c>
      <c r="AA48" s="22">
        <f>SUM(J48,M48,P48,S48,V48,Y48)</f>
        <v/>
      </c>
      <c r="AB48" s="22">
        <f>SUM(K48,N48,Q48,T48,W48,Z48)</f>
        <v/>
      </c>
      <c r="AC48" s="23">
        <f>IF(AA48=0,"",AB48/AA48)</f>
        <v/>
      </c>
      <c r="AD48" s="22">
        <f>CRITERIOS!Q36</f>
        <v/>
      </c>
      <c r="AE48" s="22">
        <f>IF(AND(E48=1,H48&lt;&gt;"X",((I48="N/A")+(L48="N/A")+(O48="N/A")+(R48="N/A")+(U48="N/A")+(X48="N/A"))&gt;0),"REVISAR","")</f>
        <v/>
      </c>
    </row>
    <row r="49">
      <c r="A49" s="24">
        <f>CRITERIOS!B37</f>
        <v/>
      </c>
      <c r="B49" s="24">
        <f>CRITERIOS!C37</f>
        <v/>
      </c>
      <c r="C49" s="25">
        <f>CRITERIOS!D37</f>
        <v/>
      </c>
      <c r="D49" s="24">
        <f>CRITERIOS!E37</f>
        <v/>
      </c>
      <c r="E49" s="24">
        <f>IFERROR(IF(AND(OR(CRITERIOS!F37="Todos",CRITERIOS!F37=$B$4),INDEX(CRITERIOS!H37:J37,MATCH($B$5,VARIABLES!$E$2:$E$4,0))=1),1,0),0)</f>
        <v/>
      </c>
      <c r="F49" s="24">
        <f>IFERROR(IF(E49=1,INDEX(CRITERIOS!K37:M37,MATCH($B$5,VARIABLES!$E$2:$E$4,0)),0),0)</f>
        <v/>
      </c>
      <c r="G49" s="24">
        <f>IF(CRITERIOS!N37="","",CRITERIOS!N37)</f>
        <v/>
      </c>
      <c r="H49" s="24">
        <f>IF(CRITERIOS!O37="","",CRITERIOS!O37)</f>
        <v/>
      </c>
      <c r="I49" s="21" t="n"/>
      <c r="J49" s="22">
        <f>IF(OR($E49=0,I$78=0),0,IF(AND(I49="N/A",$G49&lt;&gt;""),0,$F49+SUMPRODUCT(($G$14:$G$71=$A49)*($E$14:$E$71=1)*(I$14:I$71="N/A")*$F$14:$F$71)))</f>
        <v/>
      </c>
      <c r="K49" s="22">
        <f>IF(I49="SI",J49,0)</f>
        <v/>
      </c>
      <c r="L49" s="21" t="n"/>
      <c r="M49" s="22">
        <f>IF(OR($E49=0,L$78=0),0,IF(AND(L49="N/A",$G49&lt;&gt;""),0,$F49+SUMPRODUCT(($G$14:$G$71=$A49)*($E$14:$E$71=1)*(L$14:L$71="N/A")*$F$14:$F$71)))</f>
        <v/>
      </c>
      <c r="N49" s="22">
        <f>IF(L49="SI",M49,0)</f>
        <v/>
      </c>
      <c r="O49" s="21" t="n"/>
      <c r="P49" s="22">
        <f>IF(OR($E49=0,O$78=0),0,IF(AND(O49="N/A",$G49&lt;&gt;""),0,$F49+SUMPRODUCT(($G$14:$G$71=$A49)*($E$14:$E$71=1)*(O$14:O$71="N/A")*$F$14:$F$71)))</f>
        <v/>
      </c>
      <c r="Q49" s="22">
        <f>IF(O49="SI",P49,0)</f>
        <v/>
      </c>
      <c r="R49" s="21" t="n"/>
      <c r="S49" s="22">
        <f>IF(OR($E49=0,R$78=0),0,IF(AND(R49="N/A",$G49&lt;&gt;""),0,$F49+SUMPRODUCT(($G$14:$G$71=$A49)*($E$14:$E$71=1)*(R$14:R$71="N/A")*$F$14:$F$71)))</f>
        <v/>
      </c>
      <c r="T49" s="22">
        <f>IF(R49="SI",S49,0)</f>
        <v/>
      </c>
      <c r="U49" s="21" t="n"/>
      <c r="V49" s="22">
        <f>IF(OR($E49=0,U$78=0),0,IF(AND(U49="N/A",$G49&lt;&gt;""),0,$F49+SUMPRODUCT(($G$14:$G$71=$A49)*($E$14:$E$71=1)*(U$14:U$71="N/A")*$F$14:$F$71)))</f>
        <v/>
      </c>
      <c r="W49" s="22">
        <f>IF(U49="SI",V49,0)</f>
        <v/>
      </c>
      <c r="X49" s="21" t="n"/>
      <c r="Y49" s="22">
        <f>IF(OR($E49=0,X$78=0),0,IF(AND(X49="N/A",$G49&lt;&gt;""),0,$F49+SUMPRODUCT(($G$14:$G$71=$A49)*($E$14:$E$71=1)*(X$14:X$71="N/A")*$F$14:$F$71)))</f>
        <v/>
      </c>
      <c r="Z49" s="22">
        <f>IF(X49="SI",Y49,0)</f>
        <v/>
      </c>
      <c r="AA49" s="22">
        <f>SUM(J49,M49,P49,S49,V49,Y49)</f>
        <v/>
      </c>
      <c r="AB49" s="22">
        <f>SUM(K49,N49,Q49,T49,W49,Z49)</f>
        <v/>
      </c>
      <c r="AC49" s="23">
        <f>IF(AA49=0,"",AB49/AA49)</f>
        <v/>
      </c>
      <c r="AD49" s="22">
        <f>CRITERIOS!Q37</f>
        <v/>
      </c>
      <c r="AE49" s="22">
        <f>IF(AND(E49=1,H49&lt;&gt;"X",((I49="N/A")+(L49="N/A")+(O49="N/A")+(R49="N/A")+(U49="N/A")+(X49="N/A"))&gt;0),"REVISAR","")</f>
        <v/>
      </c>
    </row>
    <row r="50">
      <c r="A50" s="24">
        <f>CRITERIOS!B38</f>
        <v/>
      </c>
      <c r="B50" s="24">
        <f>CRITERIOS!C38</f>
        <v/>
      </c>
      <c r="C50" s="25">
        <f>CRITERIOS!D38</f>
        <v/>
      </c>
      <c r="D50" s="24">
        <f>CRITERIOS!E38</f>
        <v/>
      </c>
      <c r="E50" s="24">
        <f>IFERROR(IF(AND(OR(CRITERIOS!F38="Todos",CRITERIOS!F38=$B$4),INDEX(CRITERIOS!H38:J38,MATCH($B$5,VARIABLES!$E$2:$E$4,0))=1),1,0),0)</f>
        <v/>
      </c>
      <c r="F50" s="24">
        <f>IFERROR(IF(E50=1,INDEX(CRITERIOS!K38:M38,MATCH($B$5,VARIABLES!$E$2:$E$4,0)),0),0)</f>
        <v/>
      </c>
      <c r="G50" s="24">
        <f>IF(CRITERIOS!N38="","",CRITERIOS!N38)</f>
        <v/>
      </c>
      <c r="H50" s="24">
        <f>IF(CRITERIOS!O38="","",CRITERIOS!O38)</f>
        <v/>
      </c>
      <c r="I50" s="21" t="n"/>
      <c r="J50" s="22">
        <f>IF(OR($E50=0,I$78=0),0,IF(AND(I50="N/A",$G50&lt;&gt;""),0,$F50+SUMPRODUCT(($G$14:$G$71=$A50)*($E$14:$E$71=1)*(I$14:I$71="N/A")*$F$14:$F$71)))</f>
        <v/>
      </c>
      <c r="K50" s="22">
        <f>IF(I50="SI",J50,0)</f>
        <v/>
      </c>
      <c r="L50" s="21" t="n"/>
      <c r="M50" s="22">
        <f>IF(OR($E50=0,L$78=0),0,IF(AND(L50="N/A",$G50&lt;&gt;""),0,$F50+SUMPRODUCT(($G$14:$G$71=$A50)*($E$14:$E$71=1)*(L$14:L$71="N/A")*$F$14:$F$71)))</f>
        <v/>
      </c>
      <c r="N50" s="22">
        <f>IF(L50="SI",M50,0)</f>
        <v/>
      </c>
      <c r="O50" s="21" t="n"/>
      <c r="P50" s="22">
        <f>IF(OR($E50=0,O$78=0),0,IF(AND(O50="N/A",$G50&lt;&gt;""),0,$F50+SUMPRODUCT(($G$14:$G$71=$A50)*($E$14:$E$71=1)*(O$14:O$71="N/A")*$F$14:$F$71)))</f>
        <v/>
      </c>
      <c r="Q50" s="22">
        <f>IF(O50="SI",P50,0)</f>
        <v/>
      </c>
      <c r="R50" s="21" t="n"/>
      <c r="S50" s="22">
        <f>IF(OR($E50=0,R$78=0),0,IF(AND(R50="N/A",$G50&lt;&gt;""),0,$F50+SUMPRODUCT(($G$14:$G$71=$A50)*($E$14:$E$71=1)*(R$14:R$71="N/A")*$F$14:$F$71)))</f>
        <v/>
      </c>
      <c r="T50" s="22">
        <f>IF(R50="SI",S50,0)</f>
        <v/>
      </c>
      <c r="U50" s="21" t="n"/>
      <c r="V50" s="22">
        <f>IF(OR($E50=0,U$78=0),0,IF(AND(U50="N/A",$G50&lt;&gt;""),0,$F50+SUMPRODUCT(($G$14:$G$71=$A50)*($E$14:$E$71=1)*(U$14:U$71="N/A")*$F$14:$F$71)))</f>
        <v/>
      </c>
      <c r="W50" s="22">
        <f>IF(U50="SI",V50,0)</f>
        <v/>
      </c>
      <c r="X50" s="21" t="n"/>
      <c r="Y50" s="22">
        <f>IF(OR($E50=0,X$78=0),0,IF(AND(X50="N/A",$G50&lt;&gt;""),0,$F50+SUMPRODUCT(($G$14:$G$71=$A50)*($E$14:$E$71=1)*(X$14:X$71="N/A")*$F$14:$F$71)))</f>
        <v/>
      </c>
      <c r="Z50" s="22">
        <f>IF(X50="SI",Y50,0)</f>
        <v/>
      </c>
      <c r="AA50" s="22">
        <f>SUM(J50,M50,P50,S50,V50,Y50)</f>
        <v/>
      </c>
      <c r="AB50" s="22">
        <f>SUM(K50,N50,Q50,T50,W50,Z50)</f>
        <v/>
      </c>
      <c r="AC50" s="23">
        <f>IF(AA50=0,"",AB50/AA50)</f>
        <v/>
      </c>
      <c r="AD50" s="22">
        <f>CRITERIOS!Q38</f>
        <v/>
      </c>
      <c r="AE50" s="22">
        <f>IF(AND(E50=1,H50&lt;&gt;"X",((I50="N/A")+(L50="N/A")+(O50="N/A")+(R50="N/A")+(U50="N/A")+(X50="N/A"))&gt;0),"REVISAR","")</f>
        <v/>
      </c>
    </row>
    <row r="51">
      <c r="A51" s="24">
        <f>CRITERIOS!B39</f>
        <v/>
      </c>
      <c r="B51" s="24">
        <f>CRITERIOS!C39</f>
        <v/>
      </c>
      <c r="C51" s="25">
        <f>CRITERIOS!D39</f>
        <v/>
      </c>
      <c r="D51" s="24">
        <f>CRITERIOS!E39</f>
        <v/>
      </c>
      <c r="E51" s="24">
        <f>IFERROR(IF(AND(OR(CRITERIOS!F39="Todos",CRITERIOS!F39=$B$4),INDEX(CRITERIOS!H39:J39,MATCH($B$5,VARIABLES!$E$2:$E$4,0))=1),1,0),0)</f>
        <v/>
      </c>
      <c r="F51" s="24">
        <f>IFERROR(IF(E51=1,INDEX(CRITERIOS!K39:M39,MATCH($B$5,VARIABLES!$E$2:$E$4,0)),0),0)</f>
        <v/>
      </c>
      <c r="G51" s="24">
        <f>IF(CRITERIOS!N39="","",CRITERIOS!N39)</f>
        <v/>
      </c>
      <c r="H51" s="24">
        <f>IF(CRITERIOS!O39="","",CRITERIOS!O39)</f>
        <v/>
      </c>
      <c r="I51" s="21" t="n"/>
      <c r="J51" s="22">
        <f>IF(OR($E51=0,I$78=0),0,IF(AND(I51="N/A",$G51&lt;&gt;""),0,$F51+SUMPRODUCT(($G$14:$G$71=$A51)*($E$14:$E$71=1)*(I$14:I$71="N/A")*$F$14:$F$71)))</f>
        <v/>
      </c>
      <c r="K51" s="22">
        <f>IF(I51="SI",J51,0)</f>
        <v/>
      </c>
      <c r="L51" s="21" t="n"/>
      <c r="M51" s="22">
        <f>IF(OR($E51=0,L$78=0),0,IF(AND(L51="N/A",$G51&lt;&gt;""),0,$F51+SUMPRODUCT(($G$14:$G$71=$A51)*($E$14:$E$71=1)*(L$14:L$71="N/A")*$F$14:$F$71)))</f>
        <v/>
      </c>
      <c r="N51" s="22">
        <f>IF(L51="SI",M51,0)</f>
        <v/>
      </c>
      <c r="O51" s="21" t="n"/>
      <c r="P51" s="22">
        <f>IF(OR($E51=0,O$78=0),0,IF(AND(O51="N/A",$G51&lt;&gt;""),0,$F51+SUMPRODUCT(($G$14:$G$71=$A51)*($E$14:$E$71=1)*(O$14:O$71="N/A")*$F$14:$F$71)))</f>
        <v/>
      </c>
      <c r="Q51" s="22">
        <f>IF(O51="SI",P51,0)</f>
        <v/>
      </c>
      <c r="R51" s="21" t="n"/>
      <c r="S51" s="22">
        <f>IF(OR($E51=0,R$78=0),0,IF(AND(R51="N/A",$G51&lt;&gt;""),0,$F51+SUMPRODUCT(($G$14:$G$71=$A51)*($E$14:$E$71=1)*(R$14:R$71="N/A")*$F$14:$F$71)))</f>
        <v/>
      </c>
      <c r="T51" s="22">
        <f>IF(R51="SI",S51,0)</f>
        <v/>
      </c>
      <c r="U51" s="21" t="n"/>
      <c r="V51" s="22">
        <f>IF(OR($E51=0,U$78=0),0,IF(AND(U51="N/A",$G51&lt;&gt;""),0,$F51+SUMPRODUCT(($G$14:$G$71=$A51)*($E$14:$E$71=1)*(U$14:U$71="N/A")*$F$14:$F$71)))</f>
        <v/>
      </c>
      <c r="W51" s="22">
        <f>IF(U51="SI",V51,0)</f>
        <v/>
      </c>
      <c r="X51" s="21" t="n"/>
      <c r="Y51" s="22">
        <f>IF(OR($E51=0,X$78=0),0,IF(AND(X51="N/A",$G51&lt;&gt;""),0,$F51+SUMPRODUCT(($G$14:$G$71=$A51)*($E$14:$E$71=1)*(X$14:X$71="N/A")*$F$14:$F$71)))</f>
        <v/>
      </c>
      <c r="Z51" s="22">
        <f>IF(X51="SI",Y51,0)</f>
        <v/>
      </c>
      <c r="AA51" s="22">
        <f>SUM(J51,M51,P51,S51,V51,Y51)</f>
        <v/>
      </c>
      <c r="AB51" s="22">
        <f>SUM(K51,N51,Q51,T51,W51,Z51)</f>
        <v/>
      </c>
      <c r="AC51" s="23">
        <f>IF(AA51=0,"",AB51/AA51)</f>
        <v/>
      </c>
      <c r="AD51" s="22">
        <f>CRITERIOS!Q39</f>
        <v/>
      </c>
      <c r="AE51" s="22">
        <f>IF(AND(E51=1,H51&lt;&gt;"X",((I51="N/A")+(L51="N/A")+(O51="N/A")+(R51="N/A")+(U51="N/A")+(X51="N/A"))&gt;0),"REVISAR","")</f>
        <v/>
      </c>
    </row>
    <row r="52">
      <c r="A52" s="24">
        <f>CRITERIOS!B40</f>
        <v/>
      </c>
      <c r="B52" s="24">
        <f>CRITERIOS!C40</f>
        <v/>
      </c>
      <c r="C52" s="25">
        <f>CRITERIOS!D40</f>
        <v/>
      </c>
      <c r="D52" s="24">
        <f>CRITERIOS!E40</f>
        <v/>
      </c>
      <c r="E52" s="24">
        <f>IFERROR(IF(AND(OR(CRITERIOS!F40="Todos",CRITERIOS!F40=$B$4),INDEX(CRITERIOS!H40:J40,MATCH($B$5,VARIABLES!$E$2:$E$4,0))=1),1,0),0)</f>
        <v/>
      </c>
      <c r="F52" s="24">
        <f>IFERROR(IF(E52=1,INDEX(CRITERIOS!K40:M40,MATCH($B$5,VARIABLES!$E$2:$E$4,0)),0),0)</f>
        <v/>
      </c>
      <c r="G52" s="24">
        <f>IF(CRITERIOS!N40="","",CRITERIOS!N40)</f>
        <v/>
      </c>
      <c r="H52" s="24">
        <f>IF(CRITERIOS!O40="","",CRITERIOS!O40)</f>
        <v/>
      </c>
      <c r="I52" s="21" t="n"/>
      <c r="J52" s="22">
        <f>IF(OR($E52=0,I$78=0),0,IF(AND(I52="N/A",$G52&lt;&gt;""),0,$F52+SUMPRODUCT(($G$14:$G$71=$A52)*($E$14:$E$71=1)*(I$14:I$71="N/A")*$F$14:$F$71)))</f>
        <v/>
      </c>
      <c r="K52" s="22">
        <f>IF(I52="SI",J52,0)</f>
        <v/>
      </c>
      <c r="L52" s="21" t="n"/>
      <c r="M52" s="22">
        <f>IF(OR($E52=0,L$78=0),0,IF(AND(L52="N/A",$G52&lt;&gt;""),0,$F52+SUMPRODUCT(($G$14:$G$71=$A52)*($E$14:$E$71=1)*(L$14:L$71="N/A")*$F$14:$F$71)))</f>
        <v/>
      </c>
      <c r="N52" s="22">
        <f>IF(L52="SI",M52,0)</f>
        <v/>
      </c>
      <c r="O52" s="21" t="n"/>
      <c r="P52" s="22">
        <f>IF(OR($E52=0,O$78=0),0,IF(AND(O52="N/A",$G52&lt;&gt;""),0,$F52+SUMPRODUCT(($G$14:$G$71=$A52)*($E$14:$E$71=1)*(O$14:O$71="N/A")*$F$14:$F$71)))</f>
        <v/>
      </c>
      <c r="Q52" s="22">
        <f>IF(O52="SI",P52,0)</f>
        <v/>
      </c>
      <c r="R52" s="21" t="n"/>
      <c r="S52" s="22">
        <f>IF(OR($E52=0,R$78=0),0,IF(AND(R52="N/A",$G52&lt;&gt;""),0,$F52+SUMPRODUCT(($G$14:$G$71=$A52)*($E$14:$E$71=1)*(R$14:R$71="N/A")*$F$14:$F$71)))</f>
        <v/>
      </c>
      <c r="T52" s="22">
        <f>IF(R52="SI",S52,0)</f>
        <v/>
      </c>
      <c r="U52" s="21" t="n"/>
      <c r="V52" s="22">
        <f>IF(OR($E52=0,U$78=0),0,IF(AND(U52="N/A",$G52&lt;&gt;""),0,$F52+SUMPRODUCT(($G$14:$G$71=$A52)*($E$14:$E$71=1)*(U$14:U$71="N/A")*$F$14:$F$71)))</f>
        <v/>
      </c>
      <c r="W52" s="22">
        <f>IF(U52="SI",V52,0)</f>
        <v/>
      </c>
      <c r="X52" s="21" t="n"/>
      <c r="Y52" s="22">
        <f>IF(OR($E52=0,X$78=0),0,IF(AND(X52="N/A",$G52&lt;&gt;""),0,$F52+SUMPRODUCT(($G$14:$G$71=$A52)*($E$14:$E$71=1)*(X$14:X$71="N/A")*$F$14:$F$71)))</f>
        <v/>
      </c>
      <c r="Z52" s="22">
        <f>IF(X52="SI",Y52,0)</f>
        <v/>
      </c>
      <c r="AA52" s="22">
        <f>SUM(J52,M52,P52,S52,V52,Y52)</f>
        <v/>
      </c>
      <c r="AB52" s="22">
        <f>SUM(K52,N52,Q52,T52,W52,Z52)</f>
        <v/>
      </c>
      <c r="AC52" s="23">
        <f>IF(AA52=0,"",AB52/AA52)</f>
        <v/>
      </c>
      <c r="AD52" s="22">
        <f>CRITERIOS!Q40</f>
        <v/>
      </c>
      <c r="AE52" s="22">
        <f>IF(AND(E52=1,H52&lt;&gt;"X",((I52="N/A")+(L52="N/A")+(O52="N/A")+(R52="N/A")+(U52="N/A")+(X52="N/A"))&gt;0),"REVISAR","")</f>
        <v/>
      </c>
    </row>
    <row r="53">
      <c r="A53" s="22">
        <f>CRITERIOS!B41</f>
        <v/>
      </c>
      <c r="B53" s="22">
        <f>CRITERIOS!C41</f>
        <v/>
      </c>
      <c r="C53" s="8">
        <f>CRITERIOS!D41</f>
        <v/>
      </c>
      <c r="D53" s="22">
        <f>CRITERIOS!E41</f>
        <v/>
      </c>
      <c r="E53" s="22">
        <f>IFERROR(IF(AND(OR(CRITERIOS!F41="Todos",CRITERIOS!F41=$B$4),INDEX(CRITERIOS!H41:J41,MATCH($B$5,VARIABLES!$E$2:$E$4,0))=1),1,0),0)</f>
        <v/>
      </c>
      <c r="F53" s="22">
        <f>IFERROR(IF(E53=1,INDEX(CRITERIOS!K41:M41,MATCH($B$5,VARIABLES!$E$2:$E$4,0)),0),0)</f>
        <v/>
      </c>
      <c r="G53" s="22">
        <f>IF(CRITERIOS!N41="","",CRITERIOS!N41)</f>
        <v/>
      </c>
      <c r="H53" s="22">
        <f>IF(CRITERIOS!O41="","",CRITERIOS!O41)</f>
        <v/>
      </c>
      <c r="I53" s="21" t="n"/>
      <c r="J53" s="22">
        <f>IF(OR($E53=0,I$78=0),0,IF(AND(I53="N/A",$G53&lt;&gt;""),0,$F53+SUMPRODUCT(($G$14:$G$71=$A53)*($E$14:$E$71=1)*(I$14:I$71="N/A")*$F$14:$F$71)))</f>
        <v/>
      </c>
      <c r="K53" s="22">
        <f>IF(I53="SI",J53,0)</f>
        <v/>
      </c>
      <c r="L53" s="21" t="n"/>
      <c r="M53" s="22">
        <f>IF(OR($E53=0,L$78=0),0,IF(AND(L53="N/A",$G53&lt;&gt;""),0,$F53+SUMPRODUCT(($G$14:$G$71=$A53)*($E$14:$E$71=1)*(L$14:L$71="N/A")*$F$14:$F$71)))</f>
        <v/>
      </c>
      <c r="N53" s="22">
        <f>IF(L53="SI",M53,0)</f>
        <v/>
      </c>
      <c r="O53" s="21" t="n"/>
      <c r="P53" s="22">
        <f>IF(OR($E53=0,O$78=0),0,IF(AND(O53="N/A",$G53&lt;&gt;""),0,$F53+SUMPRODUCT(($G$14:$G$71=$A53)*($E$14:$E$71=1)*(O$14:O$71="N/A")*$F$14:$F$71)))</f>
        <v/>
      </c>
      <c r="Q53" s="22">
        <f>IF(O53="SI",P53,0)</f>
        <v/>
      </c>
      <c r="R53" s="21" t="n"/>
      <c r="S53" s="22">
        <f>IF(OR($E53=0,R$78=0),0,IF(AND(R53="N/A",$G53&lt;&gt;""),0,$F53+SUMPRODUCT(($G$14:$G$71=$A53)*($E$14:$E$71=1)*(R$14:R$71="N/A")*$F$14:$F$71)))</f>
        <v/>
      </c>
      <c r="T53" s="22">
        <f>IF(R53="SI",S53,0)</f>
        <v/>
      </c>
      <c r="U53" s="21" t="n"/>
      <c r="V53" s="22">
        <f>IF(OR($E53=0,U$78=0),0,IF(AND(U53="N/A",$G53&lt;&gt;""),0,$F53+SUMPRODUCT(($G$14:$G$71=$A53)*($E$14:$E$71=1)*(U$14:U$71="N/A")*$F$14:$F$71)))</f>
        <v/>
      </c>
      <c r="W53" s="22">
        <f>IF(U53="SI",V53,0)</f>
        <v/>
      </c>
      <c r="X53" s="21" t="n"/>
      <c r="Y53" s="22">
        <f>IF(OR($E53=0,X$78=0),0,IF(AND(X53="N/A",$G53&lt;&gt;""),0,$F53+SUMPRODUCT(($G$14:$G$71=$A53)*($E$14:$E$71=1)*(X$14:X$71="N/A")*$F$14:$F$71)))</f>
        <v/>
      </c>
      <c r="Z53" s="22">
        <f>IF(X53="SI",Y53,0)</f>
        <v/>
      </c>
      <c r="AA53" s="22">
        <f>SUM(J53,M53,P53,S53,V53,Y53)</f>
        <v/>
      </c>
      <c r="AB53" s="22">
        <f>SUM(K53,N53,Q53,T53,W53,Z53)</f>
        <v/>
      </c>
      <c r="AC53" s="23">
        <f>IF(AA53=0,"",AB53/AA53)</f>
        <v/>
      </c>
      <c r="AD53" s="22">
        <f>CRITERIOS!Q41</f>
        <v/>
      </c>
      <c r="AE53" s="22">
        <f>IF(AND(E53=1,H53&lt;&gt;"X",((I53="N/A")+(L53="N/A")+(O53="N/A")+(R53="N/A")+(U53="N/A")+(X53="N/A"))&gt;0),"REVISAR","")</f>
        <v/>
      </c>
    </row>
    <row r="54">
      <c r="A54" s="22">
        <f>CRITERIOS!B42</f>
        <v/>
      </c>
      <c r="B54" s="22">
        <f>CRITERIOS!C42</f>
        <v/>
      </c>
      <c r="C54" s="8">
        <f>CRITERIOS!D42</f>
        <v/>
      </c>
      <c r="D54" s="22">
        <f>CRITERIOS!E42</f>
        <v/>
      </c>
      <c r="E54" s="22">
        <f>IFERROR(IF(AND(OR(CRITERIOS!F42="Todos",CRITERIOS!F42=$B$4),INDEX(CRITERIOS!H42:J42,MATCH($B$5,VARIABLES!$E$2:$E$4,0))=1),1,0),0)</f>
        <v/>
      </c>
      <c r="F54" s="22">
        <f>IFERROR(IF(E54=1,INDEX(CRITERIOS!K42:M42,MATCH($B$5,VARIABLES!$E$2:$E$4,0)),0),0)</f>
        <v/>
      </c>
      <c r="G54" s="22">
        <f>IF(CRITERIOS!N42="","",CRITERIOS!N42)</f>
        <v/>
      </c>
      <c r="H54" s="22">
        <f>IF(CRITERIOS!O42="","",CRITERIOS!O42)</f>
        <v/>
      </c>
      <c r="I54" s="21" t="n"/>
      <c r="J54" s="22">
        <f>IF(OR($E54=0,I$78=0),0,IF(AND(I54="N/A",$G54&lt;&gt;""),0,$F54+SUMPRODUCT(($G$14:$G$71=$A54)*($E$14:$E$71=1)*(I$14:I$71="N/A")*$F$14:$F$71)))</f>
        <v/>
      </c>
      <c r="K54" s="22">
        <f>IF(I54="SI",J54,0)</f>
        <v/>
      </c>
      <c r="L54" s="21" t="n"/>
      <c r="M54" s="22">
        <f>IF(OR($E54=0,L$78=0),0,IF(AND(L54="N/A",$G54&lt;&gt;""),0,$F54+SUMPRODUCT(($G$14:$G$71=$A54)*($E$14:$E$71=1)*(L$14:L$71="N/A")*$F$14:$F$71)))</f>
        <v/>
      </c>
      <c r="N54" s="22">
        <f>IF(L54="SI",M54,0)</f>
        <v/>
      </c>
      <c r="O54" s="21" t="n"/>
      <c r="P54" s="22">
        <f>IF(OR($E54=0,O$78=0),0,IF(AND(O54="N/A",$G54&lt;&gt;""),0,$F54+SUMPRODUCT(($G$14:$G$71=$A54)*($E$14:$E$71=1)*(O$14:O$71="N/A")*$F$14:$F$71)))</f>
        <v/>
      </c>
      <c r="Q54" s="22">
        <f>IF(O54="SI",P54,0)</f>
        <v/>
      </c>
      <c r="R54" s="21" t="n"/>
      <c r="S54" s="22">
        <f>IF(OR($E54=0,R$78=0),0,IF(AND(R54="N/A",$G54&lt;&gt;""),0,$F54+SUMPRODUCT(($G$14:$G$71=$A54)*($E$14:$E$71=1)*(R$14:R$71="N/A")*$F$14:$F$71)))</f>
        <v/>
      </c>
      <c r="T54" s="22">
        <f>IF(R54="SI",S54,0)</f>
        <v/>
      </c>
      <c r="U54" s="21" t="n"/>
      <c r="V54" s="22">
        <f>IF(OR($E54=0,U$78=0),0,IF(AND(U54="N/A",$G54&lt;&gt;""),0,$F54+SUMPRODUCT(($G$14:$G$71=$A54)*($E$14:$E$71=1)*(U$14:U$71="N/A")*$F$14:$F$71)))</f>
        <v/>
      </c>
      <c r="W54" s="22">
        <f>IF(U54="SI",V54,0)</f>
        <v/>
      </c>
      <c r="X54" s="21" t="n"/>
      <c r="Y54" s="22">
        <f>IF(OR($E54=0,X$78=0),0,IF(AND(X54="N/A",$G54&lt;&gt;""),0,$F54+SUMPRODUCT(($G$14:$G$71=$A54)*($E$14:$E$71=1)*(X$14:X$71="N/A")*$F$14:$F$71)))</f>
        <v/>
      </c>
      <c r="Z54" s="22">
        <f>IF(X54="SI",Y54,0)</f>
        <v/>
      </c>
      <c r="AA54" s="22">
        <f>SUM(J54,M54,P54,S54,V54,Y54)</f>
        <v/>
      </c>
      <c r="AB54" s="22">
        <f>SUM(K54,N54,Q54,T54,W54,Z54)</f>
        <v/>
      </c>
      <c r="AC54" s="23">
        <f>IF(AA54=0,"",AB54/AA54)</f>
        <v/>
      </c>
      <c r="AD54" s="22">
        <f>CRITERIOS!Q42</f>
        <v/>
      </c>
      <c r="AE54" s="22">
        <f>IF(AND(E54=1,H54&lt;&gt;"X",((I54="N/A")+(L54="N/A")+(O54="N/A")+(R54="N/A")+(U54="N/A")+(X54="N/A"))&gt;0),"REVISAR","")</f>
        <v/>
      </c>
    </row>
    <row r="55">
      <c r="A55" s="24">
        <f>CRITERIOS!B43</f>
        <v/>
      </c>
      <c r="B55" s="24">
        <f>CRITERIOS!C43</f>
        <v/>
      </c>
      <c r="C55" s="25">
        <f>CRITERIOS!D43</f>
        <v/>
      </c>
      <c r="D55" s="24">
        <f>CRITERIOS!E43</f>
        <v/>
      </c>
      <c r="E55" s="24">
        <f>IFERROR(IF(AND(OR(CRITERIOS!F43="Todos",CRITERIOS!F43=$B$4),INDEX(CRITERIOS!H43:J43,MATCH($B$5,VARIABLES!$E$2:$E$4,0))=1),1,0),0)</f>
        <v/>
      </c>
      <c r="F55" s="24">
        <f>IFERROR(IF(E55=1,INDEX(CRITERIOS!K43:M43,MATCH($B$5,VARIABLES!$E$2:$E$4,0)),0),0)</f>
        <v/>
      </c>
      <c r="G55" s="24">
        <f>IF(CRITERIOS!N43="","",CRITERIOS!N43)</f>
        <v/>
      </c>
      <c r="H55" s="24">
        <f>IF(CRITERIOS!O43="","",CRITERIOS!O43)</f>
        <v/>
      </c>
      <c r="I55" s="21" t="n"/>
      <c r="J55" s="22">
        <f>IF(OR($E55=0,I$78=0),0,IF(AND(I55="N/A",$G55&lt;&gt;""),0,$F55+SUMPRODUCT(($G$14:$G$71=$A55)*($E$14:$E$71=1)*(I$14:I$71="N/A")*$F$14:$F$71)))</f>
        <v/>
      </c>
      <c r="K55" s="22">
        <f>IF(I55="SI",J55,0)</f>
        <v/>
      </c>
      <c r="L55" s="21" t="n"/>
      <c r="M55" s="22">
        <f>IF(OR($E55=0,L$78=0),0,IF(AND(L55="N/A",$G55&lt;&gt;""),0,$F55+SUMPRODUCT(($G$14:$G$71=$A55)*($E$14:$E$71=1)*(L$14:L$71="N/A")*$F$14:$F$71)))</f>
        <v/>
      </c>
      <c r="N55" s="22">
        <f>IF(L55="SI",M55,0)</f>
        <v/>
      </c>
      <c r="O55" s="21" t="n"/>
      <c r="P55" s="22">
        <f>IF(OR($E55=0,O$78=0),0,IF(AND(O55="N/A",$G55&lt;&gt;""),0,$F55+SUMPRODUCT(($G$14:$G$71=$A55)*($E$14:$E$71=1)*(O$14:O$71="N/A")*$F$14:$F$71)))</f>
        <v/>
      </c>
      <c r="Q55" s="22">
        <f>IF(O55="SI",P55,0)</f>
        <v/>
      </c>
      <c r="R55" s="21" t="n"/>
      <c r="S55" s="22">
        <f>IF(OR($E55=0,R$78=0),0,IF(AND(R55="N/A",$G55&lt;&gt;""),0,$F55+SUMPRODUCT(($G$14:$G$71=$A55)*($E$14:$E$71=1)*(R$14:R$71="N/A")*$F$14:$F$71)))</f>
        <v/>
      </c>
      <c r="T55" s="22">
        <f>IF(R55="SI",S55,0)</f>
        <v/>
      </c>
      <c r="U55" s="21" t="n"/>
      <c r="V55" s="22">
        <f>IF(OR($E55=0,U$78=0),0,IF(AND(U55="N/A",$G55&lt;&gt;""),0,$F55+SUMPRODUCT(($G$14:$G$71=$A55)*($E$14:$E$71=1)*(U$14:U$71="N/A")*$F$14:$F$71)))</f>
        <v/>
      </c>
      <c r="W55" s="22">
        <f>IF(U55="SI",V55,0)</f>
        <v/>
      </c>
      <c r="X55" s="21" t="n"/>
      <c r="Y55" s="22">
        <f>IF(OR($E55=0,X$78=0),0,IF(AND(X55="N/A",$G55&lt;&gt;""),0,$F55+SUMPRODUCT(($G$14:$G$71=$A55)*($E$14:$E$71=1)*(X$14:X$71="N/A")*$F$14:$F$71)))</f>
        <v/>
      </c>
      <c r="Z55" s="22">
        <f>IF(X55="SI",Y55,0)</f>
        <v/>
      </c>
      <c r="AA55" s="22">
        <f>SUM(J55,M55,P55,S55,V55,Y55)</f>
        <v/>
      </c>
      <c r="AB55" s="22">
        <f>SUM(K55,N55,Q55,T55,W55,Z55)</f>
        <v/>
      </c>
      <c r="AC55" s="23">
        <f>IF(AA55=0,"",AB55/AA55)</f>
        <v/>
      </c>
      <c r="AD55" s="22">
        <f>CRITERIOS!Q43</f>
        <v/>
      </c>
      <c r="AE55" s="22">
        <f>IF(AND(E55=1,H55&lt;&gt;"X",((I55="N/A")+(L55="N/A")+(O55="N/A")+(R55="N/A")+(U55="N/A")+(X55="N/A"))&gt;0),"REVISAR","")</f>
        <v/>
      </c>
    </row>
    <row r="56">
      <c r="A56" s="24">
        <f>CRITERIOS!B44</f>
        <v/>
      </c>
      <c r="B56" s="24">
        <f>CRITERIOS!C44</f>
        <v/>
      </c>
      <c r="C56" s="25">
        <f>CRITERIOS!D44</f>
        <v/>
      </c>
      <c r="D56" s="24">
        <f>CRITERIOS!E44</f>
        <v/>
      </c>
      <c r="E56" s="24">
        <f>IFERROR(IF(AND(OR(CRITERIOS!F44="Todos",CRITERIOS!F44=$B$4),INDEX(CRITERIOS!H44:J44,MATCH($B$5,VARIABLES!$E$2:$E$4,0))=1),1,0),0)</f>
        <v/>
      </c>
      <c r="F56" s="24">
        <f>IFERROR(IF(E56=1,INDEX(CRITERIOS!K44:M44,MATCH($B$5,VARIABLES!$E$2:$E$4,0)),0),0)</f>
        <v/>
      </c>
      <c r="G56" s="24">
        <f>IF(CRITERIOS!N44="","",CRITERIOS!N44)</f>
        <v/>
      </c>
      <c r="H56" s="24">
        <f>IF(CRITERIOS!O44="","",CRITERIOS!O44)</f>
        <v/>
      </c>
      <c r="I56" s="21" t="n"/>
      <c r="J56" s="22">
        <f>IF(OR($E56=0,I$78=0),0,IF(AND(I56="N/A",$G56&lt;&gt;""),0,$F56+SUMPRODUCT(($G$14:$G$71=$A56)*($E$14:$E$71=1)*(I$14:I$71="N/A")*$F$14:$F$71)))</f>
        <v/>
      </c>
      <c r="K56" s="22">
        <f>IF(I56="SI",J56,0)</f>
        <v/>
      </c>
      <c r="L56" s="21" t="n"/>
      <c r="M56" s="22">
        <f>IF(OR($E56=0,L$78=0),0,IF(AND(L56="N/A",$G56&lt;&gt;""),0,$F56+SUMPRODUCT(($G$14:$G$71=$A56)*($E$14:$E$71=1)*(L$14:L$71="N/A")*$F$14:$F$71)))</f>
        <v/>
      </c>
      <c r="N56" s="22">
        <f>IF(L56="SI",M56,0)</f>
        <v/>
      </c>
      <c r="O56" s="21" t="n"/>
      <c r="P56" s="22">
        <f>IF(OR($E56=0,O$78=0),0,IF(AND(O56="N/A",$G56&lt;&gt;""),0,$F56+SUMPRODUCT(($G$14:$G$71=$A56)*($E$14:$E$71=1)*(O$14:O$71="N/A")*$F$14:$F$71)))</f>
        <v/>
      </c>
      <c r="Q56" s="22">
        <f>IF(O56="SI",P56,0)</f>
        <v/>
      </c>
      <c r="R56" s="21" t="n"/>
      <c r="S56" s="22">
        <f>IF(OR($E56=0,R$78=0),0,IF(AND(R56="N/A",$G56&lt;&gt;""),0,$F56+SUMPRODUCT(($G$14:$G$71=$A56)*($E$14:$E$71=1)*(R$14:R$71="N/A")*$F$14:$F$71)))</f>
        <v/>
      </c>
      <c r="T56" s="22">
        <f>IF(R56="SI",S56,0)</f>
        <v/>
      </c>
      <c r="U56" s="21" t="n"/>
      <c r="V56" s="22">
        <f>IF(OR($E56=0,U$78=0),0,IF(AND(U56="N/A",$G56&lt;&gt;""),0,$F56+SUMPRODUCT(($G$14:$G$71=$A56)*($E$14:$E$71=1)*(U$14:U$71="N/A")*$F$14:$F$71)))</f>
        <v/>
      </c>
      <c r="W56" s="22">
        <f>IF(U56="SI",V56,0)</f>
        <v/>
      </c>
      <c r="X56" s="21" t="n"/>
      <c r="Y56" s="22">
        <f>IF(OR($E56=0,X$78=0),0,IF(AND(X56="N/A",$G56&lt;&gt;""),0,$F56+SUMPRODUCT(($G$14:$G$71=$A56)*($E$14:$E$71=1)*(X$14:X$71="N/A")*$F$14:$F$71)))</f>
        <v/>
      </c>
      <c r="Z56" s="22">
        <f>IF(X56="SI",Y56,0)</f>
        <v/>
      </c>
      <c r="AA56" s="22">
        <f>SUM(J56,M56,P56,S56,V56,Y56)</f>
        <v/>
      </c>
      <c r="AB56" s="22">
        <f>SUM(K56,N56,Q56,T56,W56,Z56)</f>
        <v/>
      </c>
      <c r="AC56" s="23">
        <f>IF(AA56=0,"",AB56/AA56)</f>
        <v/>
      </c>
      <c r="AD56" s="22">
        <f>CRITERIOS!Q44</f>
        <v/>
      </c>
      <c r="AE56" s="22">
        <f>IF(AND(E56=1,H56&lt;&gt;"X",((I56="N/A")+(L56="N/A")+(O56="N/A")+(R56="N/A")+(U56="N/A")+(X56="N/A"))&gt;0),"REVISAR","")</f>
        <v/>
      </c>
    </row>
    <row r="57">
      <c r="A57" s="24">
        <f>CRITERIOS!B45</f>
        <v/>
      </c>
      <c r="B57" s="24">
        <f>CRITERIOS!C45</f>
        <v/>
      </c>
      <c r="C57" s="25">
        <f>CRITERIOS!D45</f>
        <v/>
      </c>
      <c r="D57" s="24">
        <f>CRITERIOS!E45</f>
        <v/>
      </c>
      <c r="E57" s="24">
        <f>IFERROR(IF(AND(OR(CRITERIOS!F45="Todos",CRITERIOS!F45=$B$4),INDEX(CRITERIOS!H45:J45,MATCH($B$5,VARIABLES!$E$2:$E$4,0))=1),1,0),0)</f>
        <v/>
      </c>
      <c r="F57" s="24">
        <f>IFERROR(IF(E57=1,INDEX(CRITERIOS!K45:M45,MATCH($B$5,VARIABLES!$E$2:$E$4,0)),0),0)</f>
        <v/>
      </c>
      <c r="G57" s="24">
        <f>IF(CRITERIOS!N45="","",CRITERIOS!N45)</f>
        <v/>
      </c>
      <c r="H57" s="24">
        <f>IF(CRITERIOS!O45="","",CRITERIOS!O45)</f>
        <v/>
      </c>
      <c r="I57" s="21" t="n"/>
      <c r="J57" s="22">
        <f>IF(OR($E57=0,I$78=0),0,IF(AND(I57="N/A",$G57&lt;&gt;""),0,$F57+SUMPRODUCT(($G$14:$G$71=$A57)*($E$14:$E$71=1)*(I$14:I$71="N/A")*$F$14:$F$71)))</f>
        <v/>
      </c>
      <c r="K57" s="22">
        <f>IF(I57="SI",J57,0)</f>
        <v/>
      </c>
      <c r="L57" s="21" t="n"/>
      <c r="M57" s="22">
        <f>IF(OR($E57=0,L$78=0),0,IF(AND(L57="N/A",$G57&lt;&gt;""),0,$F57+SUMPRODUCT(($G$14:$G$71=$A57)*($E$14:$E$71=1)*(L$14:L$71="N/A")*$F$14:$F$71)))</f>
        <v/>
      </c>
      <c r="N57" s="22">
        <f>IF(L57="SI",M57,0)</f>
        <v/>
      </c>
      <c r="O57" s="21" t="n"/>
      <c r="P57" s="22">
        <f>IF(OR($E57=0,O$78=0),0,IF(AND(O57="N/A",$G57&lt;&gt;""),0,$F57+SUMPRODUCT(($G$14:$G$71=$A57)*($E$14:$E$71=1)*(O$14:O$71="N/A")*$F$14:$F$71)))</f>
        <v/>
      </c>
      <c r="Q57" s="22">
        <f>IF(O57="SI",P57,0)</f>
        <v/>
      </c>
      <c r="R57" s="21" t="n"/>
      <c r="S57" s="22">
        <f>IF(OR($E57=0,R$78=0),0,IF(AND(R57="N/A",$G57&lt;&gt;""),0,$F57+SUMPRODUCT(($G$14:$G$71=$A57)*($E$14:$E$71=1)*(R$14:R$71="N/A")*$F$14:$F$71)))</f>
        <v/>
      </c>
      <c r="T57" s="22">
        <f>IF(R57="SI",S57,0)</f>
        <v/>
      </c>
      <c r="U57" s="21" t="n"/>
      <c r="V57" s="22">
        <f>IF(OR($E57=0,U$78=0),0,IF(AND(U57="N/A",$G57&lt;&gt;""),0,$F57+SUMPRODUCT(($G$14:$G$71=$A57)*($E$14:$E$71=1)*(U$14:U$71="N/A")*$F$14:$F$71)))</f>
        <v/>
      </c>
      <c r="W57" s="22">
        <f>IF(U57="SI",V57,0)</f>
        <v/>
      </c>
      <c r="X57" s="21" t="n"/>
      <c r="Y57" s="22">
        <f>IF(OR($E57=0,X$78=0),0,IF(AND(X57="N/A",$G57&lt;&gt;""),0,$F57+SUMPRODUCT(($G$14:$G$71=$A57)*($E$14:$E$71=1)*(X$14:X$71="N/A")*$F$14:$F$71)))</f>
        <v/>
      </c>
      <c r="Z57" s="22">
        <f>IF(X57="SI",Y57,0)</f>
        <v/>
      </c>
      <c r="AA57" s="22">
        <f>SUM(J57,M57,P57,S57,V57,Y57)</f>
        <v/>
      </c>
      <c r="AB57" s="22">
        <f>SUM(K57,N57,Q57,T57,W57,Z57)</f>
        <v/>
      </c>
      <c r="AC57" s="23">
        <f>IF(AA57=0,"",AB57/AA57)</f>
        <v/>
      </c>
      <c r="AD57" s="22">
        <f>CRITERIOS!Q45</f>
        <v/>
      </c>
      <c r="AE57" s="22">
        <f>IF(AND(E57=1,H57&lt;&gt;"X",((I57="N/A")+(L57="N/A")+(O57="N/A")+(R57="N/A")+(U57="N/A")+(X57="N/A"))&gt;0),"REVISAR","")</f>
        <v/>
      </c>
    </row>
    <row r="58">
      <c r="A58" s="24">
        <f>CRITERIOS!B46</f>
        <v/>
      </c>
      <c r="B58" s="24">
        <f>CRITERIOS!C46</f>
        <v/>
      </c>
      <c r="C58" s="25">
        <f>CRITERIOS!D46</f>
        <v/>
      </c>
      <c r="D58" s="24">
        <f>CRITERIOS!E46</f>
        <v/>
      </c>
      <c r="E58" s="24">
        <f>IFERROR(IF(AND(OR(CRITERIOS!F46="Todos",CRITERIOS!F46=$B$4),INDEX(CRITERIOS!H46:J46,MATCH($B$5,VARIABLES!$E$2:$E$4,0))=1),1,0),0)</f>
        <v/>
      </c>
      <c r="F58" s="24">
        <f>IFERROR(IF(E58=1,INDEX(CRITERIOS!K46:M46,MATCH($B$5,VARIABLES!$E$2:$E$4,0)),0),0)</f>
        <v/>
      </c>
      <c r="G58" s="24">
        <f>IF(CRITERIOS!N46="","",CRITERIOS!N46)</f>
        <v/>
      </c>
      <c r="H58" s="24">
        <f>IF(CRITERIOS!O46="","",CRITERIOS!O46)</f>
        <v/>
      </c>
      <c r="I58" s="21" t="n"/>
      <c r="J58" s="22">
        <f>IF(OR($E58=0,I$78=0),0,IF(AND(I58="N/A",$G58&lt;&gt;""),0,$F58+SUMPRODUCT(($G$14:$G$71=$A58)*($E$14:$E$71=1)*(I$14:I$71="N/A")*$F$14:$F$71)))</f>
        <v/>
      </c>
      <c r="K58" s="22">
        <f>IF(I58="SI",J58,0)</f>
        <v/>
      </c>
      <c r="L58" s="21" t="n"/>
      <c r="M58" s="22">
        <f>IF(OR($E58=0,L$78=0),0,IF(AND(L58="N/A",$G58&lt;&gt;""),0,$F58+SUMPRODUCT(($G$14:$G$71=$A58)*($E$14:$E$71=1)*(L$14:L$71="N/A")*$F$14:$F$71)))</f>
        <v/>
      </c>
      <c r="N58" s="22">
        <f>IF(L58="SI",M58,0)</f>
        <v/>
      </c>
      <c r="O58" s="21" t="n"/>
      <c r="P58" s="22">
        <f>IF(OR($E58=0,O$78=0),0,IF(AND(O58="N/A",$G58&lt;&gt;""),0,$F58+SUMPRODUCT(($G$14:$G$71=$A58)*($E$14:$E$71=1)*(O$14:O$71="N/A")*$F$14:$F$71)))</f>
        <v/>
      </c>
      <c r="Q58" s="22">
        <f>IF(O58="SI",P58,0)</f>
        <v/>
      </c>
      <c r="R58" s="21" t="n"/>
      <c r="S58" s="22">
        <f>IF(OR($E58=0,R$78=0),0,IF(AND(R58="N/A",$G58&lt;&gt;""),0,$F58+SUMPRODUCT(($G$14:$G$71=$A58)*($E$14:$E$71=1)*(R$14:R$71="N/A")*$F$14:$F$71)))</f>
        <v/>
      </c>
      <c r="T58" s="22">
        <f>IF(R58="SI",S58,0)</f>
        <v/>
      </c>
      <c r="U58" s="21" t="n"/>
      <c r="V58" s="22">
        <f>IF(OR($E58=0,U$78=0),0,IF(AND(U58="N/A",$G58&lt;&gt;""),0,$F58+SUMPRODUCT(($G$14:$G$71=$A58)*($E$14:$E$71=1)*(U$14:U$71="N/A")*$F$14:$F$71)))</f>
        <v/>
      </c>
      <c r="W58" s="22">
        <f>IF(U58="SI",V58,0)</f>
        <v/>
      </c>
      <c r="X58" s="21" t="n"/>
      <c r="Y58" s="22">
        <f>IF(OR($E58=0,X$78=0),0,IF(AND(X58="N/A",$G58&lt;&gt;""),0,$F58+SUMPRODUCT(($G$14:$G$71=$A58)*($E$14:$E$71=1)*(X$14:X$71="N/A")*$F$14:$F$71)))</f>
        <v/>
      </c>
      <c r="Z58" s="22">
        <f>IF(X58="SI",Y58,0)</f>
        <v/>
      </c>
      <c r="AA58" s="22">
        <f>SUM(J58,M58,P58,S58,V58,Y58)</f>
        <v/>
      </c>
      <c r="AB58" s="22">
        <f>SUM(K58,N58,Q58,T58,W58,Z58)</f>
        <v/>
      </c>
      <c r="AC58" s="23">
        <f>IF(AA58=0,"",AB58/AA58)</f>
        <v/>
      </c>
      <c r="AD58" s="22">
        <f>CRITERIOS!Q46</f>
        <v/>
      </c>
      <c r="AE58" s="22">
        <f>IF(AND(E58=1,H58&lt;&gt;"X",((I58="N/A")+(L58="N/A")+(O58="N/A")+(R58="N/A")+(U58="N/A")+(X58="N/A"))&gt;0),"REVISAR","")</f>
        <v/>
      </c>
    </row>
    <row r="59">
      <c r="A59" s="24">
        <f>CRITERIOS!B47</f>
        <v/>
      </c>
      <c r="B59" s="24">
        <f>CRITERIOS!C47</f>
        <v/>
      </c>
      <c r="C59" s="25">
        <f>CRITERIOS!D47</f>
        <v/>
      </c>
      <c r="D59" s="24">
        <f>CRITERIOS!E47</f>
        <v/>
      </c>
      <c r="E59" s="24">
        <f>IFERROR(IF(AND(OR(CRITERIOS!F47="Todos",CRITERIOS!F47=$B$4),INDEX(CRITERIOS!H47:J47,MATCH($B$5,VARIABLES!$E$2:$E$4,0))=1),1,0),0)</f>
        <v/>
      </c>
      <c r="F59" s="24">
        <f>IFERROR(IF(E59=1,INDEX(CRITERIOS!K47:M47,MATCH($B$5,VARIABLES!$E$2:$E$4,0)),0),0)</f>
        <v/>
      </c>
      <c r="G59" s="24">
        <f>IF(CRITERIOS!N47="","",CRITERIOS!N47)</f>
        <v/>
      </c>
      <c r="H59" s="24">
        <f>IF(CRITERIOS!O47="","",CRITERIOS!O47)</f>
        <v/>
      </c>
      <c r="I59" s="21" t="n"/>
      <c r="J59" s="22">
        <f>IF(OR($E59=0,I$78=0),0,IF(AND(I59="N/A",$G59&lt;&gt;""),0,$F59+SUMPRODUCT(($G$14:$G$71=$A59)*($E$14:$E$71=1)*(I$14:I$71="N/A")*$F$14:$F$71)))</f>
        <v/>
      </c>
      <c r="K59" s="22">
        <f>IF(I59="SI",J59,0)</f>
        <v/>
      </c>
      <c r="L59" s="21" t="n"/>
      <c r="M59" s="22">
        <f>IF(OR($E59=0,L$78=0),0,IF(AND(L59="N/A",$G59&lt;&gt;""),0,$F59+SUMPRODUCT(($G$14:$G$71=$A59)*($E$14:$E$71=1)*(L$14:L$71="N/A")*$F$14:$F$71)))</f>
        <v/>
      </c>
      <c r="N59" s="22">
        <f>IF(L59="SI",M59,0)</f>
        <v/>
      </c>
      <c r="O59" s="21" t="n"/>
      <c r="P59" s="22">
        <f>IF(OR($E59=0,O$78=0),0,IF(AND(O59="N/A",$G59&lt;&gt;""),0,$F59+SUMPRODUCT(($G$14:$G$71=$A59)*($E$14:$E$71=1)*(O$14:O$71="N/A")*$F$14:$F$71)))</f>
        <v/>
      </c>
      <c r="Q59" s="22">
        <f>IF(O59="SI",P59,0)</f>
        <v/>
      </c>
      <c r="R59" s="21" t="n"/>
      <c r="S59" s="22">
        <f>IF(OR($E59=0,R$78=0),0,IF(AND(R59="N/A",$G59&lt;&gt;""),0,$F59+SUMPRODUCT(($G$14:$G$71=$A59)*($E$14:$E$71=1)*(R$14:R$71="N/A")*$F$14:$F$71)))</f>
        <v/>
      </c>
      <c r="T59" s="22">
        <f>IF(R59="SI",S59,0)</f>
        <v/>
      </c>
      <c r="U59" s="21" t="n"/>
      <c r="V59" s="22">
        <f>IF(OR($E59=0,U$78=0),0,IF(AND(U59="N/A",$G59&lt;&gt;""),0,$F59+SUMPRODUCT(($G$14:$G$71=$A59)*($E$14:$E$71=1)*(U$14:U$71="N/A")*$F$14:$F$71)))</f>
        <v/>
      </c>
      <c r="W59" s="22">
        <f>IF(U59="SI",V59,0)</f>
        <v/>
      </c>
      <c r="X59" s="21" t="n"/>
      <c r="Y59" s="22">
        <f>IF(OR($E59=0,X$78=0),0,IF(AND(X59="N/A",$G59&lt;&gt;""),0,$F59+SUMPRODUCT(($G$14:$G$71=$A59)*($E$14:$E$71=1)*(X$14:X$71="N/A")*$F$14:$F$71)))</f>
        <v/>
      </c>
      <c r="Z59" s="22">
        <f>IF(X59="SI",Y59,0)</f>
        <v/>
      </c>
      <c r="AA59" s="22">
        <f>SUM(J59,M59,P59,S59,V59,Y59)</f>
        <v/>
      </c>
      <c r="AB59" s="22">
        <f>SUM(K59,N59,Q59,T59,W59,Z59)</f>
        <v/>
      </c>
      <c r="AC59" s="23">
        <f>IF(AA59=0,"",AB59/AA59)</f>
        <v/>
      </c>
      <c r="AD59" s="22">
        <f>CRITERIOS!Q47</f>
        <v/>
      </c>
      <c r="AE59" s="22">
        <f>IF(AND(E59=1,H59&lt;&gt;"X",((I59="N/A")+(L59="N/A")+(O59="N/A")+(R59="N/A")+(U59="N/A")+(X59="N/A"))&gt;0),"REVISAR","")</f>
        <v/>
      </c>
    </row>
    <row r="60">
      <c r="A60" s="24">
        <f>CRITERIOS!B48</f>
        <v/>
      </c>
      <c r="B60" s="24">
        <f>CRITERIOS!C48</f>
        <v/>
      </c>
      <c r="C60" s="25">
        <f>CRITERIOS!D48</f>
        <v/>
      </c>
      <c r="D60" s="24">
        <f>CRITERIOS!E48</f>
        <v/>
      </c>
      <c r="E60" s="24">
        <f>IFERROR(IF(AND(OR(CRITERIOS!F48="Todos",CRITERIOS!F48=$B$4),INDEX(CRITERIOS!H48:J48,MATCH($B$5,VARIABLES!$E$2:$E$4,0))=1),1,0),0)</f>
        <v/>
      </c>
      <c r="F60" s="24">
        <f>IFERROR(IF(E60=1,INDEX(CRITERIOS!K48:M48,MATCH($B$5,VARIABLES!$E$2:$E$4,0)),0),0)</f>
        <v/>
      </c>
      <c r="G60" s="24">
        <f>IF(CRITERIOS!N48="","",CRITERIOS!N48)</f>
        <v/>
      </c>
      <c r="H60" s="24">
        <f>IF(CRITERIOS!O48="","",CRITERIOS!O48)</f>
        <v/>
      </c>
      <c r="I60" s="21" t="n"/>
      <c r="J60" s="22">
        <f>IF(OR($E60=0,I$78=0),0,IF(AND(I60="N/A",$G60&lt;&gt;""),0,$F60+SUMPRODUCT(($G$14:$G$71=$A60)*($E$14:$E$71=1)*(I$14:I$71="N/A")*$F$14:$F$71)))</f>
        <v/>
      </c>
      <c r="K60" s="22">
        <f>IF(I60="SI",J60,0)</f>
        <v/>
      </c>
      <c r="L60" s="21" t="n"/>
      <c r="M60" s="22">
        <f>IF(OR($E60=0,L$78=0),0,IF(AND(L60="N/A",$G60&lt;&gt;""),0,$F60+SUMPRODUCT(($G$14:$G$71=$A60)*($E$14:$E$71=1)*(L$14:L$71="N/A")*$F$14:$F$71)))</f>
        <v/>
      </c>
      <c r="N60" s="22">
        <f>IF(L60="SI",M60,0)</f>
        <v/>
      </c>
      <c r="O60" s="21" t="n"/>
      <c r="P60" s="22">
        <f>IF(OR($E60=0,O$78=0),0,IF(AND(O60="N/A",$G60&lt;&gt;""),0,$F60+SUMPRODUCT(($G$14:$G$71=$A60)*($E$14:$E$71=1)*(O$14:O$71="N/A")*$F$14:$F$71)))</f>
        <v/>
      </c>
      <c r="Q60" s="22">
        <f>IF(O60="SI",P60,0)</f>
        <v/>
      </c>
      <c r="R60" s="21" t="n"/>
      <c r="S60" s="22">
        <f>IF(OR($E60=0,R$78=0),0,IF(AND(R60="N/A",$G60&lt;&gt;""),0,$F60+SUMPRODUCT(($G$14:$G$71=$A60)*($E$14:$E$71=1)*(R$14:R$71="N/A")*$F$14:$F$71)))</f>
        <v/>
      </c>
      <c r="T60" s="22">
        <f>IF(R60="SI",S60,0)</f>
        <v/>
      </c>
      <c r="U60" s="21" t="n"/>
      <c r="V60" s="22">
        <f>IF(OR($E60=0,U$78=0),0,IF(AND(U60="N/A",$G60&lt;&gt;""),0,$F60+SUMPRODUCT(($G$14:$G$71=$A60)*($E$14:$E$71=1)*(U$14:U$71="N/A")*$F$14:$F$71)))</f>
        <v/>
      </c>
      <c r="W60" s="22">
        <f>IF(U60="SI",V60,0)</f>
        <v/>
      </c>
      <c r="X60" s="21" t="n"/>
      <c r="Y60" s="22">
        <f>IF(OR($E60=0,X$78=0),0,IF(AND(X60="N/A",$G60&lt;&gt;""),0,$F60+SUMPRODUCT(($G$14:$G$71=$A60)*($E$14:$E$71=1)*(X$14:X$71="N/A")*$F$14:$F$71)))</f>
        <v/>
      </c>
      <c r="Z60" s="22">
        <f>IF(X60="SI",Y60,0)</f>
        <v/>
      </c>
      <c r="AA60" s="22">
        <f>SUM(J60,M60,P60,S60,V60,Y60)</f>
        <v/>
      </c>
      <c r="AB60" s="22">
        <f>SUM(K60,N60,Q60,T60,W60,Z60)</f>
        <v/>
      </c>
      <c r="AC60" s="23">
        <f>IF(AA60=0,"",AB60/AA60)</f>
        <v/>
      </c>
      <c r="AD60" s="22">
        <f>CRITERIOS!Q48</f>
        <v/>
      </c>
      <c r="AE60" s="22">
        <f>IF(AND(E60=1,H60&lt;&gt;"X",((I60="N/A")+(L60="N/A")+(O60="N/A")+(R60="N/A")+(U60="N/A")+(X60="N/A"))&gt;0),"REVISAR","")</f>
        <v/>
      </c>
    </row>
    <row r="61">
      <c r="A61" s="22">
        <f>CRITERIOS!B49</f>
        <v/>
      </c>
      <c r="B61" s="22">
        <f>CRITERIOS!C49</f>
        <v/>
      </c>
      <c r="C61" s="8">
        <f>CRITERIOS!D49</f>
        <v/>
      </c>
      <c r="D61" s="22">
        <f>CRITERIOS!E49</f>
        <v/>
      </c>
      <c r="E61" s="22">
        <f>IFERROR(IF(AND(OR(CRITERIOS!F49="Todos",CRITERIOS!F49=$B$4),INDEX(CRITERIOS!H49:J49,MATCH($B$5,VARIABLES!$E$2:$E$4,0))=1),1,0),0)</f>
        <v/>
      </c>
      <c r="F61" s="22">
        <f>IFERROR(IF(E61=1,INDEX(CRITERIOS!K49:M49,MATCH($B$5,VARIABLES!$E$2:$E$4,0)),0),0)</f>
        <v/>
      </c>
      <c r="G61" s="22">
        <f>IF(CRITERIOS!N49="","",CRITERIOS!N49)</f>
        <v/>
      </c>
      <c r="H61" s="22">
        <f>IF(CRITERIOS!O49="","",CRITERIOS!O49)</f>
        <v/>
      </c>
      <c r="I61" s="21" t="n"/>
      <c r="J61" s="22">
        <f>IF(OR($E61=0,I$78=0),0,IF(AND(I61="N/A",$G61&lt;&gt;""),0,$F61+SUMPRODUCT(($G$14:$G$71=$A61)*($E$14:$E$71=1)*(I$14:I$71="N/A")*$F$14:$F$71)))</f>
        <v/>
      </c>
      <c r="K61" s="22">
        <f>IF(I61="SI",J61,0)</f>
        <v/>
      </c>
      <c r="L61" s="21" t="n"/>
      <c r="M61" s="22">
        <f>IF(OR($E61=0,L$78=0),0,IF(AND(L61="N/A",$G61&lt;&gt;""),0,$F61+SUMPRODUCT(($G$14:$G$71=$A61)*($E$14:$E$71=1)*(L$14:L$71="N/A")*$F$14:$F$71)))</f>
        <v/>
      </c>
      <c r="N61" s="22">
        <f>IF(L61="SI",M61,0)</f>
        <v/>
      </c>
      <c r="O61" s="21" t="n"/>
      <c r="P61" s="22">
        <f>IF(OR($E61=0,O$78=0),0,IF(AND(O61="N/A",$G61&lt;&gt;""),0,$F61+SUMPRODUCT(($G$14:$G$71=$A61)*($E$14:$E$71=1)*(O$14:O$71="N/A")*$F$14:$F$71)))</f>
        <v/>
      </c>
      <c r="Q61" s="22">
        <f>IF(O61="SI",P61,0)</f>
        <v/>
      </c>
      <c r="R61" s="21" t="n"/>
      <c r="S61" s="22">
        <f>IF(OR($E61=0,R$78=0),0,IF(AND(R61="N/A",$G61&lt;&gt;""),0,$F61+SUMPRODUCT(($G$14:$G$71=$A61)*($E$14:$E$71=1)*(R$14:R$71="N/A")*$F$14:$F$71)))</f>
        <v/>
      </c>
      <c r="T61" s="22">
        <f>IF(R61="SI",S61,0)</f>
        <v/>
      </c>
      <c r="U61" s="21" t="n"/>
      <c r="V61" s="22">
        <f>IF(OR($E61=0,U$78=0),0,IF(AND(U61="N/A",$G61&lt;&gt;""),0,$F61+SUMPRODUCT(($G$14:$G$71=$A61)*($E$14:$E$71=1)*(U$14:U$71="N/A")*$F$14:$F$71)))</f>
        <v/>
      </c>
      <c r="W61" s="22">
        <f>IF(U61="SI",V61,0)</f>
        <v/>
      </c>
      <c r="X61" s="21" t="n"/>
      <c r="Y61" s="22">
        <f>IF(OR($E61=0,X$78=0),0,IF(AND(X61="N/A",$G61&lt;&gt;""),0,$F61+SUMPRODUCT(($G$14:$G$71=$A61)*($E$14:$E$71=1)*(X$14:X$71="N/A")*$F$14:$F$71)))</f>
        <v/>
      </c>
      <c r="Z61" s="22">
        <f>IF(X61="SI",Y61,0)</f>
        <v/>
      </c>
      <c r="AA61" s="22">
        <f>SUM(J61,M61,P61,S61,V61,Y61)</f>
        <v/>
      </c>
      <c r="AB61" s="22">
        <f>SUM(K61,N61,Q61,T61,W61,Z61)</f>
        <v/>
      </c>
      <c r="AC61" s="23">
        <f>IF(AA61=0,"",AB61/AA61)</f>
        <v/>
      </c>
      <c r="AD61" s="22">
        <f>CRITERIOS!Q49</f>
        <v/>
      </c>
      <c r="AE61" s="22">
        <f>IF(AND(E61=1,H61&lt;&gt;"X",((I61="N/A")+(L61="N/A")+(O61="N/A")+(R61="N/A")+(U61="N/A")+(X61="N/A"))&gt;0),"REVISAR","")</f>
        <v/>
      </c>
    </row>
    <row r="62">
      <c r="A62" s="24">
        <f>CRITERIOS!B50</f>
        <v/>
      </c>
      <c r="B62" s="24">
        <f>CRITERIOS!C50</f>
        <v/>
      </c>
      <c r="C62" s="25">
        <f>CRITERIOS!D50</f>
        <v/>
      </c>
      <c r="D62" s="24">
        <f>CRITERIOS!E50</f>
        <v/>
      </c>
      <c r="E62" s="24">
        <f>IFERROR(IF(AND(OR(CRITERIOS!F50="Todos",CRITERIOS!F50=$B$4),INDEX(CRITERIOS!H50:J50,MATCH($B$5,VARIABLES!$E$2:$E$4,0))=1),1,0),0)</f>
        <v/>
      </c>
      <c r="F62" s="24">
        <f>IFERROR(IF(E62=1,INDEX(CRITERIOS!K50:M50,MATCH($B$5,VARIABLES!$E$2:$E$4,0)),0),0)</f>
        <v/>
      </c>
      <c r="G62" s="24">
        <f>IF(CRITERIOS!N50="","",CRITERIOS!N50)</f>
        <v/>
      </c>
      <c r="H62" s="24">
        <f>IF(CRITERIOS!O50="","",CRITERIOS!O50)</f>
        <v/>
      </c>
      <c r="I62" s="21" t="n"/>
      <c r="J62" s="22">
        <f>IF(OR($E62=0,I$78=0),0,IF(AND(I62="N/A",$G62&lt;&gt;""),0,$F62+SUMPRODUCT(($G$14:$G$71=$A62)*($E$14:$E$71=1)*(I$14:I$71="N/A")*$F$14:$F$71)))</f>
        <v/>
      </c>
      <c r="K62" s="22">
        <f>IF(I62="SI",J62,0)</f>
        <v/>
      </c>
      <c r="L62" s="21" t="n"/>
      <c r="M62" s="22">
        <f>IF(OR($E62=0,L$78=0),0,IF(AND(L62="N/A",$G62&lt;&gt;""),0,$F62+SUMPRODUCT(($G$14:$G$71=$A62)*($E$14:$E$71=1)*(L$14:L$71="N/A")*$F$14:$F$71)))</f>
        <v/>
      </c>
      <c r="N62" s="22">
        <f>IF(L62="SI",M62,0)</f>
        <v/>
      </c>
      <c r="O62" s="21" t="n"/>
      <c r="P62" s="22">
        <f>IF(OR($E62=0,O$78=0),0,IF(AND(O62="N/A",$G62&lt;&gt;""),0,$F62+SUMPRODUCT(($G$14:$G$71=$A62)*($E$14:$E$71=1)*(O$14:O$71="N/A")*$F$14:$F$71)))</f>
        <v/>
      </c>
      <c r="Q62" s="22">
        <f>IF(O62="SI",P62,0)</f>
        <v/>
      </c>
      <c r="R62" s="21" t="n"/>
      <c r="S62" s="22">
        <f>IF(OR($E62=0,R$78=0),0,IF(AND(R62="N/A",$G62&lt;&gt;""),0,$F62+SUMPRODUCT(($G$14:$G$71=$A62)*($E$14:$E$71=1)*(R$14:R$71="N/A")*$F$14:$F$71)))</f>
        <v/>
      </c>
      <c r="T62" s="22">
        <f>IF(R62="SI",S62,0)</f>
        <v/>
      </c>
      <c r="U62" s="21" t="n"/>
      <c r="V62" s="22">
        <f>IF(OR($E62=0,U$78=0),0,IF(AND(U62="N/A",$G62&lt;&gt;""),0,$F62+SUMPRODUCT(($G$14:$G$71=$A62)*($E$14:$E$71=1)*(U$14:U$71="N/A")*$F$14:$F$71)))</f>
        <v/>
      </c>
      <c r="W62" s="22">
        <f>IF(U62="SI",V62,0)</f>
        <v/>
      </c>
      <c r="X62" s="21" t="n"/>
      <c r="Y62" s="22">
        <f>IF(OR($E62=0,X$78=0),0,IF(AND(X62="N/A",$G62&lt;&gt;""),0,$F62+SUMPRODUCT(($G$14:$G$71=$A62)*($E$14:$E$71=1)*(X$14:X$71="N/A")*$F$14:$F$71)))</f>
        <v/>
      </c>
      <c r="Z62" s="22">
        <f>IF(X62="SI",Y62,0)</f>
        <v/>
      </c>
      <c r="AA62" s="22">
        <f>SUM(J62,M62,P62,S62,V62,Y62)</f>
        <v/>
      </c>
      <c r="AB62" s="22">
        <f>SUM(K62,N62,Q62,T62,W62,Z62)</f>
        <v/>
      </c>
      <c r="AC62" s="23">
        <f>IF(AA62=0,"",AB62/AA62)</f>
        <v/>
      </c>
      <c r="AD62" s="22">
        <f>CRITERIOS!Q50</f>
        <v/>
      </c>
      <c r="AE62" s="22">
        <f>IF(AND(E62=1,H62&lt;&gt;"X",((I62="N/A")+(L62="N/A")+(O62="N/A")+(R62="N/A")+(U62="N/A")+(X62="N/A"))&gt;0),"REVISAR","")</f>
        <v/>
      </c>
    </row>
    <row r="63">
      <c r="A63" s="24">
        <f>CRITERIOS!B51</f>
        <v/>
      </c>
      <c r="B63" s="24">
        <f>CRITERIOS!C51</f>
        <v/>
      </c>
      <c r="C63" s="25">
        <f>CRITERIOS!D51</f>
        <v/>
      </c>
      <c r="D63" s="24">
        <f>CRITERIOS!E51</f>
        <v/>
      </c>
      <c r="E63" s="24">
        <f>IFERROR(IF(AND(OR(CRITERIOS!F51="Todos",CRITERIOS!F51=$B$4),INDEX(CRITERIOS!H51:J51,MATCH($B$5,VARIABLES!$E$2:$E$4,0))=1),1,0),0)</f>
        <v/>
      </c>
      <c r="F63" s="24">
        <f>IFERROR(IF(E63=1,INDEX(CRITERIOS!K51:M51,MATCH($B$5,VARIABLES!$E$2:$E$4,0)),0),0)</f>
        <v/>
      </c>
      <c r="G63" s="24">
        <f>IF(CRITERIOS!N51="","",CRITERIOS!N51)</f>
        <v/>
      </c>
      <c r="H63" s="24">
        <f>IF(CRITERIOS!O51="","",CRITERIOS!O51)</f>
        <v/>
      </c>
      <c r="I63" s="21" t="n"/>
      <c r="J63" s="22">
        <f>IF(OR($E63=0,I$78=0),0,IF(AND(I63="N/A",$G63&lt;&gt;""),0,$F63+SUMPRODUCT(($G$14:$G$71=$A63)*($E$14:$E$71=1)*(I$14:I$71="N/A")*$F$14:$F$71)))</f>
        <v/>
      </c>
      <c r="K63" s="22">
        <f>IF(I63="SI",J63,0)</f>
        <v/>
      </c>
      <c r="L63" s="21" t="n"/>
      <c r="M63" s="22">
        <f>IF(OR($E63=0,L$78=0),0,IF(AND(L63="N/A",$G63&lt;&gt;""),0,$F63+SUMPRODUCT(($G$14:$G$71=$A63)*($E$14:$E$71=1)*(L$14:L$71="N/A")*$F$14:$F$71)))</f>
        <v/>
      </c>
      <c r="N63" s="22">
        <f>IF(L63="SI",M63,0)</f>
        <v/>
      </c>
      <c r="O63" s="21" t="n"/>
      <c r="P63" s="22">
        <f>IF(OR($E63=0,O$78=0),0,IF(AND(O63="N/A",$G63&lt;&gt;""),0,$F63+SUMPRODUCT(($G$14:$G$71=$A63)*($E$14:$E$71=1)*(O$14:O$71="N/A")*$F$14:$F$71)))</f>
        <v/>
      </c>
      <c r="Q63" s="22">
        <f>IF(O63="SI",P63,0)</f>
        <v/>
      </c>
      <c r="R63" s="21" t="n"/>
      <c r="S63" s="22">
        <f>IF(OR($E63=0,R$78=0),0,IF(AND(R63="N/A",$G63&lt;&gt;""),0,$F63+SUMPRODUCT(($G$14:$G$71=$A63)*($E$14:$E$71=1)*(R$14:R$71="N/A")*$F$14:$F$71)))</f>
        <v/>
      </c>
      <c r="T63" s="22">
        <f>IF(R63="SI",S63,0)</f>
        <v/>
      </c>
      <c r="U63" s="21" t="n"/>
      <c r="V63" s="22">
        <f>IF(OR($E63=0,U$78=0),0,IF(AND(U63="N/A",$G63&lt;&gt;""),0,$F63+SUMPRODUCT(($G$14:$G$71=$A63)*($E$14:$E$71=1)*(U$14:U$71="N/A")*$F$14:$F$71)))</f>
        <v/>
      </c>
      <c r="W63" s="22">
        <f>IF(U63="SI",V63,0)</f>
        <v/>
      </c>
      <c r="X63" s="21" t="n"/>
      <c r="Y63" s="22">
        <f>IF(OR($E63=0,X$78=0),0,IF(AND(X63="N/A",$G63&lt;&gt;""),0,$F63+SUMPRODUCT(($G$14:$G$71=$A63)*($E$14:$E$71=1)*(X$14:X$71="N/A")*$F$14:$F$71)))</f>
        <v/>
      </c>
      <c r="Z63" s="22">
        <f>IF(X63="SI",Y63,0)</f>
        <v/>
      </c>
      <c r="AA63" s="22">
        <f>SUM(J63,M63,P63,S63,V63,Y63)</f>
        <v/>
      </c>
      <c r="AB63" s="22">
        <f>SUM(K63,N63,Q63,T63,W63,Z63)</f>
        <v/>
      </c>
      <c r="AC63" s="23">
        <f>IF(AA63=0,"",AB63/AA63)</f>
        <v/>
      </c>
      <c r="AD63" s="22">
        <f>CRITERIOS!Q51</f>
        <v/>
      </c>
      <c r="AE63" s="22">
        <f>IF(AND(E63=1,H63&lt;&gt;"X",((I63="N/A")+(L63="N/A")+(O63="N/A")+(R63="N/A")+(U63="N/A")+(X63="N/A"))&gt;0),"REVISAR","")</f>
        <v/>
      </c>
    </row>
    <row r="64">
      <c r="A64" s="22">
        <f>CRITERIOS!B52</f>
        <v/>
      </c>
      <c r="B64" s="22">
        <f>CRITERIOS!C52</f>
        <v/>
      </c>
      <c r="C64" s="8">
        <f>CRITERIOS!D52</f>
        <v/>
      </c>
      <c r="D64" s="22">
        <f>CRITERIOS!E52</f>
        <v/>
      </c>
      <c r="E64" s="22">
        <f>IFERROR(IF(AND(OR(CRITERIOS!F52="Todos",CRITERIOS!F52=$B$4),INDEX(CRITERIOS!H52:J52,MATCH($B$5,VARIABLES!$E$2:$E$4,0))=1),1,0),0)</f>
        <v/>
      </c>
      <c r="F64" s="22">
        <f>IFERROR(IF(E64=1,INDEX(CRITERIOS!K52:M52,MATCH($B$5,VARIABLES!$E$2:$E$4,0)),0),0)</f>
        <v/>
      </c>
      <c r="G64" s="22">
        <f>IF(CRITERIOS!N52="","",CRITERIOS!N52)</f>
        <v/>
      </c>
      <c r="H64" s="22">
        <f>IF(CRITERIOS!O52="","",CRITERIOS!O52)</f>
        <v/>
      </c>
      <c r="I64" s="21" t="n"/>
      <c r="J64" s="22">
        <f>IF(OR($E64=0,I$78=0),0,IF(AND(I64="N/A",$G64&lt;&gt;""),0,$F64+SUMPRODUCT(($G$14:$G$71=$A64)*($E$14:$E$71=1)*(I$14:I$71="N/A")*$F$14:$F$71)))</f>
        <v/>
      </c>
      <c r="K64" s="22">
        <f>IF(I64="SI",J64,0)</f>
        <v/>
      </c>
      <c r="L64" s="21" t="n"/>
      <c r="M64" s="22">
        <f>IF(OR($E64=0,L$78=0),0,IF(AND(L64="N/A",$G64&lt;&gt;""),0,$F64+SUMPRODUCT(($G$14:$G$71=$A64)*($E$14:$E$71=1)*(L$14:L$71="N/A")*$F$14:$F$71)))</f>
        <v/>
      </c>
      <c r="N64" s="22">
        <f>IF(L64="SI",M64,0)</f>
        <v/>
      </c>
      <c r="O64" s="21" t="n"/>
      <c r="P64" s="22">
        <f>IF(OR($E64=0,O$78=0),0,IF(AND(O64="N/A",$G64&lt;&gt;""),0,$F64+SUMPRODUCT(($G$14:$G$71=$A64)*($E$14:$E$71=1)*(O$14:O$71="N/A")*$F$14:$F$71)))</f>
        <v/>
      </c>
      <c r="Q64" s="22">
        <f>IF(O64="SI",P64,0)</f>
        <v/>
      </c>
      <c r="R64" s="21" t="n"/>
      <c r="S64" s="22">
        <f>IF(OR($E64=0,R$78=0),0,IF(AND(R64="N/A",$G64&lt;&gt;""),0,$F64+SUMPRODUCT(($G$14:$G$71=$A64)*($E$14:$E$71=1)*(R$14:R$71="N/A")*$F$14:$F$71)))</f>
        <v/>
      </c>
      <c r="T64" s="22">
        <f>IF(R64="SI",S64,0)</f>
        <v/>
      </c>
      <c r="U64" s="21" t="n"/>
      <c r="V64" s="22">
        <f>IF(OR($E64=0,U$78=0),0,IF(AND(U64="N/A",$G64&lt;&gt;""),0,$F64+SUMPRODUCT(($G$14:$G$71=$A64)*($E$14:$E$71=1)*(U$14:U$71="N/A")*$F$14:$F$71)))</f>
        <v/>
      </c>
      <c r="W64" s="22">
        <f>IF(U64="SI",V64,0)</f>
        <v/>
      </c>
      <c r="X64" s="21" t="n"/>
      <c r="Y64" s="22">
        <f>IF(OR($E64=0,X$78=0),0,IF(AND(X64="N/A",$G64&lt;&gt;""),0,$F64+SUMPRODUCT(($G$14:$G$71=$A64)*($E$14:$E$71=1)*(X$14:X$71="N/A")*$F$14:$F$71)))</f>
        <v/>
      </c>
      <c r="Z64" s="22">
        <f>IF(X64="SI",Y64,0)</f>
        <v/>
      </c>
      <c r="AA64" s="22">
        <f>SUM(J64,M64,P64,S64,V64,Y64)</f>
        <v/>
      </c>
      <c r="AB64" s="22">
        <f>SUM(K64,N64,Q64,T64,W64,Z64)</f>
        <v/>
      </c>
      <c r="AC64" s="23">
        <f>IF(AA64=0,"",AB64/AA64)</f>
        <v/>
      </c>
      <c r="AD64" s="22">
        <f>CRITERIOS!Q52</f>
        <v/>
      </c>
      <c r="AE64" s="22">
        <f>IF(AND(E64=1,H64&lt;&gt;"X",((I64="N/A")+(L64="N/A")+(O64="N/A")+(R64="N/A")+(U64="N/A")+(X64="N/A"))&gt;0),"REVISAR","")</f>
        <v/>
      </c>
    </row>
    <row r="65">
      <c r="A65" s="24">
        <f>CRITERIOS!B53</f>
        <v/>
      </c>
      <c r="B65" s="24">
        <f>CRITERIOS!C53</f>
        <v/>
      </c>
      <c r="C65" s="25">
        <f>CRITERIOS!D53</f>
        <v/>
      </c>
      <c r="D65" s="24">
        <f>CRITERIOS!E53</f>
        <v/>
      </c>
      <c r="E65" s="24">
        <f>IFERROR(IF(AND(OR(CRITERIOS!F53="Todos",CRITERIOS!F53=$B$4),INDEX(CRITERIOS!H53:J53,MATCH($B$5,VARIABLES!$E$2:$E$4,0))=1),1,0),0)</f>
        <v/>
      </c>
      <c r="F65" s="24">
        <f>IFERROR(IF(E65=1,INDEX(CRITERIOS!K53:M53,MATCH($B$5,VARIABLES!$E$2:$E$4,0)),0),0)</f>
        <v/>
      </c>
      <c r="G65" s="24">
        <f>IF(CRITERIOS!N53="","",CRITERIOS!N53)</f>
        <v/>
      </c>
      <c r="H65" s="24">
        <f>IF(CRITERIOS!O53="","",CRITERIOS!O53)</f>
        <v/>
      </c>
      <c r="I65" s="21" t="n"/>
      <c r="J65" s="22">
        <f>IF(OR($E65=0,I$78=0),0,IF(AND(I65="N/A",$G65&lt;&gt;""),0,$F65+SUMPRODUCT(($G$14:$G$71=$A65)*($E$14:$E$71=1)*(I$14:I$71="N/A")*$F$14:$F$71)))</f>
        <v/>
      </c>
      <c r="K65" s="22">
        <f>IF(I65="SI",J65,0)</f>
        <v/>
      </c>
      <c r="L65" s="21" t="n"/>
      <c r="M65" s="22">
        <f>IF(OR($E65=0,L$78=0),0,IF(AND(L65="N/A",$G65&lt;&gt;""),0,$F65+SUMPRODUCT(($G$14:$G$71=$A65)*($E$14:$E$71=1)*(L$14:L$71="N/A")*$F$14:$F$71)))</f>
        <v/>
      </c>
      <c r="N65" s="22">
        <f>IF(L65="SI",M65,0)</f>
        <v/>
      </c>
      <c r="O65" s="21" t="n"/>
      <c r="P65" s="22">
        <f>IF(OR($E65=0,O$78=0),0,IF(AND(O65="N/A",$G65&lt;&gt;""),0,$F65+SUMPRODUCT(($G$14:$G$71=$A65)*($E$14:$E$71=1)*(O$14:O$71="N/A")*$F$14:$F$71)))</f>
        <v/>
      </c>
      <c r="Q65" s="22">
        <f>IF(O65="SI",P65,0)</f>
        <v/>
      </c>
      <c r="R65" s="21" t="n"/>
      <c r="S65" s="22">
        <f>IF(OR($E65=0,R$78=0),0,IF(AND(R65="N/A",$G65&lt;&gt;""),0,$F65+SUMPRODUCT(($G$14:$G$71=$A65)*($E$14:$E$71=1)*(R$14:R$71="N/A")*$F$14:$F$71)))</f>
        <v/>
      </c>
      <c r="T65" s="22">
        <f>IF(R65="SI",S65,0)</f>
        <v/>
      </c>
      <c r="U65" s="21" t="n"/>
      <c r="V65" s="22">
        <f>IF(OR($E65=0,U$78=0),0,IF(AND(U65="N/A",$G65&lt;&gt;""),0,$F65+SUMPRODUCT(($G$14:$G$71=$A65)*($E$14:$E$71=1)*(U$14:U$71="N/A")*$F$14:$F$71)))</f>
        <v/>
      </c>
      <c r="W65" s="22">
        <f>IF(U65="SI",V65,0)</f>
        <v/>
      </c>
      <c r="X65" s="21" t="n"/>
      <c r="Y65" s="22">
        <f>IF(OR($E65=0,X$78=0),0,IF(AND(X65="N/A",$G65&lt;&gt;""),0,$F65+SUMPRODUCT(($G$14:$G$71=$A65)*($E$14:$E$71=1)*(X$14:X$71="N/A")*$F$14:$F$71)))</f>
        <v/>
      </c>
      <c r="Z65" s="22">
        <f>IF(X65="SI",Y65,0)</f>
        <v/>
      </c>
      <c r="AA65" s="22">
        <f>SUM(J65,M65,P65,S65,V65,Y65)</f>
        <v/>
      </c>
      <c r="AB65" s="22">
        <f>SUM(K65,N65,Q65,T65,W65,Z65)</f>
        <v/>
      </c>
      <c r="AC65" s="23">
        <f>IF(AA65=0,"",AB65/AA65)</f>
        <v/>
      </c>
      <c r="AD65" s="22">
        <f>CRITERIOS!Q53</f>
        <v/>
      </c>
      <c r="AE65" s="22">
        <f>IF(AND(E65=1,H65&lt;&gt;"X",((I65="N/A")+(L65="N/A")+(O65="N/A")+(R65="N/A")+(U65="N/A")+(X65="N/A"))&gt;0),"REVISAR","")</f>
        <v/>
      </c>
    </row>
    <row r="66">
      <c r="A66" s="24">
        <f>CRITERIOS!B54</f>
        <v/>
      </c>
      <c r="B66" s="24">
        <f>CRITERIOS!C54</f>
        <v/>
      </c>
      <c r="C66" s="25">
        <f>CRITERIOS!D54</f>
        <v/>
      </c>
      <c r="D66" s="24">
        <f>CRITERIOS!E54</f>
        <v/>
      </c>
      <c r="E66" s="24">
        <f>IFERROR(IF(AND(OR(CRITERIOS!F54="Todos",CRITERIOS!F54=$B$4),INDEX(CRITERIOS!H54:J54,MATCH($B$5,VARIABLES!$E$2:$E$4,0))=1),1,0),0)</f>
        <v/>
      </c>
      <c r="F66" s="24">
        <f>IFERROR(IF(E66=1,INDEX(CRITERIOS!K54:M54,MATCH($B$5,VARIABLES!$E$2:$E$4,0)),0),0)</f>
        <v/>
      </c>
      <c r="G66" s="24">
        <f>IF(CRITERIOS!N54="","",CRITERIOS!N54)</f>
        <v/>
      </c>
      <c r="H66" s="24">
        <f>IF(CRITERIOS!O54="","",CRITERIOS!O54)</f>
        <v/>
      </c>
      <c r="I66" s="21" t="n"/>
      <c r="J66" s="22">
        <f>IF(OR($E66=0,I$78=0),0,IF(AND(I66="N/A",$G66&lt;&gt;""),0,$F66+SUMPRODUCT(($G$14:$G$71=$A66)*($E$14:$E$71=1)*(I$14:I$71="N/A")*$F$14:$F$71)))</f>
        <v/>
      </c>
      <c r="K66" s="22">
        <f>IF(I66="SI",J66,0)</f>
        <v/>
      </c>
      <c r="L66" s="21" t="n"/>
      <c r="M66" s="22">
        <f>IF(OR($E66=0,L$78=0),0,IF(AND(L66="N/A",$G66&lt;&gt;""),0,$F66+SUMPRODUCT(($G$14:$G$71=$A66)*($E$14:$E$71=1)*(L$14:L$71="N/A")*$F$14:$F$71)))</f>
        <v/>
      </c>
      <c r="N66" s="22">
        <f>IF(L66="SI",M66,0)</f>
        <v/>
      </c>
      <c r="O66" s="21" t="n"/>
      <c r="P66" s="22">
        <f>IF(OR($E66=0,O$78=0),0,IF(AND(O66="N/A",$G66&lt;&gt;""),0,$F66+SUMPRODUCT(($G$14:$G$71=$A66)*($E$14:$E$71=1)*(O$14:O$71="N/A")*$F$14:$F$71)))</f>
        <v/>
      </c>
      <c r="Q66" s="22">
        <f>IF(O66="SI",P66,0)</f>
        <v/>
      </c>
      <c r="R66" s="21" t="n"/>
      <c r="S66" s="22">
        <f>IF(OR($E66=0,R$78=0),0,IF(AND(R66="N/A",$G66&lt;&gt;""),0,$F66+SUMPRODUCT(($G$14:$G$71=$A66)*($E$14:$E$71=1)*(R$14:R$71="N/A")*$F$14:$F$71)))</f>
        <v/>
      </c>
      <c r="T66" s="22">
        <f>IF(R66="SI",S66,0)</f>
        <v/>
      </c>
      <c r="U66" s="21" t="n"/>
      <c r="V66" s="22">
        <f>IF(OR($E66=0,U$78=0),0,IF(AND(U66="N/A",$G66&lt;&gt;""),0,$F66+SUMPRODUCT(($G$14:$G$71=$A66)*($E$14:$E$71=1)*(U$14:U$71="N/A")*$F$14:$F$71)))</f>
        <v/>
      </c>
      <c r="W66" s="22">
        <f>IF(U66="SI",V66,0)</f>
        <v/>
      </c>
      <c r="X66" s="21" t="n"/>
      <c r="Y66" s="22">
        <f>IF(OR($E66=0,X$78=0),0,IF(AND(X66="N/A",$G66&lt;&gt;""),0,$F66+SUMPRODUCT(($G$14:$G$71=$A66)*($E$14:$E$71=1)*(X$14:X$71="N/A")*$F$14:$F$71)))</f>
        <v/>
      </c>
      <c r="Z66" s="22">
        <f>IF(X66="SI",Y66,0)</f>
        <v/>
      </c>
      <c r="AA66" s="22">
        <f>SUM(J66,M66,P66,S66,V66,Y66)</f>
        <v/>
      </c>
      <c r="AB66" s="22">
        <f>SUM(K66,N66,Q66,T66,W66,Z66)</f>
        <v/>
      </c>
      <c r="AC66" s="23">
        <f>IF(AA66=0,"",AB66/AA66)</f>
        <v/>
      </c>
      <c r="AD66" s="22">
        <f>CRITERIOS!Q54</f>
        <v/>
      </c>
      <c r="AE66" s="22">
        <f>IF(AND(E66=1,H66&lt;&gt;"X",((I66="N/A")+(L66="N/A")+(O66="N/A")+(R66="N/A")+(U66="N/A")+(X66="N/A"))&gt;0),"REVISAR","")</f>
        <v/>
      </c>
    </row>
    <row r="67">
      <c r="A67" s="24">
        <f>CRITERIOS!B55</f>
        <v/>
      </c>
      <c r="B67" s="24">
        <f>CRITERIOS!C55</f>
        <v/>
      </c>
      <c r="C67" s="25">
        <f>CRITERIOS!D55</f>
        <v/>
      </c>
      <c r="D67" s="24">
        <f>CRITERIOS!E55</f>
        <v/>
      </c>
      <c r="E67" s="24">
        <f>IFERROR(IF(AND(OR(CRITERIOS!F55="Todos",CRITERIOS!F55=$B$4),INDEX(CRITERIOS!H55:J55,MATCH($B$5,VARIABLES!$E$2:$E$4,0))=1),1,0),0)</f>
        <v/>
      </c>
      <c r="F67" s="24">
        <f>IFERROR(IF(E67=1,INDEX(CRITERIOS!K55:M55,MATCH($B$5,VARIABLES!$E$2:$E$4,0)),0),0)</f>
        <v/>
      </c>
      <c r="G67" s="24">
        <f>IF(CRITERIOS!N55="","",CRITERIOS!N55)</f>
        <v/>
      </c>
      <c r="H67" s="24">
        <f>IF(CRITERIOS!O55="","",CRITERIOS!O55)</f>
        <v/>
      </c>
      <c r="I67" s="21" t="n"/>
      <c r="J67" s="22">
        <f>IF(OR($E67=0,I$78=0),0,IF(AND(I67="N/A",$G67&lt;&gt;""),0,$F67+SUMPRODUCT(($G$14:$G$71=$A67)*($E$14:$E$71=1)*(I$14:I$71="N/A")*$F$14:$F$71)))</f>
        <v/>
      </c>
      <c r="K67" s="22">
        <f>IF(I67="SI",J67,0)</f>
        <v/>
      </c>
      <c r="L67" s="21" t="n"/>
      <c r="M67" s="22">
        <f>IF(OR($E67=0,L$78=0),0,IF(AND(L67="N/A",$G67&lt;&gt;""),0,$F67+SUMPRODUCT(($G$14:$G$71=$A67)*($E$14:$E$71=1)*(L$14:L$71="N/A")*$F$14:$F$71)))</f>
        <v/>
      </c>
      <c r="N67" s="22">
        <f>IF(L67="SI",M67,0)</f>
        <v/>
      </c>
      <c r="O67" s="21" t="n"/>
      <c r="P67" s="22">
        <f>IF(OR($E67=0,O$78=0),0,IF(AND(O67="N/A",$G67&lt;&gt;""),0,$F67+SUMPRODUCT(($G$14:$G$71=$A67)*($E$14:$E$71=1)*(O$14:O$71="N/A")*$F$14:$F$71)))</f>
        <v/>
      </c>
      <c r="Q67" s="22">
        <f>IF(O67="SI",P67,0)</f>
        <v/>
      </c>
      <c r="R67" s="21" t="n"/>
      <c r="S67" s="22">
        <f>IF(OR($E67=0,R$78=0),0,IF(AND(R67="N/A",$G67&lt;&gt;""),0,$F67+SUMPRODUCT(($G$14:$G$71=$A67)*($E$14:$E$71=1)*(R$14:R$71="N/A")*$F$14:$F$71)))</f>
        <v/>
      </c>
      <c r="T67" s="22">
        <f>IF(R67="SI",S67,0)</f>
        <v/>
      </c>
      <c r="U67" s="21" t="n"/>
      <c r="V67" s="22">
        <f>IF(OR($E67=0,U$78=0),0,IF(AND(U67="N/A",$G67&lt;&gt;""),0,$F67+SUMPRODUCT(($G$14:$G$71=$A67)*($E$14:$E$71=1)*(U$14:U$71="N/A")*$F$14:$F$71)))</f>
        <v/>
      </c>
      <c r="W67" s="22">
        <f>IF(U67="SI",V67,0)</f>
        <v/>
      </c>
      <c r="X67" s="21" t="n"/>
      <c r="Y67" s="22">
        <f>IF(OR($E67=0,X$78=0),0,IF(AND(X67="N/A",$G67&lt;&gt;""),0,$F67+SUMPRODUCT(($G$14:$G$71=$A67)*($E$14:$E$71=1)*(X$14:X$71="N/A")*$F$14:$F$71)))</f>
        <v/>
      </c>
      <c r="Z67" s="22">
        <f>IF(X67="SI",Y67,0)</f>
        <v/>
      </c>
      <c r="AA67" s="22">
        <f>SUM(J67,M67,P67,S67,V67,Y67)</f>
        <v/>
      </c>
      <c r="AB67" s="22">
        <f>SUM(K67,N67,Q67,T67,W67,Z67)</f>
        <v/>
      </c>
      <c r="AC67" s="23">
        <f>IF(AA67=0,"",AB67/AA67)</f>
        <v/>
      </c>
      <c r="AD67" s="22">
        <f>CRITERIOS!Q55</f>
        <v/>
      </c>
      <c r="AE67" s="22">
        <f>IF(AND(E67=1,H67&lt;&gt;"X",((I67="N/A")+(L67="N/A")+(O67="N/A")+(R67="N/A")+(U67="N/A")+(X67="N/A"))&gt;0),"REVISAR","")</f>
        <v/>
      </c>
    </row>
    <row r="68">
      <c r="A68" s="24">
        <f>CRITERIOS!B56</f>
        <v/>
      </c>
      <c r="B68" s="24">
        <f>CRITERIOS!C56</f>
        <v/>
      </c>
      <c r="C68" s="25">
        <f>CRITERIOS!D56</f>
        <v/>
      </c>
      <c r="D68" s="24">
        <f>CRITERIOS!E56</f>
        <v/>
      </c>
      <c r="E68" s="24">
        <f>IFERROR(IF(AND(OR(CRITERIOS!F56="Todos",CRITERIOS!F56=$B$4),INDEX(CRITERIOS!H56:J56,MATCH($B$5,VARIABLES!$E$2:$E$4,0))=1),1,0),0)</f>
        <v/>
      </c>
      <c r="F68" s="24">
        <f>IFERROR(IF(E68=1,INDEX(CRITERIOS!K56:M56,MATCH($B$5,VARIABLES!$E$2:$E$4,0)),0),0)</f>
        <v/>
      </c>
      <c r="G68" s="24">
        <f>IF(CRITERIOS!N56="","",CRITERIOS!N56)</f>
        <v/>
      </c>
      <c r="H68" s="24">
        <f>IF(CRITERIOS!O56="","",CRITERIOS!O56)</f>
        <v/>
      </c>
      <c r="I68" s="21" t="n"/>
      <c r="J68" s="22">
        <f>IF(OR($E68=0,I$78=0),0,IF(AND(I68="N/A",$G68&lt;&gt;""),0,$F68+SUMPRODUCT(($G$14:$G$71=$A68)*($E$14:$E$71=1)*(I$14:I$71="N/A")*$F$14:$F$71)))</f>
        <v/>
      </c>
      <c r="K68" s="22">
        <f>IF(I68="SI",J68,0)</f>
        <v/>
      </c>
      <c r="L68" s="21" t="n"/>
      <c r="M68" s="22">
        <f>IF(OR($E68=0,L$78=0),0,IF(AND(L68="N/A",$G68&lt;&gt;""),0,$F68+SUMPRODUCT(($G$14:$G$71=$A68)*($E$14:$E$71=1)*(L$14:L$71="N/A")*$F$14:$F$71)))</f>
        <v/>
      </c>
      <c r="N68" s="22">
        <f>IF(L68="SI",M68,0)</f>
        <v/>
      </c>
      <c r="O68" s="21" t="n"/>
      <c r="P68" s="22">
        <f>IF(OR($E68=0,O$78=0),0,IF(AND(O68="N/A",$G68&lt;&gt;""),0,$F68+SUMPRODUCT(($G$14:$G$71=$A68)*($E$14:$E$71=1)*(O$14:O$71="N/A")*$F$14:$F$71)))</f>
        <v/>
      </c>
      <c r="Q68" s="22">
        <f>IF(O68="SI",P68,0)</f>
        <v/>
      </c>
      <c r="R68" s="21" t="n"/>
      <c r="S68" s="22">
        <f>IF(OR($E68=0,R$78=0),0,IF(AND(R68="N/A",$G68&lt;&gt;""),0,$F68+SUMPRODUCT(($G$14:$G$71=$A68)*($E$14:$E$71=1)*(R$14:R$71="N/A")*$F$14:$F$71)))</f>
        <v/>
      </c>
      <c r="T68" s="22">
        <f>IF(R68="SI",S68,0)</f>
        <v/>
      </c>
      <c r="U68" s="21" t="n"/>
      <c r="V68" s="22">
        <f>IF(OR($E68=0,U$78=0),0,IF(AND(U68="N/A",$G68&lt;&gt;""),0,$F68+SUMPRODUCT(($G$14:$G$71=$A68)*($E$14:$E$71=1)*(U$14:U$71="N/A")*$F$14:$F$71)))</f>
        <v/>
      </c>
      <c r="W68" s="22">
        <f>IF(U68="SI",V68,0)</f>
        <v/>
      </c>
      <c r="X68" s="21" t="n"/>
      <c r="Y68" s="22">
        <f>IF(OR($E68=0,X$78=0),0,IF(AND(X68="N/A",$G68&lt;&gt;""),0,$F68+SUMPRODUCT(($G$14:$G$71=$A68)*($E$14:$E$71=1)*(X$14:X$71="N/A")*$F$14:$F$71)))</f>
        <v/>
      </c>
      <c r="Z68" s="22">
        <f>IF(X68="SI",Y68,0)</f>
        <v/>
      </c>
      <c r="AA68" s="22">
        <f>SUM(J68,M68,P68,S68,V68,Y68)</f>
        <v/>
      </c>
      <c r="AB68" s="22">
        <f>SUM(K68,N68,Q68,T68,W68,Z68)</f>
        <v/>
      </c>
      <c r="AC68" s="23">
        <f>IF(AA68=0,"",AB68/AA68)</f>
        <v/>
      </c>
      <c r="AD68" s="22">
        <f>CRITERIOS!Q56</f>
        <v/>
      </c>
      <c r="AE68" s="22">
        <f>IF(AND(E68=1,H68&lt;&gt;"X",((I68="N/A")+(L68="N/A")+(O68="N/A")+(R68="N/A")+(U68="N/A")+(X68="N/A"))&gt;0),"REVISAR","")</f>
        <v/>
      </c>
    </row>
    <row r="69">
      <c r="A69" s="22">
        <f>CRITERIOS!B57</f>
        <v/>
      </c>
      <c r="B69" s="22">
        <f>CRITERIOS!C57</f>
        <v/>
      </c>
      <c r="C69" s="8">
        <f>CRITERIOS!D57</f>
        <v/>
      </c>
      <c r="D69" s="22">
        <f>CRITERIOS!E57</f>
        <v/>
      </c>
      <c r="E69" s="22">
        <f>IFERROR(IF(AND(OR(CRITERIOS!F57="Todos",CRITERIOS!F57=$B$4),INDEX(CRITERIOS!H57:J57,MATCH($B$5,VARIABLES!$E$2:$E$4,0))=1),1,0),0)</f>
        <v/>
      </c>
      <c r="F69" s="22">
        <f>IFERROR(IF(E69=1,INDEX(CRITERIOS!K57:M57,MATCH($B$5,VARIABLES!$E$2:$E$4,0)),0),0)</f>
        <v/>
      </c>
      <c r="G69" s="22">
        <f>IF(CRITERIOS!N57="","",CRITERIOS!N57)</f>
        <v/>
      </c>
      <c r="H69" s="22">
        <f>IF(CRITERIOS!O57="","",CRITERIOS!O57)</f>
        <v/>
      </c>
      <c r="I69" s="21" t="n"/>
      <c r="J69" s="22">
        <f>IF(OR($E69=0,I$78=0),0,IF(AND(I69="N/A",$G69&lt;&gt;""),0,$F69+SUMPRODUCT(($G$14:$G$71=$A69)*($E$14:$E$71=1)*(I$14:I$71="N/A")*$F$14:$F$71)))</f>
        <v/>
      </c>
      <c r="K69" s="22">
        <f>IF(I69="SI",J69,0)</f>
        <v/>
      </c>
      <c r="L69" s="21" t="n"/>
      <c r="M69" s="22">
        <f>IF(OR($E69=0,L$78=0),0,IF(AND(L69="N/A",$G69&lt;&gt;""),0,$F69+SUMPRODUCT(($G$14:$G$71=$A69)*($E$14:$E$71=1)*(L$14:L$71="N/A")*$F$14:$F$71)))</f>
        <v/>
      </c>
      <c r="N69" s="22">
        <f>IF(L69="SI",M69,0)</f>
        <v/>
      </c>
      <c r="O69" s="21" t="n"/>
      <c r="P69" s="22">
        <f>IF(OR($E69=0,O$78=0),0,IF(AND(O69="N/A",$G69&lt;&gt;""),0,$F69+SUMPRODUCT(($G$14:$G$71=$A69)*($E$14:$E$71=1)*(O$14:O$71="N/A")*$F$14:$F$71)))</f>
        <v/>
      </c>
      <c r="Q69" s="22">
        <f>IF(O69="SI",P69,0)</f>
        <v/>
      </c>
      <c r="R69" s="21" t="n"/>
      <c r="S69" s="22">
        <f>IF(OR($E69=0,R$78=0),0,IF(AND(R69="N/A",$G69&lt;&gt;""),0,$F69+SUMPRODUCT(($G$14:$G$71=$A69)*($E$14:$E$71=1)*(R$14:R$71="N/A")*$F$14:$F$71)))</f>
        <v/>
      </c>
      <c r="T69" s="22">
        <f>IF(R69="SI",S69,0)</f>
        <v/>
      </c>
      <c r="U69" s="21" t="n"/>
      <c r="V69" s="22">
        <f>IF(OR($E69=0,U$78=0),0,IF(AND(U69="N/A",$G69&lt;&gt;""),0,$F69+SUMPRODUCT(($G$14:$G$71=$A69)*($E$14:$E$71=1)*(U$14:U$71="N/A")*$F$14:$F$71)))</f>
        <v/>
      </c>
      <c r="W69" s="22">
        <f>IF(U69="SI",V69,0)</f>
        <v/>
      </c>
      <c r="X69" s="21" t="n"/>
      <c r="Y69" s="22">
        <f>IF(OR($E69=0,X$78=0),0,IF(AND(X69="N/A",$G69&lt;&gt;""),0,$F69+SUMPRODUCT(($G$14:$G$71=$A69)*($E$14:$E$71=1)*(X$14:X$71="N/A")*$F$14:$F$71)))</f>
        <v/>
      </c>
      <c r="Z69" s="22">
        <f>IF(X69="SI",Y69,0)</f>
        <v/>
      </c>
      <c r="AA69" s="22">
        <f>SUM(J69,M69,P69,S69,V69,Y69)</f>
        <v/>
      </c>
      <c r="AB69" s="22">
        <f>SUM(K69,N69,Q69,T69,W69,Z69)</f>
        <v/>
      </c>
      <c r="AC69" s="23">
        <f>IF(AA69=0,"",AB69/AA69)</f>
        <v/>
      </c>
      <c r="AD69" s="22">
        <f>CRITERIOS!Q57</f>
        <v/>
      </c>
      <c r="AE69" s="22">
        <f>IF(AND(E69=1,H69&lt;&gt;"X",((I69="N/A")+(L69="N/A")+(O69="N/A")+(R69="N/A")+(U69="N/A")+(X69="N/A"))&gt;0),"REVISAR","")</f>
        <v/>
      </c>
    </row>
    <row r="70">
      <c r="A70" s="22">
        <f>CRITERIOS!B58</f>
        <v/>
      </c>
      <c r="B70" s="22">
        <f>CRITERIOS!C58</f>
        <v/>
      </c>
      <c r="C70" s="8">
        <f>CRITERIOS!D58</f>
        <v/>
      </c>
      <c r="D70" s="22">
        <f>CRITERIOS!E58</f>
        <v/>
      </c>
      <c r="E70" s="22">
        <f>IFERROR(IF(AND(OR(CRITERIOS!F58="Todos",CRITERIOS!F58=$B$4),INDEX(CRITERIOS!H58:J58,MATCH($B$5,VARIABLES!$E$2:$E$4,0))=1),1,0),0)</f>
        <v/>
      </c>
      <c r="F70" s="22">
        <f>IFERROR(IF(E70=1,INDEX(CRITERIOS!K58:M58,MATCH($B$5,VARIABLES!$E$2:$E$4,0)),0),0)</f>
        <v/>
      </c>
      <c r="G70" s="22">
        <f>IF(CRITERIOS!N58="","",CRITERIOS!N58)</f>
        <v/>
      </c>
      <c r="H70" s="22">
        <f>IF(CRITERIOS!O58="","",CRITERIOS!O58)</f>
        <v/>
      </c>
      <c r="I70" s="21" t="n"/>
      <c r="J70" s="22">
        <f>IF(OR($E70=0,I$78=0),0,IF(AND(I70="N/A",$G70&lt;&gt;""),0,$F70+SUMPRODUCT(($G$14:$G$71=$A70)*($E$14:$E$71=1)*(I$14:I$71="N/A")*$F$14:$F$71)))</f>
        <v/>
      </c>
      <c r="K70" s="22">
        <f>IF(I70="SI",J70,0)</f>
        <v/>
      </c>
      <c r="L70" s="21" t="n"/>
      <c r="M70" s="22">
        <f>IF(OR($E70=0,L$78=0),0,IF(AND(L70="N/A",$G70&lt;&gt;""),0,$F70+SUMPRODUCT(($G$14:$G$71=$A70)*($E$14:$E$71=1)*(L$14:L$71="N/A")*$F$14:$F$71)))</f>
        <v/>
      </c>
      <c r="N70" s="22">
        <f>IF(L70="SI",M70,0)</f>
        <v/>
      </c>
      <c r="O70" s="21" t="n"/>
      <c r="P70" s="22">
        <f>IF(OR($E70=0,O$78=0),0,IF(AND(O70="N/A",$G70&lt;&gt;""),0,$F70+SUMPRODUCT(($G$14:$G$71=$A70)*($E$14:$E$71=1)*(O$14:O$71="N/A")*$F$14:$F$71)))</f>
        <v/>
      </c>
      <c r="Q70" s="22">
        <f>IF(O70="SI",P70,0)</f>
        <v/>
      </c>
      <c r="R70" s="21" t="n"/>
      <c r="S70" s="22">
        <f>IF(OR($E70=0,R$78=0),0,IF(AND(R70="N/A",$G70&lt;&gt;""),0,$F70+SUMPRODUCT(($G$14:$G$71=$A70)*($E$14:$E$71=1)*(R$14:R$71="N/A")*$F$14:$F$71)))</f>
        <v/>
      </c>
      <c r="T70" s="22">
        <f>IF(R70="SI",S70,0)</f>
        <v/>
      </c>
      <c r="U70" s="21" t="n"/>
      <c r="V70" s="22">
        <f>IF(OR($E70=0,U$78=0),0,IF(AND(U70="N/A",$G70&lt;&gt;""),0,$F70+SUMPRODUCT(($G$14:$G$71=$A70)*($E$14:$E$71=1)*(U$14:U$71="N/A")*$F$14:$F$71)))</f>
        <v/>
      </c>
      <c r="W70" s="22">
        <f>IF(U70="SI",V70,0)</f>
        <v/>
      </c>
      <c r="X70" s="21" t="n"/>
      <c r="Y70" s="22">
        <f>IF(OR($E70=0,X$78=0),0,IF(AND(X70="N/A",$G70&lt;&gt;""),0,$F70+SUMPRODUCT(($G$14:$G$71=$A70)*($E$14:$E$71=1)*(X$14:X$71="N/A")*$F$14:$F$71)))</f>
        <v/>
      </c>
      <c r="Z70" s="22">
        <f>IF(X70="SI",Y70,0)</f>
        <v/>
      </c>
      <c r="AA70" s="22">
        <f>SUM(J70,M70,P70,S70,V70,Y70)</f>
        <v/>
      </c>
      <c r="AB70" s="22">
        <f>SUM(K70,N70,Q70,T70,W70,Z70)</f>
        <v/>
      </c>
      <c r="AC70" s="23">
        <f>IF(AA70=0,"",AB70/AA70)</f>
        <v/>
      </c>
      <c r="AD70" s="22">
        <f>CRITERIOS!Q58</f>
        <v/>
      </c>
      <c r="AE70" s="22">
        <f>IF(AND(E70=1,H70&lt;&gt;"X",((I70="N/A")+(L70="N/A")+(O70="N/A")+(R70="N/A")+(U70="N/A")+(X70="N/A"))&gt;0),"REVISAR","")</f>
        <v/>
      </c>
    </row>
    <row r="71">
      <c r="A71" s="24">
        <f>CRITERIOS!B59</f>
        <v/>
      </c>
      <c r="B71" s="24">
        <f>CRITERIOS!C59</f>
        <v/>
      </c>
      <c r="C71" s="25">
        <f>CRITERIOS!D59</f>
        <v/>
      </c>
      <c r="D71" s="24">
        <f>CRITERIOS!E59</f>
        <v/>
      </c>
      <c r="E71" s="24">
        <f>IFERROR(IF(AND(OR(CRITERIOS!F59="Todos",CRITERIOS!F59=$B$4),INDEX(CRITERIOS!H59:J59,MATCH($B$5,VARIABLES!$E$2:$E$4,0))=1),1,0),0)</f>
        <v/>
      </c>
      <c r="F71" s="24">
        <f>IFERROR(IF(E71=1,INDEX(CRITERIOS!K59:M59,MATCH($B$5,VARIABLES!$E$2:$E$4,0)),0),0)</f>
        <v/>
      </c>
      <c r="G71" s="24">
        <f>IF(CRITERIOS!N59="","",CRITERIOS!N59)</f>
        <v/>
      </c>
      <c r="H71" s="24">
        <f>IF(CRITERIOS!O59="","",CRITERIOS!O59)</f>
        <v/>
      </c>
      <c r="I71" s="21" t="n"/>
      <c r="J71" s="22">
        <f>IF(OR($E71=0,I$78=0),0,IF(AND(I71="N/A",$G71&lt;&gt;""),0,$F71+SUMPRODUCT(($G$14:$G$71=$A71)*($E$14:$E$71=1)*(I$14:I$71="N/A")*$F$14:$F$71)))</f>
        <v/>
      </c>
      <c r="K71" s="22">
        <f>IF(I71="SI",J71,0)</f>
        <v/>
      </c>
      <c r="L71" s="21" t="n"/>
      <c r="M71" s="22">
        <f>IF(OR($E71=0,L$78=0),0,IF(AND(L71="N/A",$G71&lt;&gt;""),0,$F71+SUMPRODUCT(($G$14:$G$71=$A71)*($E$14:$E$71=1)*(L$14:L$71="N/A")*$F$14:$F$71)))</f>
        <v/>
      </c>
      <c r="N71" s="22">
        <f>IF(L71="SI",M71,0)</f>
        <v/>
      </c>
      <c r="O71" s="21" t="n"/>
      <c r="P71" s="22">
        <f>IF(OR($E71=0,O$78=0),0,IF(AND(O71="N/A",$G71&lt;&gt;""),0,$F71+SUMPRODUCT(($G$14:$G$71=$A71)*($E$14:$E$71=1)*(O$14:O$71="N/A")*$F$14:$F$71)))</f>
        <v/>
      </c>
      <c r="Q71" s="22">
        <f>IF(O71="SI",P71,0)</f>
        <v/>
      </c>
      <c r="R71" s="21" t="n"/>
      <c r="S71" s="22">
        <f>IF(OR($E71=0,R$78=0),0,IF(AND(R71="N/A",$G71&lt;&gt;""),0,$F71+SUMPRODUCT(($G$14:$G$71=$A71)*($E$14:$E$71=1)*(R$14:R$71="N/A")*$F$14:$F$71)))</f>
        <v/>
      </c>
      <c r="T71" s="22">
        <f>IF(R71="SI",S71,0)</f>
        <v/>
      </c>
      <c r="U71" s="21" t="n"/>
      <c r="V71" s="22">
        <f>IF(OR($E71=0,U$78=0),0,IF(AND(U71="N/A",$G71&lt;&gt;""),0,$F71+SUMPRODUCT(($G$14:$G$71=$A71)*($E$14:$E$71=1)*(U$14:U$71="N/A")*$F$14:$F$71)))</f>
        <v/>
      </c>
      <c r="W71" s="22">
        <f>IF(U71="SI",V71,0)</f>
        <v/>
      </c>
      <c r="X71" s="21" t="n"/>
      <c r="Y71" s="22">
        <f>IF(OR($E71=0,X$78=0),0,IF(AND(X71="N/A",$G71&lt;&gt;""),0,$F71+SUMPRODUCT(($G$14:$G$71=$A71)*($E$14:$E$71=1)*(X$14:X$71="N/A")*$F$14:$F$71)))</f>
        <v/>
      </c>
      <c r="Z71" s="22">
        <f>IF(X71="SI",Y71,0)</f>
        <v/>
      </c>
      <c r="AA71" s="22">
        <f>SUM(J71,M71,P71,S71,V71,Y71)</f>
        <v/>
      </c>
      <c r="AB71" s="22">
        <f>SUM(K71,N71,Q71,T71,W71,Z71)</f>
        <v/>
      </c>
      <c r="AC71" s="23">
        <f>IF(AA71=0,"",AB71/AA71)</f>
        <v/>
      </c>
      <c r="AD71" s="22">
        <f>CRITERIOS!Q59</f>
        <v/>
      </c>
      <c r="AE71" s="22">
        <f>IF(AND(E71=1,H71&lt;&gt;"X",((I71="N/A")+(L71="N/A")+(O71="N/A")+(R71="N/A")+(U71="N/A")+(X71="N/A"))&gt;0),"REVISAR","")</f>
        <v/>
      </c>
    </row>
    <row r="73">
      <c r="C73" s="4" t="inlineStr">
        <is>
          <t>Puntaje de la conversación (/100)</t>
        </is>
      </c>
      <c r="K73" s="26">
        <f>IF(I78=1,SUM(K14:K71),"")</f>
        <v/>
      </c>
      <c r="N73" s="26">
        <f>IF(L78=1,SUM(N14:N71),"")</f>
        <v/>
      </c>
      <c r="Q73" s="26">
        <f>IF(O78=1,SUM(Q14:Q71),"")</f>
        <v/>
      </c>
      <c r="T73" s="26">
        <f>IF(R78=1,SUM(T14:T71),"")</f>
        <v/>
      </c>
      <c r="W73" s="26">
        <f>IF(U78=1,SUM(W14:W71),"")</f>
        <v/>
      </c>
      <c r="Z73" s="26">
        <f>IF(X78=1,SUM(Z14:Z71),"")</f>
        <v/>
      </c>
    </row>
    <row r="74">
      <c r="C74" s="4" t="inlineStr">
        <is>
          <t>Fase I: HD con NO (1 = reprueba)</t>
        </is>
      </c>
      <c r="I74">
        <f>IF(I78=1,IF(COUNTIFS($D$14:$D$71,"Control HD",I14:I71,"NO")&gt;0,1,0),0)</f>
        <v/>
      </c>
      <c r="L74">
        <f>IF(L78=1,IF(COUNTIFS($D$14:$D$71,"Control HD",L14:L71,"NO")&gt;0,1,0),0)</f>
        <v/>
      </c>
      <c r="O74">
        <f>IF(O78=1,IF(COUNTIFS($D$14:$D$71,"Control HD",O14:O71,"NO")&gt;0,1,0),0)</f>
        <v/>
      </c>
      <c r="R74">
        <f>IF(R78=1,IF(COUNTIFS($D$14:$D$71,"Control HD",R14:R71,"NO")&gt;0,1,0),0)</f>
        <v/>
      </c>
      <c r="U74">
        <f>IF(U78=1,IF(COUNTIFS($D$14:$D$71,"Control HD",U14:U71,"NO")&gt;0,1,0),0)</f>
        <v/>
      </c>
      <c r="X74">
        <f>IF(X78=1,IF(COUNTIFS($D$14:$D$71,"Control HD",X14:X71,"NO")&gt;0,1,0),0)</f>
        <v/>
      </c>
    </row>
    <row r="75">
      <c r="C75" s="4" t="inlineStr">
        <is>
          <t>ECU con error (1 = sí)</t>
        </is>
      </c>
      <c r="I75">
        <f>IF(I78=1,IF(COUNTIFS($D$14:$D$71,"ECU",I14:I71,"NO")&gt;0,1,0),0)</f>
        <v/>
      </c>
      <c r="L75">
        <f>IF(L78=1,IF(COUNTIFS($D$14:$D$71,"ECU",L14:L71,"NO")&gt;0,1,0),0)</f>
        <v/>
      </c>
      <c r="O75">
        <f>IF(O78=1,IF(COUNTIFS($D$14:$D$71,"ECU",O14:O71,"NO")&gt;0,1,0),0)</f>
        <v/>
      </c>
      <c r="R75">
        <f>IF(R78=1,IF(COUNTIFS($D$14:$D$71,"ECU",R14:R71,"NO")&gt;0,1,0),0)</f>
        <v/>
      </c>
      <c r="U75">
        <f>IF(U78=1,IF(COUNTIFS($D$14:$D$71,"ECU",U14:U71,"NO")&gt;0,1,0),0)</f>
        <v/>
      </c>
      <c r="X75">
        <f>IF(X78=1,IF(COUNTIFS($D$14:$D$71,"ECU",X14:X71,"NO")&gt;0,1,0),0)</f>
        <v/>
      </c>
    </row>
    <row r="76">
      <c r="C76" s="4" t="inlineStr">
        <is>
          <t>ECN con error (1 = sí)</t>
        </is>
      </c>
      <c r="I76">
        <f>IF(I78=1,IF(COUNTIFS($D$14:$D$71,"ECN",I14:I71,"NO")&gt;0,1,0),0)</f>
        <v/>
      </c>
      <c r="L76">
        <f>IF(L78=1,IF(COUNTIFS($D$14:$D$71,"ECN",L14:L71,"NO")&gt;0,1,0),0)</f>
        <v/>
      </c>
      <c r="O76">
        <f>IF(O78=1,IF(COUNTIFS($D$14:$D$71,"ECN",O14:O71,"NO")&gt;0,1,0),0)</f>
        <v/>
      </c>
      <c r="R76">
        <f>IF(R78=1,IF(COUNTIFS($D$14:$D$71,"ECN",R14:R71,"NO")&gt;0,1,0),0)</f>
        <v/>
      </c>
      <c r="U76">
        <f>IF(U78=1,IF(COUNTIFS($D$14:$D$71,"ECN",U14:U71,"NO")&gt;0,1,0),0)</f>
        <v/>
      </c>
      <c r="X76">
        <f>IF(X78=1,IF(COUNTIFS($D$14:$D$71,"ECN",X14:X71,"NO")&gt;0,1,0),0)</f>
        <v/>
      </c>
    </row>
    <row r="77">
      <c r="C77" s="4" t="inlineStr">
        <is>
          <t>ECC con error (1 = sí)</t>
        </is>
      </c>
      <c r="I77">
        <f>IF(I78=1,IF(COUNTIFS($D$14:$D$71,"ECC",I14:I71,"NO")&gt;0,1,0),0)</f>
        <v/>
      </c>
      <c r="L77">
        <f>IF(L78=1,IF(COUNTIFS($D$14:$D$71,"ECC",L14:L71,"NO")&gt;0,1,0),0)</f>
        <v/>
      </c>
      <c r="O77">
        <f>IF(O78=1,IF(COUNTIFS($D$14:$D$71,"ECC",O14:O71,"NO")&gt;0,1,0),0)</f>
        <v/>
      </c>
      <c r="R77">
        <f>IF(R78=1,IF(COUNTIFS($D$14:$D$71,"ECC",R14:R71,"NO")&gt;0,1,0),0)</f>
        <v/>
      </c>
      <c r="U77">
        <f>IF(U78=1,IF(COUNTIFS($D$14:$D$71,"ECC",U14:U71,"NO")&gt;0,1,0),0)</f>
        <v/>
      </c>
      <c r="X77">
        <f>IF(X78=1,IF(COUNTIFS($D$14:$D$71,"ECC",X14:X71,"NO")&gt;0,1,0),0)</f>
        <v/>
      </c>
    </row>
    <row r="78">
      <c r="C78" s="4" t="inlineStr">
        <is>
          <t>Conversación evaluada (1 = sí)</t>
        </is>
      </c>
      <c r="I78">
        <f>IF(COUNTA(I14:I71)&gt;0,1,0)</f>
        <v/>
      </c>
      <c r="L78">
        <f>IF(COUNTA(L14:L71)&gt;0,1,0)</f>
        <v/>
      </c>
      <c r="O78">
        <f>IF(COUNTA(O14:O71)&gt;0,1,0)</f>
        <v/>
      </c>
      <c r="R78">
        <f>IF(COUNTA(R14:R71)&gt;0,1,0)</f>
        <v/>
      </c>
      <c r="U78">
        <f>IF(COUNTA(U14:U71)&gt;0,1,0)</f>
        <v/>
      </c>
      <c r="X78">
        <f>IF(COUNTA(X14:X71)&gt;0,1,0)</f>
        <v/>
      </c>
    </row>
    <row r="79">
      <c r="C79" s="4" t="inlineStr">
        <is>
          <t>Casillas aplicables sin diligenciar</t>
        </is>
      </c>
      <c r="I79">
        <f>IF(I78=1,SUMPRODUCT(($E$14:$E$71=1)*(I14:I71="")),0)</f>
        <v/>
      </c>
      <c r="L79">
        <f>IF(L78=1,SUMPRODUCT(($E$14:$E$71=1)*(L14:L71="")),0)</f>
        <v/>
      </c>
      <c r="O79">
        <f>IF(O78=1,SUMPRODUCT(($E$14:$E$71=1)*(O14:O71="")),0)</f>
        <v/>
      </c>
      <c r="R79">
        <f>IF(R78=1,SUMPRODUCT(($E$14:$E$71=1)*(R14:R71="")),0)</f>
        <v/>
      </c>
      <c r="U79">
        <f>IF(U78=1,SUMPRODUCT(($E$14:$E$71=1)*(U14:U71="")),0)</f>
        <v/>
      </c>
      <c r="X79">
        <f>IF(X78=1,SUMPRODUCT(($E$14:$E$71=1)*(X14:X71="")),0)</f>
        <v/>
      </c>
    </row>
  </sheetData>
  <mergeCells count="18">
    <mergeCell ref="X10:Z10"/>
    <mergeCell ref="I11:K11"/>
    <mergeCell ref="X11:Z11"/>
    <mergeCell ref="I10:K10"/>
    <mergeCell ref="L11:N11"/>
    <mergeCell ref="L10:N10"/>
    <mergeCell ref="R11:T11"/>
    <mergeCell ref="R10:T10"/>
    <mergeCell ref="X9:Z9"/>
    <mergeCell ref="U10:W10"/>
    <mergeCell ref="I9:K9"/>
    <mergeCell ref="O9:Q9"/>
    <mergeCell ref="L9:N9"/>
    <mergeCell ref="R9:T9"/>
    <mergeCell ref="U9:W9"/>
    <mergeCell ref="U11:W11"/>
    <mergeCell ref="O10:Q10"/>
    <mergeCell ref="O11:Q11"/>
  </mergeCells>
  <dataValidations count="5">
    <dataValidation sqref="I14:I71 L14:L71 O14:O71 R14:R71 U14:U71 X14:X71" showDropDown="0" showInputMessage="0" showErrorMessage="0" allowBlank="1" type="list">
      <formula1>"SI,NO,N/A"</formula1>
    </dataValidation>
    <dataValidation sqref="B4" showDropDown="0" showInputMessage="0" showErrorMessage="0" allowBlank="1" type="list">
      <formula1>VARIABLES!$D$2:$D$5</formula1>
    </dataValidation>
    <dataValidation sqref="B5" showDropDown="0" showInputMessage="0" showErrorMessage="0" allowBlank="1" type="list">
      <formula1>VARIABLES!$E$2:$E$4</formula1>
    </dataValidation>
    <dataValidation sqref="I11 L11 O11 R11 U11 X11" showDropDown="0" showInputMessage="0" showErrorMessage="0" allowBlank="1" type="list">
      <formula1>VARIABLES!$B$2:$B$3</formula1>
    </dataValidation>
    <dataValidation sqref="B6" showDropDown="0" showInputMessage="0" showErrorMessage="0" allowBlank="1" type="list">
      <formula1>VARIABLES!$C$2:$C$13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79"/>
  <sheetViews>
    <sheetView workbookViewId="0">
      <pane xSplit="3" ySplit="13" topLeftCell="D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60" customWidth="1" min="3" max="3"/>
    <col width="11" customWidth="1" min="4" max="4"/>
    <col outlineLevel="1" width="7" customWidth="1" min="5" max="5"/>
    <col outlineLevel="1" width="7" customWidth="1" min="6" max="6"/>
    <col outlineLevel="1" width="9" customWidth="1" min="7" max="7"/>
    <col outlineLevel="1" width="8" customWidth="1" min="8" max="8"/>
    <col width="11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11" customWidth="1" min="15" max="15"/>
    <col width="8" customWidth="1" min="16" max="16"/>
    <col width="8" customWidth="1" min="17" max="17"/>
    <col width="11" customWidth="1" min="18" max="18"/>
    <col width="8" customWidth="1" min="19" max="19"/>
    <col width="8" customWidth="1" min="20" max="20"/>
    <col width="11" customWidth="1" min="21" max="21"/>
    <col width="8" customWidth="1" min="22" max="22"/>
    <col width="8" customWidth="1" min="23" max="23"/>
    <col width="11" customWidth="1" min="24" max="24"/>
    <col width="8" customWidth="1" min="25" max="25"/>
    <col width="8" customWidth="1" min="26" max="26"/>
    <col outlineLevel="1" width="10" customWidth="1" min="27" max="27"/>
    <col outlineLevel="1" width="10" customWidth="1" min="28" max="28"/>
    <col width="10" customWidth="1" min="29" max="29"/>
    <col outlineLevel="1" width="10" customWidth="1" min="30" max="30"/>
    <col width="10" customWidth="1" min="31" max="31"/>
  </cols>
  <sheetData>
    <row r="1">
      <c r="A1" s="3" t="inlineStr">
        <is>
          <t>FORMATO DE MONITOREO COMERCIAL · PREVENTA Y VENTA</t>
        </is>
      </c>
    </row>
    <row r="3">
      <c r="A3" s="4" t="inlineStr">
        <is>
          <t>Asesor</t>
        </is>
      </c>
      <c r="B3" s="5" t="n"/>
      <c r="I3" s="4" t="inlineStr">
        <is>
          <t>Fase I (Habeas Data)</t>
        </is>
      </c>
      <c r="P3" s="16">
        <f>IF($B$7=0,"",IF(SUM(I74,L74,O74,R74,U74,X74)&gt;0,"Reprobada","Aprobada"))</f>
        <v/>
      </c>
      <c r="S3" s="4" t="inlineStr">
        <is>
          <t>ECU · % sin error</t>
        </is>
      </c>
      <c r="Z3" s="17">
        <f>IF($B$7=0,"",1-SUM(I75,L75,O75,R75,U75,X75)/$B$7)</f>
        <v/>
      </c>
    </row>
    <row r="4">
      <c r="A4" s="4" t="inlineStr">
        <is>
          <t>Canal</t>
        </is>
      </c>
      <c r="B4" s="5" t="n"/>
      <c r="I4" s="4" t="inlineStr">
        <is>
          <t>Nota /100</t>
        </is>
      </c>
      <c r="P4" s="18">
        <f>IF($B$7=0,"",IF(P3="Reprobada",0,AVERAGE(K73,N73,Q73,T73,W73,Z73)*1))</f>
        <v/>
      </c>
      <c r="S4" s="4" t="inlineStr">
        <is>
          <t>ECN · % sin error</t>
        </is>
      </c>
      <c r="Z4" s="17">
        <f>IF($B$7=0,"",1-SUM(I76,L76,O76,R76,U76,X76)/$B$7)</f>
        <v/>
      </c>
    </row>
    <row r="5">
      <c r="A5" s="4" t="inlineStr">
        <is>
          <t>Gestión</t>
        </is>
      </c>
      <c r="B5" s="5" t="n"/>
      <c r="I5" s="4" t="inlineStr">
        <is>
          <t>Nota /300</t>
        </is>
      </c>
      <c r="P5" s="18">
        <f>IF(P4="","",P4*3)</f>
        <v/>
      </c>
      <c r="S5" s="4" t="inlineStr">
        <is>
          <t>ECC · % sin error</t>
        </is>
      </c>
      <c r="Z5" s="17">
        <f>IF($B$7=0,"",1-SUM(I77,L77,O77,R77,U77,X77)/$B$7)</f>
        <v/>
      </c>
    </row>
    <row r="6">
      <c r="A6" s="4" t="inlineStr">
        <is>
          <t>Mes</t>
        </is>
      </c>
      <c r="B6" s="5" t="n"/>
      <c r="I6" s="4" t="inlineStr">
        <is>
          <t>Nivel</t>
        </is>
      </c>
      <c r="P6" s="16">
        <f>IF(P4="","",IF(P3="Reprobada","Crítico",LOOKUP(P4/100,'TABLA GENERAL'!$I$7:$I$10,'TABLA GENERAL'!$F$7:$F$10)))</f>
        <v/>
      </c>
      <c r="S6" s="4" t="inlineStr">
        <is>
          <t>Alerta Dirección</t>
        </is>
      </c>
      <c r="Z6" s="16">
        <f>IF($B$7=0,"",IF(SUMPRODUCT($AD$14:$AD$71*((I14:I71="NO")+(L14:L71="NO")+(O14:O71="NO")+(R14:R71="NO")+(U14:U71="NO")+(X14:X71="NO")))&gt;0,"SÍ - reportar","No"))</f>
        <v/>
      </c>
    </row>
    <row r="7">
      <c r="A7" s="4" t="inlineStr">
        <is>
          <t>Conversaciones evaluadas</t>
        </is>
      </c>
      <c r="B7">
        <f>SUM(I78,L78,O78,R78,U78,X78)</f>
        <v/>
      </c>
      <c r="I7" s="4" t="inlineStr">
        <is>
          <t>Estado</t>
        </is>
      </c>
      <c r="P7" s="16">
        <f>IF(P4="","",IF(P3="Reprobada","Reprobado",IF(P4/100&gt;='TABLA GENERAL'!$C$21,"Aprobado","Plan de acción")))</f>
        <v/>
      </c>
      <c r="S7" s="4" t="inlineStr">
        <is>
          <t>Casillas por revisar</t>
        </is>
      </c>
      <c r="Z7" s="16">
        <f>SUM(I79,L79,O79,R79,U79,X79)+COUNTIF(AE14:AE71,"REVISAR")</f>
        <v/>
      </c>
    </row>
    <row r="9">
      <c r="I9" s="6" t="inlineStr">
        <is>
          <t>Conversación 1</t>
        </is>
      </c>
      <c r="L9" s="6" t="inlineStr">
        <is>
          <t>Conversación 2</t>
        </is>
      </c>
      <c r="O9" s="6" t="inlineStr">
        <is>
          <t>Conversación 3</t>
        </is>
      </c>
      <c r="R9" s="6" t="inlineStr">
        <is>
          <t>Conversación 4</t>
        </is>
      </c>
      <c r="U9" s="6" t="inlineStr">
        <is>
          <t>Conversación 5</t>
        </is>
      </c>
      <c r="X9" s="6" t="inlineStr">
        <is>
          <t>Conversación 6</t>
        </is>
      </c>
    </row>
    <row r="10">
      <c r="C10" s="4" t="inlineStr">
        <is>
          <t>Fecha / ID de la conversación</t>
        </is>
      </c>
      <c r="I10" s="5" t="n"/>
      <c r="L10" s="5" t="n"/>
      <c r="O10" s="5" t="n"/>
      <c r="R10" s="5" t="n"/>
      <c r="U10" s="5" t="n"/>
      <c r="X10" s="5" t="n"/>
    </row>
    <row r="11">
      <c r="C11" s="4" t="inlineStr">
        <is>
          <t>Modalidad</t>
        </is>
      </c>
      <c r="I11" s="5" t="n"/>
      <c r="L11" s="5" t="n"/>
      <c r="O11" s="5" t="n"/>
      <c r="R11" s="5" t="n"/>
      <c r="U11" s="5" t="n"/>
      <c r="X11" s="5" t="n"/>
    </row>
    <row r="13" ht="32" customHeight="1">
      <c r="A13" s="6" t="inlineStr">
        <is>
          <t>Código</t>
        </is>
      </c>
      <c r="B13" s="6" t="inlineStr">
        <is>
          <t>Dimensión</t>
        </is>
      </c>
      <c r="C13" s="6" t="inlineStr">
        <is>
          <t>Descripción</t>
        </is>
      </c>
      <c r="D13" s="6" t="inlineStr">
        <is>
          <t>Tipo</t>
        </is>
      </c>
      <c r="E13" s="6" t="inlineStr">
        <is>
          <t>Aplica</t>
        </is>
      </c>
      <c r="F13" s="6" t="inlineStr">
        <is>
          <t>Peso base</t>
        </is>
      </c>
      <c r="G13" s="6" t="inlineStr">
        <is>
          <t>Receptor N/A</t>
        </is>
      </c>
      <c r="H13" s="6" t="inlineStr">
        <is>
          <t>Admite N/A</t>
        </is>
      </c>
      <c r="I13" s="6" t="inlineStr">
        <is>
          <t>Resultado</t>
        </is>
      </c>
      <c r="J13" s="6" t="inlineStr">
        <is>
          <t>Peso estab.</t>
        </is>
      </c>
      <c r="K13" s="6" t="inlineStr">
        <is>
          <t>Peso logrado</t>
        </is>
      </c>
      <c r="L13" s="6" t="inlineStr">
        <is>
          <t>Resultado</t>
        </is>
      </c>
      <c r="M13" s="6" t="inlineStr">
        <is>
          <t>Peso estab.</t>
        </is>
      </c>
      <c r="N13" s="6" t="inlineStr">
        <is>
          <t>Peso logrado</t>
        </is>
      </c>
      <c r="O13" s="6" t="inlineStr">
        <is>
          <t>Resultado</t>
        </is>
      </c>
      <c r="P13" s="6" t="inlineStr">
        <is>
          <t>Peso estab.</t>
        </is>
      </c>
      <c r="Q13" s="6" t="inlineStr">
        <is>
          <t>Peso logrado</t>
        </is>
      </c>
      <c r="R13" s="6" t="inlineStr">
        <is>
          <t>Resultado</t>
        </is>
      </c>
      <c r="S13" s="6" t="inlineStr">
        <is>
          <t>Peso estab.</t>
        </is>
      </c>
      <c r="T13" s="6" t="inlineStr">
        <is>
          <t>Peso logrado</t>
        </is>
      </c>
      <c r="U13" s="6" t="inlineStr">
        <is>
          <t>Resultado</t>
        </is>
      </c>
      <c r="V13" s="6" t="inlineStr">
        <is>
          <t>Peso estab.</t>
        </is>
      </c>
      <c r="W13" s="6" t="inlineStr">
        <is>
          <t>Peso logrado</t>
        </is>
      </c>
      <c r="X13" s="6" t="inlineStr">
        <is>
          <t>Resultado</t>
        </is>
      </c>
      <c r="Y13" s="6" t="inlineStr">
        <is>
          <t>Peso estab.</t>
        </is>
      </c>
      <c r="Z13" s="6" t="inlineStr">
        <is>
          <t>Peso logrado</t>
        </is>
      </c>
      <c r="AA13" s="6" t="inlineStr">
        <is>
          <t>Σ peso estab.</t>
        </is>
      </c>
      <c r="AB13" s="6" t="inlineStr">
        <is>
          <t>Σ peso logrado</t>
        </is>
      </c>
      <c r="AC13" s="6" t="inlineStr">
        <is>
          <t>% cumplimiento</t>
        </is>
      </c>
      <c r="AD13" s="6" t="inlineStr">
        <is>
          <t>Alerta</t>
        </is>
      </c>
      <c r="AE13" s="6" t="inlineStr">
        <is>
          <t>Validación</t>
        </is>
      </c>
    </row>
    <row r="14">
      <c r="A14" s="19">
        <f>CRITERIOS!B2</f>
        <v/>
      </c>
      <c r="B14" s="19">
        <f>CRITERIOS!C2</f>
        <v/>
      </c>
      <c r="C14" s="20">
        <f>CRITERIOS!D2</f>
        <v/>
      </c>
      <c r="D14" s="19">
        <f>CRITERIOS!E2</f>
        <v/>
      </c>
      <c r="E14" s="19">
        <f>IFERROR(IF(AND(OR(CRITERIOS!F2="Todos",CRITERIOS!F2=$B$4),INDEX(CRITERIOS!H2:J2,MATCH($B$5,VARIABLES!$E$2:$E$4,0))=1),1,0),0)</f>
        <v/>
      </c>
      <c r="F14" s="19">
        <f>IFERROR(IF(E14=1,INDEX(CRITERIOS!K2:M2,MATCH($B$5,VARIABLES!$E$2:$E$4,0)),0),0)</f>
        <v/>
      </c>
      <c r="G14" s="19">
        <f>IF(CRITERIOS!N2="","",CRITERIOS!N2)</f>
        <v/>
      </c>
      <c r="H14" s="19">
        <f>IF(CRITERIOS!O2="","",CRITERIOS!O2)</f>
        <v/>
      </c>
      <c r="I14" s="21" t="n"/>
      <c r="J14" s="22">
        <f>IF(OR($E14=0,I$78=0),0,IF(AND(I14="N/A",$G14&lt;&gt;""),0,$F14+SUMPRODUCT(($G$14:$G$71=$A14)*($E$14:$E$71=1)*(I$14:I$71="N/A")*$F$14:$F$71)))</f>
        <v/>
      </c>
      <c r="K14" s="22">
        <f>IF(I14="SI",J14,0)</f>
        <v/>
      </c>
      <c r="L14" s="21" t="n"/>
      <c r="M14" s="22">
        <f>IF(OR($E14=0,L$78=0),0,IF(AND(L14="N/A",$G14&lt;&gt;""),0,$F14+SUMPRODUCT(($G$14:$G$71=$A14)*($E$14:$E$71=1)*(L$14:L$71="N/A")*$F$14:$F$71)))</f>
        <v/>
      </c>
      <c r="N14" s="22">
        <f>IF(L14="SI",M14,0)</f>
        <v/>
      </c>
      <c r="O14" s="21" t="n"/>
      <c r="P14" s="22">
        <f>IF(OR($E14=0,O$78=0),0,IF(AND(O14="N/A",$G14&lt;&gt;""),0,$F14+SUMPRODUCT(($G$14:$G$71=$A14)*($E$14:$E$71=1)*(O$14:O$71="N/A")*$F$14:$F$71)))</f>
        <v/>
      </c>
      <c r="Q14" s="22">
        <f>IF(O14="SI",P14,0)</f>
        <v/>
      </c>
      <c r="R14" s="21" t="n"/>
      <c r="S14" s="22">
        <f>IF(OR($E14=0,R$78=0),0,IF(AND(R14="N/A",$G14&lt;&gt;""),0,$F14+SUMPRODUCT(($G$14:$G$71=$A14)*($E$14:$E$71=1)*(R$14:R$71="N/A")*$F$14:$F$71)))</f>
        <v/>
      </c>
      <c r="T14" s="22">
        <f>IF(R14="SI",S14,0)</f>
        <v/>
      </c>
      <c r="U14" s="21" t="n"/>
      <c r="V14" s="22">
        <f>IF(OR($E14=0,U$78=0),0,IF(AND(U14="N/A",$G14&lt;&gt;""),0,$F14+SUMPRODUCT(($G$14:$G$71=$A14)*($E$14:$E$71=1)*(U$14:U$71="N/A")*$F$14:$F$71)))</f>
        <v/>
      </c>
      <c r="W14" s="22">
        <f>IF(U14="SI",V14,0)</f>
        <v/>
      </c>
      <c r="X14" s="21" t="n"/>
      <c r="Y14" s="22">
        <f>IF(OR($E14=0,X$78=0),0,IF(AND(X14="N/A",$G14&lt;&gt;""),0,$F14+SUMPRODUCT(($G$14:$G$71=$A14)*($E$14:$E$71=1)*(X$14:X$71="N/A")*$F$14:$F$71)))</f>
        <v/>
      </c>
      <c r="Z14" s="22">
        <f>IF(X14="SI",Y14,0)</f>
        <v/>
      </c>
      <c r="AA14" s="22">
        <f>SUM(J14,M14,P14,S14,V14,Y14)</f>
        <v/>
      </c>
      <c r="AB14" s="22">
        <f>SUM(K14,N14,Q14,T14,W14,Z14)</f>
        <v/>
      </c>
      <c r="AC14" s="23">
        <f>IF(AA14=0,"",AB14/AA14)</f>
        <v/>
      </c>
      <c r="AD14" s="22">
        <f>CRITERIOS!Q2</f>
        <v/>
      </c>
      <c r="AE14" s="22">
        <f>IF(AND(E14=1,H14&lt;&gt;"X",((I14="N/A")+(L14="N/A")+(O14="N/A")+(R14="N/A")+(U14="N/A")+(X14="N/A"))&gt;0),"REVISAR","")</f>
        <v/>
      </c>
    </row>
    <row r="15">
      <c r="A15" s="19">
        <f>CRITERIOS!B3</f>
        <v/>
      </c>
      <c r="B15" s="19">
        <f>CRITERIOS!C3</f>
        <v/>
      </c>
      <c r="C15" s="20">
        <f>CRITERIOS!D3</f>
        <v/>
      </c>
      <c r="D15" s="19">
        <f>CRITERIOS!E3</f>
        <v/>
      </c>
      <c r="E15" s="19">
        <f>IFERROR(IF(AND(OR(CRITERIOS!F3="Todos",CRITERIOS!F3=$B$4),INDEX(CRITERIOS!H3:J3,MATCH($B$5,VARIABLES!$E$2:$E$4,0))=1),1,0),0)</f>
        <v/>
      </c>
      <c r="F15" s="19">
        <f>IFERROR(IF(E15=1,INDEX(CRITERIOS!K3:M3,MATCH($B$5,VARIABLES!$E$2:$E$4,0)),0),0)</f>
        <v/>
      </c>
      <c r="G15" s="19">
        <f>IF(CRITERIOS!N3="","",CRITERIOS!N3)</f>
        <v/>
      </c>
      <c r="H15" s="19">
        <f>IF(CRITERIOS!O3="","",CRITERIOS!O3)</f>
        <v/>
      </c>
      <c r="I15" s="21" t="n"/>
      <c r="J15" s="22">
        <f>IF(OR($E15=0,I$78=0),0,IF(AND(I15="N/A",$G15&lt;&gt;""),0,$F15+SUMPRODUCT(($G$14:$G$71=$A15)*($E$14:$E$71=1)*(I$14:I$71="N/A")*$F$14:$F$71)))</f>
        <v/>
      </c>
      <c r="K15" s="22">
        <f>IF(I15="SI",J15,0)</f>
        <v/>
      </c>
      <c r="L15" s="21" t="n"/>
      <c r="M15" s="22">
        <f>IF(OR($E15=0,L$78=0),0,IF(AND(L15="N/A",$G15&lt;&gt;""),0,$F15+SUMPRODUCT(($G$14:$G$71=$A15)*($E$14:$E$71=1)*(L$14:L$71="N/A")*$F$14:$F$71)))</f>
        <v/>
      </c>
      <c r="N15" s="22">
        <f>IF(L15="SI",M15,0)</f>
        <v/>
      </c>
      <c r="O15" s="21" t="n"/>
      <c r="P15" s="22">
        <f>IF(OR($E15=0,O$78=0),0,IF(AND(O15="N/A",$G15&lt;&gt;""),0,$F15+SUMPRODUCT(($G$14:$G$71=$A15)*($E$14:$E$71=1)*(O$14:O$71="N/A")*$F$14:$F$71)))</f>
        <v/>
      </c>
      <c r="Q15" s="22">
        <f>IF(O15="SI",P15,0)</f>
        <v/>
      </c>
      <c r="R15" s="21" t="n"/>
      <c r="S15" s="22">
        <f>IF(OR($E15=0,R$78=0),0,IF(AND(R15="N/A",$G15&lt;&gt;""),0,$F15+SUMPRODUCT(($G$14:$G$71=$A15)*($E$14:$E$71=1)*(R$14:R$71="N/A")*$F$14:$F$71)))</f>
        <v/>
      </c>
      <c r="T15" s="22">
        <f>IF(R15="SI",S15,0)</f>
        <v/>
      </c>
      <c r="U15" s="21" t="n"/>
      <c r="V15" s="22">
        <f>IF(OR($E15=0,U$78=0),0,IF(AND(U15="N/A",$G15&lt;&gt;""),0,$F15+SUMPRODUCT(($G$14:$G$71=$A15)*($E$14:$E$71=1)*(U$14:U$71="N/A")*$F$14:$F$71)))</f>
        <v/>
      </c>
      <c r="W15" s="22">
        <f>IF(U15="SI",V15,0)</f>
        <v/>
      </c>
      <c r="X15" s="21" t="n"/>
      <c r="Y15" s="22">
        <f>IF(OR($E15=0,X$78=0),0,IF(AND(X15="N/A",$G15&lt;&gt;""),0,$F15+SUMPRODUCT(($G$14:$G$71=$A15)*($E$14:$E$71=1)*(X$14:X$71="N/A")*$F$14:$F$71)))</f>
        <v/>
      </c>
      <c r="Z15" s="22">
        <f>IF(X15="SI",Y15,0)</f>
        <v/>
      </c>
      <c r="AA15" s="22">
        <f>SUM(J15,M15,P15,S15,V15,Y15)</f>
        <v/>
      </c>
      <c r="AB15" s="22">
        <f>SUM(K15,N15,Q15,T15,W15,Z15)</f>
        <v/>
      </c>
      <c r="AC15" s="23">
        <f>IF(AA15=0,"",AB15/AA15)</f>
        <v/>
      </c>
      <c r="AD15" s="22">
        <f>CRITERIOS!Q3</f>
        <v/>
      </c>
      <c r="AE15" s="22">
        <f>IF(AND(E15=1,H15&lt;&gt;"X",((I15="N/A")+(L15="N/A")+(O15="N/A")+(R15="N/A")+(U15="N/A")+(X15="N/A"))&gt;0),"REVISAR","")</f>
        <v/>
      </c>
    </row>
    <row r="16">
      <c r="A16" s="19">
        <f>CRITERIOS!B4</f>
        <v/>
      </c>
      <c r="B16" s="19">
        <f>CRITERIOS!C4</f>
        <v/>
      </c>
      <c r="C16" s="20">
        <f>CRITERIOS!D4</f>
        <v/>
      </c>
      <c r="D16" s="19">
        <f>CRITERIOS!E4</f>
        <v/>
      </c>
      <c r="E16" s="19">
        <f>IFERROR(IF(AND(OR(CRITERIOS!F4="Todos",CRITERIOS!F4=$B$4),INDEX(CRITERIOS!H4:J4,MATCH($B$5,VARIABLES!$E$2:$E$4,0))=1),1,0),0)</f>
        <v/>
      </c>
      <c r="F16" s="19">
        <f>IFERROR(IF(E16=1,INDEX(CRITERIOS!K4:M4,MATCH($B$5,VARIABLES!$E$2:$E$4,0)),0),0)</f>
        <v/>
      </c>
      <c r="G16" s="19">
        <f>IF(CRITERIOS!N4="","",CRITERIOS!N4)</f>
        <v/>
      </c>
      <c r="H16" s="19">
        <f>IF(CRITERIOS!O4="","",CRITERIOS!O4)</f>
        <v/>
      </c>
      <c r="I16" s="21" t="n"/>
      <c r="J16" s="22">
        <f>IF(OR($E16=0,I$78=0),0,IF(AND(I16="N/A",$G16&lt;&gt;""),0,$F16+SUMPRODUCT(($G$14:$G$71=$A16)*($E$14:$E$71=1)*(I$14:I$71="N/A")*$F$14:$F$71)))</f>
        <v/>
      </c>
      <c r="K16" s="22">
        <f>IF(I16="SI",J16,0)</f>
        <v/>
      </c>
      <c r="L16" s="21" t="n"/>
      <c r="M16" s="22">
        <f>IF(OR($E16=0,L$78=0),0,IF(AND(L16="N/A",$G16&lt;&gt;""),0,$F16+SUMPRODUCT(($G$14:$G$71=$A16)*($E$14:$E$71=1)*(L$14:L$71="N/A")*$F$14:$F$71)))</f>
        <v/>
      </c>
      <c r="N16" s="22">
        <f>IF(L16="SI",M16,0)</f>
        <v/>
      </c>
      <c r="O16" s="21" t="n"/>
      <c r="P16" s="22">
        <f>IF(OR($E16=0,O$78=0),0,IF(AND(O16="N/A",$G16&lt;&gt;""),0,$F16+SUMPRODUCT(($G$14:$G$71=$A16)*($E$14:$E$71=1)*(O$14:O$71="N/A")*$F$14:$F$71)))</f>
        <v/>
      </c>
      <c r="Q16" s="22">
        <f>IF(O16="SI",P16,0)</f>
        <v/>
      </c>
      <c r="R16" s="21" t="n"/>
      <c r="S16" s="22">
        <f>IF(OR($E16=0,R$78=0),0,IF(AND(R16="N/A",$G16&lt;&gt;""),0,$F16+SUMPRODUCT(($G$14:$G$71=$A16)*($E$14:$E$71=1)*(R$14:R$71="N/A")*$F$14:$F$71)))</f>
        <v/>
      </c>
      <c r="T16" s="22">
        <f>IF(R16="SI",S16,0)</f>
        <v/>
      </c>
      <c r="U16" s="21" t="n"/>
      <c r="V16" s="22">
        <f>IF(OR($E16=0,U$78=0),0,IF(AND(U16="N/A",$G16&lt;&gt;""),0,$F16+SUMPRODUCT(($G$14:$G$71=$A16)*($E$14:$E$71=1)*(U$14:U$71="N/A")*$F$14:$F$71)))</f>
        <v/>
      </c>
      <c r="W16" s="22">
        <f>IF(U16="SI",V16,0)</f>
        <v/>
      </c>
      <c r="X16" s="21" t="n"/>
      <c r="Y16" s="22">
        <f>IF(OR($E16=0,X$78=0),0,IF(AND(X16="N/A",$G16&lt;&gt;""),0,$F16+SUMPRODUCT(($G$14:$G$71=$A16)*($E$14:$E$71=1)*(X$14:X$71="N/A")*$F$14:$F$71)))</f>
        <v/>
      </c>
      <c r="Z16" s="22">
        <f>IF(X16="SI",Y16,0)</f>
        <v/>
      </c>
      <c r="AA16" s="22">
        <f>SUM(J16,M16,P16,S16,V16,Y16)</f>
        <v/>
      </c>
      <c r="AB16" s="22">
        <f>SUM(K16,N16,Q16,T16,W16,Z16)</f>
        <v/>
      </c>
      <c r="AC16" s="23">
        <f>IF(AA16=0,"",AB16/AA16)</f>
        <v/>
      </c>
      <c r="AD16" s="22">
        <f>CRITERIOS!Q4</f>
        <v/>
      </c>
      <c r="AE16" s="22">
        <f>IF(AND(E16=1,H16&lt;&gt;"X",((I16="N/A")+(L16="N/A")+(O16="N/A")+(R16="N/A")+(U16="N/A")+(X16="N/A"))&gt;0),"REVISAR","")</f>
        <v/>
      </c>
    </row>
    <row r="17">
      <c r="A17" s="19">
        <f>CRITERIOS!B5</f>
        <v/>
      </c>
      <c r="B17" s="19">
        <f>CRITERIOS!C5</f>
        <v/>
      </c>
      <c r="C17" s="20">
        <f>CRITERIOS!D5</f>
        <v/>
      </c>
      <c r="D17" s="19">
        <f>CRITERIOS!E5</f>
        <v/>
      </c>
      <c r="E17" s="19">
        <f>IFERROR(IF(AND(OR(CRITERIOS!F5="Todos",CRITERIOS!F5=$B$4),INDEX(CRITERIOS!H5:J5,MATCH($B$5,VARIABLES!$E$2:$E$4,0))=1),1,0),0)</f>
        <v/>
      </c>
      <c r="F17" s="19">
        <f>IFERROR(IF(E17=1,INDEX(CRITERIOS!K5:M5,MATCH($B$5,VARIABLES!$E$2:$E$4,0)),0),0)</f>
        <v/>
      </c>
      <c r="G17" s="19">
        <f>IF(CRITERIOS!N5="","",CRITERIOS!N5)</f>
        <v/>
      </c>
      <c r="H17" s="19">
        <f>IF(CRITERIOS!O5="","",CRITERIOS!O5)</f>
        <v/>
      </c>
      <c r="I17" s="21" t="n"/>
      <c r="J17" s="22">
        <f>IF(OR($E17=0,I$78=0),0,IF(AND(I17="N/A",$G17&lt;&gt;""),0,$F17+SUMPRODUCT(($G$14:$G$71=$A17)*($E$14:$E$71=1)*(I$14:I$71="N/A")*$F$14:$F$71)))</f>
        <v/>
      </c>
      <c r="K17" s="22">
        <f>IF(I17="SI",J17,0)</f>
        <v/>
      </c>
      <c r="L17" s="21" t="n"/>
      <c r="M17" s="22">
        <f>IF(OR($E17=0,L$78=0),0,IF(AND(L17="N/A",$G17&lt;&gt;""),0,$F17+SUMPRODUCT(($G$14:$G$71=$A17)*($E$14:$E$71=1)*(L$14:L$71="N/A")*$F$14:$F$71)))</f>
        <v/>
      </c>
      <c r="N17" s="22">
        <f>IF(L17="SI",M17,0)</f>
        <v/>
      </c>
      <c r="O17" s="21" t="n"/>
      <c r="P17" s="22">
        <f>IF(OR($E17=0,O$78=0),0,IF(AND(O17="N/A",$G17&lt;&gt;""),0,$F17+SUMPRODUCT(($G$14:$G$71=$A17)*($E$14:$E$71=1)*(O$14:O$71="N/A")*$F$14:$F$71)))</f>
        <v/>
      </c>
      <c r="Q17" s="22">
        <f>IF(O17="SI",P17,0)</f>
        <v/>
      </c>
      <c r="R17" s="21" t="n"/>
      <c r="S17" s="22">
        <f>IF(OR($E17=0,R$78=0),0,IF(AND(R17="N/A",$G17&lt;&gt;""),0,$F17+SUMPRODUCT(($G$14:$G$71=$A17)*($E$14:$E$71=1)*(R$14:R$71="N/A")*$F$14:$F$71)))</f>
        <v/>
      </c>
      <c r="T17" s="22">
        <f>IF(R17="SI",S17,0)</f>
        <v/>
      </c>
      <c r="U17" s="21" t="n"/>
      <c r="V17" s="22">
        <f>IF(OR($E17=0,U$78=0),0,IF(AND(U17="N/A",$G17&lt;&gt;""),0,$F17+SUMPRODUCT(($G$14:$G$71=$A17)*($E$14:$E$71=1)*(U$14:U$71="N/A")*$F$14:$F$71)))</f>
        <v/>
      </c>
      <c r="W17" s="22">
        <f>IF(U17="SI",V17,0)</f>
        <v/>
      </c>
      <c r="X17" s="21" t="n"/>
      <c r="Y17" s="22">
        <f>IF(OR($E17=0,X$78=0),0,IF(AND(X17="N/A",$G17&lt;&gt;""),0,$F17+SUMPRODUCT(($G$14:$G$71=$A17)*($E$14:$E$71=1)*(X$14:X$71="N/A")*$F$14:$F$71)))</f>
        <v/>
      </c>
      <c r="Z17" s="22">
        <f>IF(X17="SI",Y17,0)</f>
        <v/>
      </c>
      <c r="AA17" s="22">
        <f>SUM(J17,M17,P17,S17,V17,Y17)</f>
        <v/>
      </c>
      <c r="AB17" s="22">
        <f>SUM(K17,N17,Q17,T17,W17,Z17)</f>
        <v/>
      </c>
      <c r="AC17" s="23">
        <f>IF(AA17=0,"",AB17/AA17)</f>
        <v/>
      </c>
      <c r="AD17" s="22">
        <f>CRITERIOS!Q5</f>
        <v/>
      </c>
      <c r="AE17" s="22">
        <f>IF(AND(E17=1,H17&lt;&gt;"X",((I17="N/A")+(L17="N/A")+(O17="N/A")+(R17="N/A")+(U17="N/A")+(X17="N/A"))&gt;0),"REVISAR","")</f>
        <v/>
      </c>
    </row>
    <row r="18">
      <c r="A18" s="19">
        <f>CRITERIOS!B6</f>
        <v/>
      </c>
      <c r="B18" s="19">
        <f>CRITERIOS!C6</f>
        <v/>
      </c>
      <c r="C18" s="20">
        <f>CRITERIOS!D6</f>
        <v/>
      </c>
      <c r="D18" s="19">
        <f>CRITERIOS!E6</f>
        <v/>
      </c>
      <c r="E18" s="19">
        <f>IFERROR(IF(AND(OR(CRITERIOS!F6="Todos",CRITERIOS!F6=$B$4),INDEX(CRITERIOS!H6:J6,MATCH($B$5,VARIABLES!$E$2:$E$4,0))=1),1,0),0)</f>
        <v/>
      </c>
      <c r="F18" s="19">
        <f>IFERROR(IF(E18=1,INDEX(CRITERIOS!K6:M6,MATCH($B$5,VARIABLES!$E$2:$E$4,0)),0),0)</f>
        <v/>
      </c>
      <c r="G18" s="19">
        <f>IF(CRITERIOS!N6="","",CRITERIOS!N6)</f>
        <v/>
      </c>
      <c r="H18" s="19">
        <f>IF(CRITERIOS!O6="","",CRITERIOS!O6)</f>
        <v/>
      </c>
      <c r="I18" s="21" t="n"/>
      <c r="J18" s="22">
        <f>IF(OR($E18=0,I$78=0),0,IF(AND(I18="N/A",$G18&lt;&gt;""),0,$F18+SUMPRODUCT(($G$14:$G$71=$A18)*($E$14:$E$71=1)*(I$14:I$71="N/A")*$F$14:$F$71)))</f>
        <v/>
      </c>
      <c r="K18" s="22">
        <f>IF(I18="SI",J18,0)</f>
        <v/>
      </c>
      <c r="L18" s="21" t="n"/>
      <c r="M18" s="22">
        <f>IF(OR($E18=0,L$78=0),0,IF(AND(L18="N/A",$G18&lt;&gt;""),0,$F18+SUMPRODUCT(($G$14:$G$71=$A18)*($E$14:$E$71=1)*(L$14:L$71="N/A")*$F$14:$F$71)))</f>
        <v/>
      </c>
      <c r="N18" s="22">
        <f>IF(L18="SI",M18,0)</f>
        <v/>
      </c>
      <c r="O18" s="21" t="n"/>
      <c r="P18" s="22">
        <f>IF(OR($E18=0,O$78=0),0,IF(AND(O18="N/A",$G18&lt;&gt;""),0,$F18+SUMPRODUCT(($G$14:$G$71=$A18)*($E$14:$E$71=1)*(O$14:O$71="N/A")*$F$14:$F$71)))</f>
        <v/>
      </c>
      <c r="Q18" s="22">
        <f>IF(O18="SI",P18,0)</f>
        <v/>
      </c>
      <c r="R18" s="21" t="n"/>
      <c r="S18" s="22">
        <f>IF(OR($E18=0,R$78=0),0,IF(AND(R18="N/A",$G18&lt;&gt;""),0,$F18+SUMPRODUCT(($G$14:$G$71=$A18)*($E$14:$E$71=1)*(R$14:R$71="N/A")*$F$14:$F$71)))</f>
        <v/>
      </c>
      <c r="T18" s="22">
        <f>IF(R18="SI",S18,0)</f>
        <v/>
      </c>
      <c r="U18" s="21" t="n"/>
      <c r="V18" s="22">
        <f>IF(OR($E18=0,U$78=0),0,IF(AND(U18="N/A",$G18&lt;&gt;""),0,$F18+SUMPRODUCT(($G$14:$G$71=$A18)*($E$14:$E$71=1)*(U$14:U$71="N/A")*$F$14:$F$71)))</f>
        <v/>
      </c>
      <c r="W18" s="22">
        <f>IF(U18="SI",V18,0)</f>
        <v/>
      </c>
      <c r="X18" s="21" t="n"/>
      <c r="Y18" s="22">
        <f>IF(OR($E18=0,X$78=0),0,IF(AND(X18="N/A",$G18&lt;&gt;""),0,$F18+SUMPRODUCT(($G$14:$G$71=$A18)*($E$14:$E$71=1)*(X$14:X$71="N/A")*$F$14:$F$71)))</f>
        <v/>
      </c>
      <c r="Z18" s="22">
        <f>IF(X18="SI",Y18,0)</f>
        <v/>
      </c>
      <c r="AA18" s="22">
        <f>SUM(J18,M18,P18,S18,V18,Y18)</f>
        <v/>
      </c>
      <c r="AB18" s="22">
        <f>SUM(K18,N18,Q18,T18,W18,Z18)</f>
        <v/>
      </c>
      <c r="AC18" s="23">
        <f>IF(AA18=0,"",AB18/AA18)</f>
        <v/>
      </c>
      <c r="AD18" s="22">
        <f>CRITERIOS!Q6</f>
        <v/>
      </c>
      <c r="AE18" s="22">
        <f>IF(AND(E18=1,H18&lt;&gt;"X",((I18="N/A")+(L18="N/A")+(O18="N/A")+(R18="N/A")+(U18="N/A")+(X18="N/A"))&gt;0),"REVISAR","")</f>
        <v/>
      </c>
    </row>
    <row r="19">
      <c r="A19" s="19">
        <f>CRITERIOS!B7</f>
        <v/>
      </c>
      <c r="B19" s="19">
        <f>CRITERIOS!C7</f>
        <v/>
      </c>
      <c r="C19" s="20">
        <f>CRITERIOS!D7</f>
        <v/>
      </c>
      <c r="D19" s="19">
        <f>CRITERIOS!E7</f>
        <v/>
      </c>
      <c r="E19" s="19">
        <f>IFERROR(IF(AND(OR(CRITERIOS!F7="Todos",CRITERIOS!F7=$B$4),INDEX(CRITERIOS!H7:J7,MATCH($B$5,VARIABLES!$E$2:$E$4,0))=1),1,0),0)</f>
        <v/>
      </c>
      <c r="F19" s="19">
        <f>IFERROR(IF(E19=1,INDEX(CRITERIOS!K7:M7,MATCH($B$5,VARIABLES!$E$2:$E$4,0)),0),0)</f>
        <v/>
      </c>
      <c r="G19" s="19">
        <f>IF(CRITERIOS!N7="","",CRITERIOS!N7)</f>
        <v/>
      </c>
      <c r="H19" s="19">
        <f>IF(CRITERIOS!O7="","",CRITERIOS!O7)</f>
        <v/>
      </c>
      <c r="I19" s="21" t="n"/>
      <c r="J19" s="22">
        <f>IF(OR($E19=0,I$78=0),0,IF(AND(I19="N/A",$G19&lt;&gt;""),0,$F19+SUMPRODUCT(($G$14:$G$71=$A19)*($E$14:$E$71=1)*(I$14:I$71="N/A")*$F$14:$F$71)))</f>
        <v/>
      </c>
      <c r="K19" s="22">
        <f>IF(I19="SI",J19,0)</f>
        <v/>
      </c>
      <c r="L19" s="21" t="n"/>
      <c r="M19" s="22">
        <f>IF(OR($E19=0,L$78=0),0,IF(AND(L19="N/A",$G19&lt;&gt;""),0,$F19+SUMPRODUCT(($G$14:$G$71=$A19)*($E$14:$E$71=1)*(L$14:L$71="N/A")*$F$14:$F$71)))</f>
        <v/>
      </c>
      <c r="N19" s="22">
        <f>IF(L19="SI",M19,0)</f>
        <v/>
      </c>
      <c r="O19" s="21" t="n"/>
      <c r="P19" s="22">
        <f>IF(OR($E19=0,O$78=0),0,IF(AND(O19="N/A",$G19&lt;&gt;""),0,$F19+SUMPRODUCT(($G$14:$G$71=$A19)*($E$14:$E$71=1)*(O$14:O$71="N/A")*$F$14:$F$71)))</f>
        <v/>
      </c>
      <c r="Q19" s="22">
        <f>IF(O19="SI",P19,0)</f>
        <v/>
      </c>
      <c r="R19" s="21" t="n"/>
      <c r="S19" s="22">
        <f>IF(OR($E19=0,R$78=0),0,IF(AND(R19="N/A",$G19&lt;&gt;""),0,$F19+SUMPRODUCT(($G$14:$G$71=$A19)*($E$14:$E$71=1)*(R$14:R$71="N/A")*$F$14:$F$71)))</f>
        <v/>
      </c>
      <c r="T19" s="22">
        <f>IF(R19="SI",S19,0)</f>
        <v/>
      </c>
      <c r="U19" s="21" t="n"/>
      <c r="V19" s="22">
        <f>IF(OR($E19=0,U$78=0),0,IF(AND(U19="N/A",$G19&lt;&gt;""),0,$F19+SUMPRODUCT(($G$14:$G$71=$A19)*($E$14:$E$71=1)*(U$14:U$71="N/A")*$F$14:$F$71)))</f>
        <v/>
      </c>
      <c r="W19" s="22">
        <f>IF(U19="SI",V19,0)</f>
        <v/>
      </c>
      <c r="X19" s="21" t="n"/>
      <c r="Y19" s="22">
        <f>IF(OR($E19=0,X$78=0),0,IF(AND(X19="N/A",$G19&lt;&gt;""),0,$F19+SUMPRODUCT(($G$14:$G$71=$A19)*($E$14:$E$71=1)*(X$14:X$71="N/A")*$F$14:$F$71)))</f>
        <v/>
      </c>
      <c r="Z19" s="22">
        <f>IF(X19="SI",Y19,0)</f>
        <v/>
      </c>
      <c r="AA19" s="22">
        <f>SUM(J19,M19,P19,S19,V19,Y19)</f>
        <v/>
      </c>
      <c r="AB19" s="22">
        <f>SUM(K19,N19,Q19,T19,W19,Z19)</f>
        <v/>
      </c>
      <c r="AC19" s="23">
        <f>IF(AA19=0,"",AB19/AA19)</f>
        <v/>
      </c>
      <c r="AD19" s="22">
        <f>CRITERIOS!Q7</f>
        <v/>
      </c>
      <c r="AE19" s="22">
        <f>IF(AND(E19=1,H19&lt;&gt;"X",((I19="N/A")+(L19="N/A")+(O19="N/A")+(R19="N/A")+(U19="N/A")+(X19="N/A"))&gt;0),"REVISAR","")</f>
        <v/>
      </c>
    </row>
    <row r="20">
      <c r="A20" s="19">
        <f>CRITERIOS!B8</f>
        <v/>
      </c>
      <c r="B20" s="19">
        <f>CRITERIOS!C8</f>
        <v/>
      </c>
      <c r="C20" s="20">
        <f>CRITERIOS!D8</f>
        <v/>
      </c>
      <c r="D20" s="19">
        <f>CRITERIOS!E8</f>
        <v/>
      </c>
      <c r="E20" s="19">
        <f>IFERROR(IF(AND(OR(CRITERIOS!F8="Todos",CRITERIOS!F8=$B$4),INDEX(CRITERIOS!H8:J8,MATCH($B$5,VARIABLES!$E$2:$E$4,0))=1),1,0),0)</f>
        <v/>
      </c>
      <c r="F20" s="19">
        <f>IFERROR(IF(E20=1,INDEX(CRITERIOS!K8:M8,MATCH($B$5,VARIABLES!$E$2:$E$4,0)),0),0)</f>
        <v/>
      </c>
      <c r="G20" s="19">
        <f>IF(CRITERIOS!N8="","",CRITERIOS!N8)</f>
        <v/>
      </c>
      <c r="H20" s="19">
        <f>IF(CRITERIOS!O8="","",CRITERIOS!O8)</f>
        <v/>
      </c>
      <c r="I20" s="21" t="n"/>
      <c r="J20" s="22">
        <f>IF(OR($E20=0,I$78=0),0,IF(AND(I20="N/A",$G20&lt;&gt;""),0,$F20+SUMPRODUCT(($G$14:$G$71=$A20)*($E$14:$E$71=1)*(I$14:I$71="N/A")*$F$14:$F$71)))</f>
        <v/>
      </c>
      <c r="K20" s="22">
        <f>IF(I20="SI",J20,0)</f>
        <v/>
      </c>
      <c r="L20" s="21" t="n"/>
      <c r="M20" s="22">
        <f>IF(OR($E20=0,L$78=0),0,IF(AND(L20="N/A",$G20&lt;&gt;""),0,$F20+SUMPRODUCT(($G$14:$G$71=$A20)*($E$14:$E$71=1)*(L$14:L$71="N/A")*$F$14:$F$71)))</f>
        <v/>
      </c>
      <c r="N20" s="22">
        <f>IF(L20="SI",M20,0)</f>
        <v/>
      </c>
      <c r="O20" s="21" t="n"/>
      <c r="P20" s="22">
        <f>IF(OR($E20=0,O$78=0),0,IF(AND(O20="N/A",$G20&lt;&gt;""),0,$F20+SUMPRODUCT(($G$14:$G$71=$A20)*($E$14:$E$71=1)*(O$14:O$71="N/A")*$F$14:$F$71)))</f>
        <v/>
      </c>
      <c r="Q20" s="22">
        <f>IF(O20="SI",P20,0)</f>
        <v/>
      </c>
      <c r="R20" s="21" t="n"/>
      <c r="S20" s="22">
        <f>IF(OR($E20=0,R$78=0),0,IF(AND(R20="N/A",$G20&lt;&gt;""),0,$F20+SUMPRODUCT(($G$14:$G$71=$A20)*($E$14:$E$71=1)*(R$14:R$71="N/A")*$F$14:$F$71)))</f>
        <v/>
      </c>
      <c r="T20" s="22">
        <f>IF(R20="SI",S20,0)</f>
        <v/>
      </c>
      <c r="U20" s="21" t="n"/>
      <c r="V20" s="22">
        <f>IF(OR($E20=0,U$78=0),0,IF(AND(U20="N/A",$G20&lt;&gt;""),0,$F20+SUMPRODUCT(($G$14:$G$71=$A20)*($E$14:$E$71=1)*(U$14:U$71="N/A")*$F$14:$F$71)))</f>
        <v/>
      </c>
      <c r="W20" s="22">
        <f>IF(U20="SI",V20,0)</f>
        <v/>
      </c>
      <c r="X20" s="21" t="n"/>
      <c r="Y20" s="22">
        <f>IF(OR($E20=0,X$78=0),0,IF(AND(X20="N/A",$G20&lt;&gt;""),0,$F20+SUMPRODUCT(($G$14:$G$71=$A20)*($E$14:$E$71=1)*(X$14:X$71="N/A")*$F$14:$F$71)))</f>
        <v/>
      </c>
      <c r="Z20" s="22">
        <f>IF(X20="SI",Y20,0)</f>
        <v/>
      </c>
      <c r="AA20" s="22">
        <f>SUM(J20,M20,P20,S20,V20,Y20)</f>
        <v/>
      </c>
      <c r="AB20" s="22">
        <f>SUM(K20,N20,Q20,T20,W20,Z20)</f>
        <v/>
      </c>
      <c r="AC20" s="23">
        <f>IF(AA20=0,"",AB20/AA20)</f>
        <v/>
      </c>
      <c r="AD20" s="22">
        <f>CRITERIOS!Q8</f>
        <v/>
      </c>
      <c r="AE20" s="22">
        <f>IF(AND(E20=1,H20&lt;&gt;"X",((I20="N/A")+(L20="N/A")+(O20="N/A")+(R20="N/A")+(U20="N/A")+(X20="N/A"))&gt;0),"REVISAR","")</f>
        <v/>
      </c>
    </row>
    <row r="21">
      <c r="A21" s="19">
        <f>CRITERIOS!B9</f>
        <v/>
      </c>
      <c r="B21" s="19">
        <f>CRITERIOS!C9</f>
        <v/>
      </c>
      <c r="C21" s="20">
        <f>CRITERIOS!D9</f>
        <v/>
      </c>
      <c r="D21" s="19">
        <f>CRITERIOS!E9</f>
        <v/>
      </c>
      <c r="E21" s="19">
        <f>IFERROR(IF(AND(OR(CRITERIOS!F9="Todos",CRITERIOS!F9=$B$4),INDEX(CRITERIOS!H9:J9,MATCH($B$5,VARIABLES!$E$2:$E$4,0))=1),1,0),0)</f>
        <v/>
      </c>
      <c r="F21" s="19">
        <f>IFERROR(IF(E21=1,INDEX(CRITERIOS!K9:M9,MATCH($B$5,VARIABLES!$E$2:$E$4,0)),0),0)</f>
        <v/>
      </c>
      <c r="G21" s="19">
        <f>IF(CRITERIOS!N9="","",CRITERIOS!N9)</f>
        <v/>
      </c>
      <c r="H21" s="19">
        <f>IF(CRITERIOS!O9="","",CRITERIOS!O9)</f>
        <v/>
      </c>
      <c r="I21" s="21" t="n"/>
      <c r="J21" s="22">
        <f>IF(OR($E21=0,I$78=0),0,IF(AND(I21="N/A",$G21&lt;&gt;""),0,$F21+SUMPRODUCT(($G$14:$G$71=$A21)*($E$14:$E$71=1)*(I$14:I$71="N/A")*$F$14:$F$71)))</f>
        <v/>
      </c>
      <c r="K21" s="22">
        <f>IF(I21="SI",J21,0)</f>
        <v/>
      </c>
      <c r="L21" s="21" t="n"/>
      <c r="M21" s="22">
        <f>IF(OR($E21=0,L$78=0),0,IF(AND(L21="N/A",$G21&lt;&gt;""),0,$F21+SUMPRODUCT(($G$14:$G$71=$A21)*($E$14:$E$71=1)*(L$14:L$71="N/A")*$F$14:$F$71)))</f>
        <v/>
      </c>
      <c r="N21" s="22">
        <f>IF(L21="SI",M21,0)</f>
        <v/>
      </c>
      <c r="O21" s="21" t="n"/>
      <c r="P21" s="22">
        <f>IF(OR($E21=0,O$78=0),0,IF(AND(O21="N/A",$G21&lt;&gt;""),0,$F21+SUMPRODUCT(($G$14:$G$71=$A21)*($E$14:$E$71=1)*(O$14:O$71="N/A")*$F$14:$F$71)))</f>
        <v/>
      </c>
      <c r="Q21" s="22">
        <f>IF(O21="SI",P21,0)</f>
        <v/>
      </c>
      <c r="R21" s="21" t="n"/>
      <c r="S21" s="22">
        <f>IF(OR($E21=0,R$78=0),0,IF(AND(R21="N/A",$G21&lt;&gt;""),0,$F21+SUMPRODUCT(($G$14:$G$71=$A21)*($E$14:$E$71=1)*(R$14:R$71="N/A")*$F$14:$F$71)))</f>
        <v/>
      </c>
      <c r="T21" s="22">
        <f>IF(R21="SI",S21,0)</f>
        <v/>
      </c>
      <c r="U21" s="21" t="n"/>
      <c r="V21" s="22">
        <f>IF(OR($E21=0,U$78=0),0,IF(AND(U21="N/A",$G21&lt;&gt;""),0,$F21+SUMPRODUCT(($G$14:$G$71=$A21)*($E$14:$E$71=1)*(U$14:U$71="N/A")*$F$14:$F$71)))</f>
        <v/>
      </c>
      <c r="W21" s="22">
        <f>IF(U21="SI",V21,0)</f>
        <v/>
      </c>
      <c r="X21" s="21" t="n"/>
      <c r="Y21" s="22">
        <f>IF(OR($E21=0,X$78=0),0,IF(AND(X21="N/A",$G21&lt;&gt;""),0,$F21+SUMPRODUCT(($G$14:$G$71=$A21)*($E$14:$E$71=1)*(X$14:X$71="N/A")*$F$14:$F$71)))</f>
        <v/>
      </c>
      <c r="Z21" s="22">
        <f>IF(X21="SI",Y21,0)</f>
        <v/>
      </c>
      <c r="AA21" s="22">
        <f>SUM(J21,M21,P21,S21,V21,Y21)</f>
        <v/>
      </c>
      <c r="AB21" s="22">
        <f>SUM(K21,N21,Q21,T21,W21,Z21)</f>
        <v/>
      </c>
      <c r="AC21" s="23">
        <f>IF(AA21=0,"",AB21/AA21)</f>
        <v/>
      </c>
      <c r="AD21" s="22">
        <f>CRITERIOS!Q9</f>
        <v/>
      </c>
      <c r="AE21" s="22">
        <f>IF(AND(E21=1,H21&lt;&gt;"X",((I21="N/A")+(L21="N/A")+(O21="N/A")+(R21="N/A")+(U21="N/A")+(X21="N/A"))&gt;0),"REVISAR","")</f>
        <v/>
      </c>
    </row>
    <row r="22">
      <c r="A22" s="19">
        <f>CRITERIOS!B10</f>
        <v/>
      </c>
      <c r="B22" s="19">
        <f>CRITERIOS!C10</f>
        <v/>
      </c>
      <c r="C22" s="20">
        <f>CRITERIOS!D10</f>
        <v/>
      </c>
      <c r="D22" s="19">
        <f>CRITERIOS!E10</f>
        <v/>
      </c>
      <c r="E22" s="19">
        <f>IFERROR(IF(AND(OR(CRITERIOS!F10="Todos",CRITERIOS!F10=$B$4),INDEX(CRITERIOS!H10:J10,MATCH($B$5,VARIABLES!$E$2:$E$4,0))=1),1,0),0)</f>
        <v/>
      </c>
      <c r="F22" s="19">
        <f>IFERROR(IF(E22=1,INDEX(CRITERIOS!K10:M10,MATCH($B$5,VARIABLES!$E$2:$E$4,0)),0),0)</f>
        <v/>
      </c>
      <c r="G22" s="19">
        <f>IF(CRITERIOS!N10="","",CRITERIOS!N10)</f>
        <v/>
      </c>
      <c r="H22" s="19">
        <f>IF(CRITERIOS!O10="","",CRITERIOS!O10)</f>
        <v/>
      </c>
      <c r="I22" s="21" t="n"/>
      <c r="J22" s="22">
        <f>IF(OR($E22=0,I$78=0),0,IF(AND(I22="N/A",$G22&lt;&gt;""),0,$F22+SUMPRODUCT(($G$14:$G$71=$A22)*($E$14:$E$71=1)*(I$14:I$71="N/A")*$F$14:$F$71)))</f>
        <v/>
      </c>
      <c r="K22" s="22">
        <f>IF(I22="SI",J22,0)</f>
        <v/>
      </c>
      <c r="L22" s="21" t="n"/>
      <c r="M22" s="22">
        <f>IF(OR($E22=0,L$78=0),0,IF(AND(L22="N/A",$G22&lt;&gt;""),0,$F22+SUMPRODUCT(($G$14:$G$71=$A22)*($E$14:$E$71=1)*(L$14:L$71="N/A")*$F$14:$F$71)))</f>
        <v/>
      </c>
      <c r="N22" s="22">
        <f>IF(L22="SI",M22,0)</f>
        <v/>
      </c>
      <c r="O22" s="21" t="n"/>
      <c r="P22" s="22">
        <f>IF(OR($E22=0,O$78=0),0,IF(AND(O22="N/A",$G22&lt;&gt;""),0,$F22+SUMPRODUCT(($G$14:$G$71=$A22)*($E$14:$E$71=1)*(O$14:O$71="N/A")*$F$14:$F$71)))</f>
        <v/>
      </c>
      <c r="Q22" s="22">
        <f>IF(O22="SI",P22,0)</f>
        <v/>
      </c>
      <c r="R22" s="21" t="n"/>
      <c r="S22" s="22">
        <f>IF(OR($E22=0,R$78=0),0,IF(AND(R22="N/A",$G22&lt;&gt;""),0,$F22+SUMPRODUCT(($G$14:$G$71=$A22)*($E$14:$E$71=1)*(R$14:R$71="N/A")*$F$14:$F$71)))</f>
        <v/>
      </c>
      <c r="T22" s="22">
        <f>IF(R22="SI",S22,0)</f>
        <v/>
      </c>
      <c r="U22" s="21" t="n"/>
      <c r="V22" s="22">
        <f>IF(OR($E22=0,U$78=0),0,IF(AND(U22="N/A",$G22&lt;&gt;""),0,$F22+SUMPRODUCT(($G$14:$G$71=$A22)*($E$14:$E$71=1)*(U$14:U$71="N/A")*$F$14:$F$71)))</f>
        <v/>
      </c>
      <c r="W22" s="22">
        <f>IF(U22="SI",V22,0)</f>
        <v/>
      </c>
      <c r="X22" s="21" t="n"/>
      <c r="Y22" s="22">
        <f>IF(OR($E22=0,X$78=0),0,IF(AND(X22="N/A",$G22&lt;&gt;""),0,$F22+SUMPRODUCT(($G$14:$G$71=$A22)*($E$14:$E$71=1)*(X$14:X$71="N/A")*$F$14:$F$71)))</f>
        <v/>
      </c>
      <c r="Z22" s="22">
        <f>IF(X22="SI",Y22,0)</f>
        <v/>
      </c>
      <c r="AA22" s="22">
        <f>SUM(J22,M22,P22,S22,V22,Y22)</f>
        <v/>
      </c>
      <c r="AB22" s="22">
        <f>SUM(K22,N22,Q22,T22,W22,Z22)</f>
        <v/>
      </c>
      <c r="AC22" s="23">
        <f>IF(AA22=0,"",AB22/AA22)</f>
        <v/>
      </c>
      <c r="AD22" s="22">
        <f>CRITERIOS!Q10</f>
        <v/>
      </c>
      <c r="AE22" s="22">
        <f>IF(AND(E22=1,H22&lt;&gt;"X",((I22="N/A")+(L22="N/A")+(O22="N/A")+(R22="N/A")+(U22="N/A")+(X22="N/A"))&gt;0),"REVISAR","")</f>
        <v/>
      </c>
    </row>
    <row r="23">
      <c r="A23" s="19">
        <f>CRITERIOS!B11</f>
        <v/>
      </c>
      <c r="B23" s="19">
        <f>CRITERIOS!C11</f>
        <v/>
      </c>
      <c r="C23" s="20">
        <f>CRITERIOS!D11</f>
        <v/>
      </c>
      <c r="D23" s="19">
        <f>CRITERIOS!E11</f>
        <v/>
      </c>
      <c r="E23" s="19">
        <f>IFERROR(IF(AND(OR(CRITERIOS!F11="Todos",CRITERIOS!F11=$B$4),INDEX(CRITERIOS!H11:J11,MATCH($B$5,VARIABLES!$E$2:$E$4,0))=1),1,0),0)</f>
        <v/>
      </c>
      <c r="F23" s="19">
        <f>IFERROR(IF(E23=1,INDEX(CRITERIOS!K11:M11,MATCH($B$5,VARIABLES!$E$2:$E$4,0)),0),0)</f>
        <v/>
      </c>
      <c r="G23" s="19">
        <f>IF(CRITERIOS!N11="","",CRITERIOS!N11)</f>
        <v/>
      </c>
      <c r="H23" s="19">
        <f>IF(CRITERIOS!O11="","",CRITERIOS!O11)</f>
        <v/>
      </c>
      <c r="I23" s="21" t="n"/>
      <c r="J23" s="22">
        <f>IF(OR($E23=0,I$78=0),0,IF(AND(I23="N/A",$G23&lt;&gt;""),0,$F23+SUMPRODUCT(($G$14:$G$71=$A23)*($E$14:$E$71=1)*(I$14:I$71="N/A")*$F$14:$F$71)))</f>
        <v/>
      </c>
      <c r="K23" s="22">
        <f>IF(I23="SI",J23,0)</f>
        <v/>
      </c>
      <c r="L23" s="21" t="n"/>
      <c r="M23" s="22">
        <f>IF(OR($E23=0,L$78=0),0,IF(AND(L23="N/A",$G23&lt;&gt;""),0,$F23+SUMPRODUCT(($G$14:$G$71=$A23)*($E$14:$E$71=1)*(L$14:L$71="N/A")*$F$14:$F$71)))</f>
        <v/>
      </c>
      <c r="N23" s="22">
        <f>IF(L23="SI",M23,0)</f>
        <v/>
      </c>
      <c r="O23" s="21" t="n"/>
      <c r="P23" s="22">
        <f>IF(OR($E23=0,O$78=0),0,IF(AND(O23="N/A",$G23&lt;&gt;""),0,$F23+SUMPRODUCT(($G$14:$G$71=$A23)*($E$14:$E$71=1)*(O$14:O$71="N/A")*$F$14:$F$71)))</f>
        <v/>
      </c>
      <c r="Q23" s="22">
        <f>IF(O23="SI",P23,0)</f>
        <v/>
      </c>
      <c r="R23" s="21" t="n"/>
      <c r="S23" s="22">
        <f>IF(OR($E23=0,R$78=0),0,IF(AND(R23="N/A",$G23&lt;&gt;""),0,$F23+SUMPRODUCT(($G$14:$G$71=$A23)*($E$14:$E$71=1)*(R$14:R$71="N/A")*$F$14:$F$71)))</f>
        <v/>
      </c>
      <c r="T23" s="22">
        <f>IF(R23="SI",S23,0)</f>
        <v/>
      </c>
      <c r="U23" s="21" t="n"/>
      <c r="V23" s="22">
        <f>IF(OR($E23=0,U$78=0),0,IF(AND(U23="N/A",$G23&lt;&gt;""),0,$F23+SUMPRODUCT(($G$14:$G$71=$A23)*($E$14:$E$71=1)*(U$14:U$71="N/A")*$F$14:$F$71)))</f>
        <v/>
      </c>
      <c r="W23" s="22">
        <f>IF(U23="SI",V23,0)</f>
        <v/>
      </c>
      <c r="X23" s="21" t="n"/>
      <c r="Y23" s="22">
        <f>IF(OR($E23=0,X$78=0),0,IF(AND(X23="N/A",$G23&lt;&gt;""),0,$F23+SUMPRODUCT(($G$14:$G$71=$A23)*($E$14:$E$71=1)*(X$14:X$71="N/A")*$F$14:$F$71)))</f>
        <v/>
      </c>
      <c r="Z23" s="22">
        <f>IF(X23="SI",Y23,0)</f>
        <v/>
      </c>
      <c r="AA23" s="22">
        <f>SUM(J23,M23,P23,S23,V23,Y23)</f>
        <v/>
      </c>
      <c r="AB23" s="22">
        <f>SUM(K23,N23,Q23,T23,W23,Z23)</f>
        <v/>
      </c>
      <c r="AC23" s="23">
        <f>IF(AA23=0,"",AB23/AA23)</f>
        <v/>
      </c>
      <c r="AD23" s="22">
        <f>CRITERIOS!Q11</f>
        <v/>
      </c>
      <c r="AE23" s="22">
        <f>IF(AND(E23=1,H23&lt;&gt;"X",((I23="N/A")+(L23="N/A")+(O23="N/A")+(R23="N/A")+(U23="N/A")+(X23="N/A"))&gt;0),"REVISAR","")</f>
        <v/>
      </c>
    </row>
    <row r="24">
      <c r="A24" s="19">
        <f>CRITERIOS!B12</f>
        <v/>
      </c>
      <c r="B24" s="19">
        <f>CRITERIOS!C12</f>
        <v/>
      </c>
      <c r="C24" s="20">
        <f>CRITERIOS!D12</f>
        <v/>
      </c>
      <c r="D24" s="19">
        <f>CRITERIOS!E12</f>
        <v/>
      </c>
      <c r="E24" s="19">
        <f>IFERROR(IF(AND(OR(CRITERIOS!F12="Todos",CRITERIOS!F12=$B$4),INDEX(CRITERIOS!H12:J12,MATCH($B$5,VARIABLES!$E$2:$E$4,0))=1),1,0),0)</f>
        <v/>
      </c>
      <c r="F24" s="19">
        <f>IFERROR(IF(E24=1,INDEX(CRITERIOS!K12:M12,MATCH($B$5,VARIABLES!$E$2:$E$4,0)),0),0)</f>
        <v/>
      </c>
      <c r="G24" s="19">
        <f>IF(CRITERIOS!N12="","",CRITERIOS!N12)</f>
        <v/>
      </c>
      <c r="H24" s="19">
        <f>IF(CRITERIOS!O12="","",CRITERIOS!O12)</f>
        <v/>
      </c>
      <c r="I24" s="21" t="n"/>
      <c r="J24" s="22">
        <f>IF(OR($E24=0,I$78=0),0,IF(AND(I24="N/A",$G24&lt;&gt;""),0,$F24+SUMPRODUCT(($G$14:$G$71=$A24)*($E$14:$E$71=1)*(I$14:I$71="N/A")*$F$14:$F$71)))</f>
        <v/>
      </c>
      <c r="K24" s="22">
        <f>IF(I24="SI",J24,0)</f>
        <v/>
      </c>
      <c r="L24" s="21" t="n"/>
      <c r="M24" s="22">
        <f>IF(OR($E24=0,L$78=0),0,IF(AND(L24="N/A",$G24&lt;&gt;""),0,$F24+SUMPRODUCT(($G$14:$G$71=$A24)*($E$14:$E$71=1)*(L$14:L$71="N/A")*$F$14:$F$71)))</f>
        <v/>
      </c>
      <c r="N24" s="22">
        <f>IF(L24="SI",M24,0)</f>
        <v/>
      </c>
      <c r="O24" s="21" t="n"/>
      <c r="P24" s="22">
        <f>IF(OR($E24=0,O$78=0),0,IF(AND(O24="N/A",$G24&lt;&gt;""),0,$F24+SUMPRODUCT(($G$14:$G$71=$A24)*($E$14:$E$71=1)*(O$14:O$71="N/A")*$F$14:$F$71)))</f>
        <v/>
      </c>
      <c r="Q24" s="22">
        <f>IF(O24="SI",P24,0)</f>
        <v/>
      </c>
      <c r="R24" s="21" t="n"/>
      <c r="S24" s="22">
        <f>IF(OR($E24=0,R$78=0),0,IF(AND(R24="N/A",$G24&lt;&gt;""),0,$F24+SUMPRODUCT(($G$14:$G$71=$A24)*($E$14:$E$71=1)*(R$14:R$71="N/A")*$F$14:$F$71)))</f>
        <v/>
      </c>
      <c r="T24" s="22">
        <f>IF(R24="SI",S24,0)</f>
        <v/>
      </c>
      <c r="U24" s="21" t="n"/>
      <c r="V24" s="22">
        <f>IF(OR($E24=0,U$78=0),0,IF(AND(U24="N/A",$G24&lt;&gt;""),0,$F24+SUMPRODUCT(($G$14:$G$71=$A24)*($E$14:$E$71=1)*(U$14:U$71="N/A")*$F$14:$F$71)))</f>
        <v/>
      </c>
      <c r="W24" s="22">
        <f>IF(U24="SI",V24,0)</f>
        <v/>
      </c>
      <c r="X24" s="21" t="n"/>
      <c r="Y24" s="22">
        <f>IF(OR($E24=0,X$78=0),0,IF(AND(X24="N/A",$G24&lt;&gt;""),0,$F24+SUMPRODUCT(($G$14:$G$71=$A24)*($E$14:$E$71=1)*(X$14:X$71="N/A")*$F$14:$F$71)))</f>
        <v/>
      </c>
      <c r="Z24" s="22">
        <f>IF(X24="SI",Y24,0)</f>
        <v/>
      </c>
      <c r="AA24" s="22">
        <f>SUM(J24,M24,P24,S24,V24,Y24)</f>
        <v/>
      </c>
      <c r="AB24" s="22">
        <f>SUM(K24,N24,Q24,T24,W24,Z24)</f>
        <v/>
      </c>
      <c r="AC24" s="23">
        <f>IF(AA24=0,"",AB24/AA24)</f>
        <v/>
      </c>
      <c r="AD24" s="22">
        <f>CRITERIOS!Q12</f>
        <v/>
      </c>
      <c r="AE24" s="22">
        <f>IF(AND(E24=1,H24&lt;&gt;"X",((I24="N/A")+(L24="N/A")+(O24="N/A")+(R24="N/A")+(U24="N/A")+(X24="N/A"))&gt;0),"REVISAR","")</f>
        <v/>
      </c>
    </row>
    <row r="25">
      <c r="A25" s="19">
        <f>CRITERIOS!B13</f>
        <v/>
      </c>
      <c r="B25" s="19">
        <f>CRITERIOS!C13</f>
        <v/>
      </c>
      <c r="C25" s="20">
        <f>CRITERIOS!D13</f>
        <v/>
      </c>
      <c r="D25" s="19">
        <f>CRITERIOS!E13</f>
        <v/>
      </c>
      <c r="E25" s="19">
        <f>IFERROR(IF(AND(OR(CRITERIOS!F13="Todos",CRITERIOS!F13=$B$4),INDEX(CRITERIOS!H13:J13,MATCH($B$5,VARIABLES!$E$2:$E$4,0))=1),1,0),0)</f>
        <v/>
      </c>
      <c r="F25" s="19">
        <f>IFERROR(IF(E25=1,INDEX(CRITERIOS!K13:M13,MATCH($B$5,VARIABLES!$E$2:$E$4,0)),0),0)</f>
        <v/>
      </c>
      <c r="G25" s="19">
        <f>IF(CRITERIOS!N13="","",CRITERIOS!N13)</f>
        <v/>
      </c>
      <c r="H25" s="19">
        <f>IF(CRITERIOS!O13="","",CRITERIOS!O13)</f>
        <v/>
      </c>
      <c r="I25" s="21" t="n"/>
      <c r="J25" s="22">
        <f>IF(OR($E25=0,I$78=0),0,IF(AND(I25="N/A",$G25&lt;&gt;""),0,$F25+SUMPRODUCT(($G$14:$G$71=$A25)*($E$14:$E$71=1)*(I$14:I$71="N/A")*$F$14:$F$71)))</f>
        <v/>
      </c>
      <c r="K25" s="22">
        <f>IF(I25="SI",J25,0)</f>
        <v/>
      </c>
      <c r="L25" s="21" t="n"/>
      <c r="M25" s="22">
        <f>IF(OR($E25=0,L$78=0),0,IF(AND(L25="N/A",$G25&lt;&gt;""),0,$F25+SUMPRODUCT(($G$14:$G$71=$A25)*($E$14:$E$71=1)*(L$14:L$71="N/A")*$F$14:$F$71)))</f>
        <v/>
      </c>
      <c r="N25" s="22">
        <f>IF(L25="SI",M25,0)</f>
        <v/>
      </c>
      <c r="O25" s="21" t="n"/>
      <c r="P25" s="22">
        <f>IF(OR($E25=0,O$78=0),0,IF(AND(O25="N/A",$G25&lt;&gt;""),0,$F25+SUMPRODUCT(($G$14:$G$71=$A25)*($E$14:$E$71=1)*(O$14:O$71="N/A")*$F$14:$F$71)))</f>
        <v/>
      </c>
      <c r="Q25" s="22">
        <f>IF(O25="SI",P25,0)</f>
        <v/>
      </c>
      <c r="R25" s="21" t="n"/>
      <c r="S25" s="22">
        <f>IF(OR($E25=0,R$78=0),0,IF(AND(R25="N/A",$G25&lt;&gt;""),0,$F25+SUMPRODUCT(($G$14:$G$71=$A25)*($E$14:$E$71=1)*(R$14:R$71="N/A")*$F$14:$F$71)))</f>
        <v/>
      </c>
      <c r="T25" s="22">
        <f>IF(R25="SI",S25,0)</f>
        <v/>
      </c>
      <c r="U25" s="21" t="n"/>
      <c r="V25" s="22">
        <f>IF(OR($E25=0,U$78=0),0,IF(AND(U25="N/A",$G25&lt;&gt;""),0,$F25+SUMPRODUCT(($G$14:$G$71=$A25)*($E$14:$E$71=1)*(U$14:U$71="N/A")*$F$14:$F$71)))</f>
        <v/>
      </c>
      <c r="W25" s="22">
        <f>IF(U25="SI",V25,0)</f>
        <v/>
      </c>
      <c r="X25" s="21" t="n"/>
      <c r="Y25" s="22">
        <f>IF(OR($E25=0,X$78=0),0,IF(AND(X25="N/A",$G25&lt;&gt;""),0,$F25+SUMPRODUCT(($G$14:$G$71=$A25)*($E$14:$E$71=1)*(X$14:X$71="N/A")*$F$14:$F$71)))</f>
        <v/>
      </c>
      <c r="Z25" s="22">
        <f>IF(X25="SI",Y25,0)</f>
        <v/>
      </c>
      <c r="AA25" s="22">
        <f>SUM(J25,M25,P25,S25,V25,Y25)</f>
        <v/>
      </c>
      <c r="AB25" s="22">
        <f>SUM(K25,N25,Q25,T25,W25,Z25)</f>
        <v/>
      </c>
      <c r="AC25" s="23">
        <f>IF(AA25=0,"",AB25/AA25)</f>
        <v/>
      </c>
      <c r="AD25" s="22">
        <f>CRITERIOS!Q13</f>
        <v/>
      </c>
      <c r="AE25" s="22">
        <f>IF(AND(E25=1,H25&lt;&gt;"X",((I25="N/A")+(L25="N/A")+(O25="N/A")+(R25="N/A")+(U25="N/A")+(X25="N/A"))&gt;0),"REVISAR","")</f>
        <v/>
      </c>
    </row>
    <row r="26">
      <c r="A26" s="19">
        <f>CRITERIOS!B14</f>
        <v/>
      </c>
      <c r="B26" s="19">
        <f>CRITERIOS!C14</f>
        <v/>
      </c>
      <c r="C26" s="20">
        <f>CRITERIOS!D14</f>
        <v/>
      </c>
      <c r="D26" s="19">
        <f>CRITERIOS!E14</f>
        <v/>
      </c>
      <c r="E26" s="19">
        <f>IFERROR(IF(AND(OR(CRITERIOS!F14="Todos",CRITERIOS!F14=$B$4),INDEX(CRITERIOS!H14:J14,MATCH($B$5,VARIABLES!$E$2:$E$4,0))=1),1,0),0)</f>
        <v/>
      </c>
      <c r="F26" s="19">
        <f>IFERROR(IF(E26=1,INDEX(CRITERIOS!K14:M14,MATCH($B$5,VARIABLES!$E$2:$E$4,0)),0),0)</f>
        <v/>
      </c>
      <c r="G26" s="19">
        <f>IF(CRITERIOS!N14="","",CRITERIOS!N14)</f>
        <v/>
      </c>
      <c r="H26" s="19">
        <f>IF(CRITERIOS!O14="","",CRITERIOS!O14)</f>
        <v/>
      </c>
      <c r="I26" s="21" t="n"/>
      <c r="J26" s="22">
        <f>IF(OR($E26=0,I$78=0),0,IF(AND(I26="N/A",$G26&lt;&gt;""),0,$F26+SUMPRODUCT(($G$14:$G$71=$A26)*($E$14:$E$71=1)*(I$14:I$71="N/A")*$F$14:$F$71)))</f>
        <v/>
      </c>
      <c r="K26" s="22">
        <f>IF(I26="SI",J26,0)</f>
        <v/>
      </c>
      <c r="L26" s="21" t="n"/>
      <c r="M26" s="22">
        <f>IF(OR($E26=0,L$78=0),0,IF(AND(L26="N/A",$G26&lt;&gt;""),0,$F26+SUMPRODUCT(($G$14:$G$71=$A26)*($E$14:$E$71=1)*(L$14:L$71="N/A")*$F$14:$F$71)))</f>
        <v/>
      </c>
      <c r="N26" s="22">
        <f>IF(L26="SI",M26,0)</f>
        <v/>
      </c>
      <c r="O26" s="21" t="n"/>
      <c r="P26" s="22">
        <f>IF(OR($E26=0,O$78=0),0,IF(AND(O26="N/A",$G26&lt;&gt;""),0,$F26+SUMPRODUCT(($G$14:$G$71=$A26)*($E$14:$E$71=1)*(O$14:O$71="N/A")*$F$14:$F$71)))</f>
        <v/>
      </c>
      <c r="Q26" s="22">
        <f>IF(O26="SI",P26,0)</f>
        <v/>
      </c>
      <c r="R26" s="21" t="n"/>
      <c r="S26" s="22">
        <f>IF(OR($E26=0,R$78=0),0,IF(AND(R26="N/A",$G26&lt;&gt;""),0,$F26+SUMPRODUCT(($G$14:$G$71=$A26)*($E$14:$E$71=1)*(R$14:R$71="N/A")*$F$14:$F$71)))</f>
        <v/>
      </c>
      <c r="T26" s="22">
        <f>IF(R26="SI",S26,0)</f>
        <v/>
      </c>
      <c r="U26" s="21" t="n"/>
      <c r="V26" s="22">
        <f>IF(OR($E26=0,U$78=0),0,IF(AND(U26="N/A",$G26&lt;&gt;""),0,$F26+SUMPRODUCT(($G$14:$G$71=$A26)*($E$14:$E$71=1)*(U$14:U$71="N/A")*$F$14:$F$71)))</f>
        <v/>
      </c>
      <c r="W26" s="22">
        <f>IF(U26="SI",V26,0)</f>
        <v/>
      </c>
      <c r="X26" s="21" t="n"/>
      <c r="Y26" s="22">
        <f>IF(OR($E26=0,X$78=0),0,IF(AND(X26="N/A",$G26&lt;&gt;""),0,$F26+SUMPRODUCT(($G$14:$G$71=$A26)*($E$14:$E$71=1)*(X$14:X$71="N/A")*$F$14:$F$71)))</f>
        <v/>
      </c>
      <c r="Z26" s="22">
        <f>IF(X26="SI",Y26,0)</f>
        <v/>
      </c>
      <c r="AA26" s="22">
        <f>SUM(J26,M26,P26,S26,V26,Y26)</f>
        <v/>
      </c>
      <c r="AB26" s="22">
        <f>SUM(K26,N26,Q26,T26,W26,Z26)</f>
        <v/>
      </c>
      <c r="AC26" s="23">
        <f>IF(AA26=0,"",AB26/AA26)</f>
        <v/>
      </c>
      <c r="AD26" s="22">
        <f>CRITERIOS!Q14</f>
        <v/>
      </c>
      <c r="AE26" s="22">
        <f>IF(AND(E26=1,H26&lt;&gt;"X",((I26="N/A")+(L26="N/A")+(O26="N/A")+(R26="N/A")+(U26="N/A")+(X26="N/A"))&gt;0),"REVISAR","")</f>
        <v/>
      </c>
    </row>
    <row r="27">
      <c r="A27" s="19">
        <f>CRITERIOS!B15</f>
        <v/>
      </c>
      <c r="B27" s="19">
        <f>CRITERIOS!C15</f>
        <v/>
      </c>
      <c r="C27" s="20">
        <f>CRITERIOS!D15</f>
        <v/>
      </c>
      <c r="D27" s="19">
        <f>CRITERIOS!E15</f>
        <v/>
      </c>
      <c r="E27" s="19">
        <f>IFERROR(IF(AND(OR(CRITERIOS!F15="Todos",CRITERIOS!F15=$B$4),INDEX(CRITERIOS!H15:J15,MATCH($B$5,VARIABLES!$E$2:$E$4,0))=1),1,0),0)</f>
        <v/>
      </c>
      <c r="F27" s="19">
        <f>IFERROR(IF(E27=1,INDEX(CRITERIOS!K15:M15,MATCH($B$5,VARIABLES!$E$2:$E$4,0)),0),0)</f>
        <v/>
      </c>
      <c r="G27" s="19">
        <f>IF(CRITERIOS!N15="","",CRITERIOS!N15)</f>
        <v/>
      </c>
      <c r="H27" s="19">
        <f>IF(CRITERIOS!O15="","",CRITERIOS!O15)</f>
        <v/>
      </c>
      <c r="I27" s="21" t="n"/>
      <c r="J27" s="22">
        <f>IF(OR($E27=0,I$78=0),0,IF(AND(I27="N/A",$G27&lt;&gt;""),0,$F27+SUMPRODUCT(($G$14:$G$71=$A27)*($E$14:$E$71=1)*(I$14:I$71="N/A")*$F$14:$F$71)))</f>
        <v/>
      </c>
      <c r="K27" s="22">
        <f>IF(I27="SI",J27,0)</f>
        <v/>
      </c>
      <c r="L27" s="21" t="n"/>
      <c r="M27" s="22">
        <f>IF(OR($E27=0,L$78=0),0,IF(AND(L27="N/A",$G27&lt;&gt;""),0,$F27+SUMPRODUCT(($G$14:$G$71=$A27)*($E$14:$E$71=1)*(L$14:L$71="N/A")*$F$14:$F$71)))</f>
        <v/>
      </c>
      <c r="N27" s="22">
        <f>IF(L27="SI",M27,0)</f>
        <v/>
      </c>
      <c r="O27" s="21" t="n"/>
      <c r="P27" s="22">
        <f>IF(OR($E27=0,O$78=0),0,IF(AND(O27="N/A",$G27&lt;&gt;""),0,$F27+SUMPRODUCT(($G$14:$G$71=$A27)*($E$14:$E$71=1)*(O$14:O$71="N/A")*$F$14:$F$71)))</f>
        <v/>
      </c>
      <c r="Q27" s="22">
        <f>IF(O27="SI",P27,0)</f>
        <v/>
      </c>
      <c r="R27" s="21" t="n"/>
      <c r="S27" s="22">
        <f>IF(OR($E27=0,R$78=0),0,IF(AND(R27="N/A",$G27&lt;&gt;""),0,$F27+SUMPRODUCT(($G$14:$G$71=$A27)*($E$14:$E$71=1)*(R$14:R$71="N/A")*$F$14:$F$71)))</f>
        <v/>
      </c>
      <c r="T27" s="22">
        <f>IF(R27="SI",S27,0)</f>
        <v/>
      </c>
      <c r="U27" s="21" t="n"/>
      <c r="V27" s="22">
        <f>IF(OR($E27=0,U$78=0),0,IF(AND(U27="N/A",$G27&lt;&gt;""),0,$F27+SUMPRODUCT(($G$14:$G$71=$A27)*($E$14:$E$71=1)*(U$14:U$71="N/A")*$F$14:$F$71)))</f>
        <v/>
      </c>
      <c r="W27" s="22">
        <f>IF(U27="SI",V27,0)</f>
        <v/>
      </c>
      <c r="X27" s="21" t="n"/>
      <c r="Y27" s="22">
        <f>IF(OR($E27=0,X$78=0),0,IF(AND(X27="N/A",$G27&lt;&gt;""),0,$F27+SUMPRODUCT(($G$14:$G$71=$A27)*($E$14:$E$71=1)*(X$14:X$71="N/A")*$F$14:$F$71)))</f>
        <v/>
      </c>
      <c r="Z27" s="22">
        <f>IF(X27="SI",Y27,0)</f>
        <v/>
      </c>
      <c r="AA27" s="22">
        <f>SUM(J27,M27,P27,S27,V27,Y27)</f>
        <v/>
      </c>
      <c r="AB27" s="22">
        <f>SUM(K27,N27,Q27,T27,W27,Z27)</f>
        <v/>
      </c>
      <c r="AC27" s="23">
        <f>IF(AA27=0,"",AB27/AA27)</f>
        <v/>
      </c>
      <c r="AD27" s="22">
        <f>CRITERIOS!Q15</f>
        <v/>
      </c>
      <c r="AE27" s="22">
        <f>IF(AND(E27=1,H27&lt;&gt;"X",((I27="N/A")+(L27="N/A")+(O27="N/A")+(R27="N/A")+(U27="N/A")+(X27="N/A"))&gt;0),"REVISAR","")</f>
        <v/>
      </c>
    </row>
    <row r="28">
      <c r="A28" s="19">
        <f>CRITERIOS!B16</f>
        <v/>
      </c>
      <c r="B28" s="19">
        <f>CRITERIOS!C16</f>
        <v/>
      </c>
      <c r="C28" s="20">
        <f>CRITERIOS!D16</f>
        <v/>
      </c>
      <c r="D28" s="19">
        <f>CRITERIOS!E16</f>
        <v/>
      </c>
      <c r="E28" s="19">
        <f>IFERROR(IF(AND(OR(CRITERIOS!F16="Todos",CRITERIOS!F16=$B$4),INDEX(CRITERIOS!H16:J16,MATCH($B$5,VARIABLES!$E$2:$E$4,0))=1),1,0),0)</f>
        <v/>
      </c>
      <c r="F28" s="19">
        <f>IFERROR(IF(E28=1,INDEX(CRITERIOS!K16:M16,MATCH($B$5,VARIABLES!$E$2:$E$4,0)),0),0)</f>
        <v/>
      </c>
      <c r="G28" s="19">
        <f>IF(CRITERIOS!N16="","",CRITERIOS!N16)</f>
        <v/>
      </c>
      <c r="H28" s="19">
        <f>IF(CRITERIOS!O16="","",CRITERIOS!O16)</f>
        <v/>
      </c>
      <c r="I28" s="21" t="n"/>
      <c r="J28" s="22">
        <f>IF(OR($E28=0,I$78=0),0,IF(AND(I28="N/A",$G28&lt;&gt;""),0,$F28+SUMPRODUCT(($G$14:$G$71=$A28)*($E$14:$E$71=1)*(I$14:I$71="N/A")*$F$14:$F$71)))</f>
        <v/>
      </c>
      <c r="K28" s="22">
        <f>IF(I28="SI",J28,0)</f>
        <v/>
      </c>
      <c r="L28" s="21" t="n"/>
      <c r="M28" s="22">
        <f>IF(OR($E28=0,L$78=0),0,IF(AND(L28="N/A",$G28&lt;&gt;""),0,$F28+SUMPRODUCT(($G$14:$G$71=$A28)*($E$14:$E$71=1)*(L$14:L$71="N/A")*$F$14:$F$71)))</f>
        <v/>
      </c>
      <c r="N28" s="22">
        <f>IF(L28="SI",M28,0)</f>
        <v/>
      </c>
      <c r="O28" s="21" t="n"/>
      <c r="P28" s="22">
        <f>IF(OR($E28=0,O$78=0),0,IF(AND(O28="N/A",$G28&lt;&gt;""),0,$F28+SUMPRODUCT(($G$14:$G$71=$A28)*($E$14:$E$71=1)*(O$14:O$71="N/A")*$F$14:$F$71)))</f>
        <v/>
      </c>
      <c r="Q28" s="22">
        <f>IF(O28="SI",P28,0)</f>
        <v/>
      </c>
      <c r="R28" s="21" t="n"/>
      <c r="S28" s="22">
        <f>IF(OR($E28=0,R$78=0),0,IF(AND(R28="N/A",$G28&lt;&gt;""),0,$F28+SUMPRODUCT(($G$14:$G$71=$A28)*($E$14:$E$71=1)*(R$14:R$71="N/A")*$F$14:$F$71)))</f>
        <v/>
      </c>
      <c r="T28" s="22">
        <f>IF(R28="SI",S28,0)</f>
        <v/>
      </c>
      <c r="U28" s="21" t="n"/>
      <c r="V28" s="22">
        <f>IF(OR($E28=0,U$78=0),0,IF(AND(U28="N/A",$G28&lt;&gt;""),0,$F28+SUMPRODUCT(($G$14:$G$71=$A28)*($E$14:$E$71=1)*(U$14:U$71="N/A")*$F$14:$F$71)))</f>
        <v/>
      </c>
      <c r="W28" s="22">
        <f>IF(U28="SI",V28,0)</f>
        <v/>
      </c>
      <c r="X28" s="21" t="n"/>
      <c r="Y28" s="22">
        <f>IF(OR($E28=0,X$78=0),0,IF(AND(X28="N/A",$G28&lt;&gt;""),0,$F28+SUMPRODUCT(($G$14:$G$71=$A28)*($E$14:$E$71=1)*(X$14:X$71="N/A")*$F$14:$F$71)))</f>
        <v/>
      </c>
      <c r="Z28" s="22">
        <f>IF(X28="SI",Y28,0)</f>
        <v/>
      </c>
      <c r="AA28" s="22">
        <f>SUM(J28,M28,P28,S28,V28,Y28)</f>
        <v/>
      </c>
      <c r="AB28" s="22">
        <f>SUM(K28,N28,Q28,T28,W28,Z28)</f>
        <v/>
      </c>
      <c r="AC28" s="23">
        <f>IF(AA28=0,"",AB28/AA28)</f>
        <v/>
      </c>
      <c r="AD28" s="22">
        <f>CRITERIOS!Q16</f>
        <v/>
      </c>
      <c r="AE28" s="22">
        <f>IF(AND(E28=1,H28&lt;&gt;"X",((I28="N/A")+(L28="N/A")+(O28="N/A")+(R28="N/A")+(U28="N/A")+(X28="N/A"))&gt;0),"REVISAR","")</f>
        <v/>
      </c>
    </row>
    <row r="29">
      <c r="A29" s="19">
        <f>CRITERIOS!B17</f>
        <v/>
      </c>
      <c r="B29" s="19">
        <f>CRITERIOS!C17</f>
        <v/>
      </c>
      <c r="C29" s="20">
        <f>CRITERIOS!D17</f>
        <v/>
      </c>
      <c r="D29" s="19">
        <f>CRITERIOS!E17</f>
        <v/>
      </c>
      <c r="E29" s="19">
        <f>IFERROR(IF(AND(OR(CRITERIOS!F17="Todos",CRITERIOS!F17=$B$4),INDEX(CRITERIOS!H17:J17,MATCH($B$5,VARIABLES!$E$2:$E$4,0))=1),1,0),0)</f>
        <v/>
      </c>
      <c r="F29" s="19">
        <f>IFERROR(IF(E29=1,INDEX(CRITERIOS!K17:M17,MATCH($B$5,VARIABLES!$E$2:$E$4,0)),0),0)</f>
        <v/>
      </c>
      <c r="G29" s="19">
        <f>IF(CRITERIOS!N17="","",CRITERIOS!N17)</f>
        <v/>
      </c>
      <c r="H29" s="19">
        <f>IF(CRITERIOS!O17="","",CRITERIOS!O17)</f>
        <v/>
      </c>
      <c r="I29" s="21" t="n"/>
      <c r="J29" s="22">
        <f>IF(OR($E29=0,I$78=0),0,IF(AND(I29="N/A",$G29&lt;&gt;""),0,$F29+SUMPRODUCT(($G$14:$G$71=$A29)*($E$14:$E$71=1)*(I$14:I$71="N/A")*$F$14:$F$71)))</f>
        <v/>
      </c>
      <c r="K29" s="22">
        <f>IF(I29="SI",J29,0)</f>
        <v/>
      </c>
      <c r="L29" s="21" t="n"/>
      <c r="M29" s="22">
        <f>IF(OR($E29=0,L$78=0),0,IF(AND(L29="N/A",$G29&lt;&gt;""),0,$F29+SUMPRODUCT(($G$14:$G$71=$A29)*($E$14:$E$71=1)*(L$14:L$71="N/A")*$F$14:$F$71)))</f>
        <v/>
      </c>
      <c r="N29" s="22">
        <f>IF(L29="SI",M29,0)</f>
        <v/>
      </c>
      <c r="O29" s="21" t="n"/>
      <c r="P29" s="22">
        <f>IF(OR($E29=0,O$78=0),0,IF(AND(O29="N/A",$G29&lt;&gt;""),0,$F29+SUMPRODUCT(($G$14:$G$71=$A29)*($E$14:$E$71=1)*(O$14:O$71="N/A")*$F$14:$F$71)))</f>
        <v/>
      </c>
      <c r="Q29" s="22">
        <f>IF(O29="SI",P29,0)</f>
        <v/>
      </c>
      <c r="R29" s="21" t="n"/>
      <c r="S29" s="22">
        <f>IF(OR($E29=0,R$78=0),0,IF(AND(R29="N/A",$G29&lt;&gt;""),0,$F29+SUMPRODUCT(($G$14:$G$71=$A29)*($E$14:$E$71=1)*(R$14:R$71="N/A")*$F$14:$F$71)))</f>
        <v/>
      </c>
      <c r="T29" s="22">
        <f>IF(R29="SI",S29,0)</f>
        <v/>
      </c>
      <c r="U29" s="21" t="n"/>
      <c r="V29" s="22">
        <f>IF(OR($E29=0,U$78=0),0,IF(AND(U29="N/A",$G29&lt;&gt;""),0,$F29+SUMPRODUCT(($G$14:$G$71=$A29)*($E$14:$E$71=1)*(U$14:U$71="N/A")*$F$14:$F$71)))</f>
        <v/>
      </c>
      <c r="W29" s="22">
        <f>IF(U29="SI",V29,0)</f>
        <v/>
      </c>
      <c r="X29" s="21" t="n"/>
      <c r="Y29" s="22">
        <f>IF(OR($E29=0,X$78=0),0,IF(AND(X29="N/A",$G29&lt;&gt;""),0,$F29+SUMPRODUCT(($G$14:$G$71=$A29)*($E$14:$E$71=1)*(X$14:X$71="N/A")*$F$14:$F$71)))</f>
        <v/>
      </c>
      <c r="Z29" s="22">
        <f>IF(X29="SI",Y29,0)</f>
        <v/>
      </c>
      <c r="AA29" s="22">
        <f>SUM(J29,M29,P29,S29,V29,Y29)</f>
        <v/>
      </c>
      <c r="AB29" s="22">
        <f>SUM(K29,N29,Q29,T29,W29,Z29)</f>
        <v/>
      </c>
      <c r="AC29" s="23">
        <f>IF(AA29=0,"",AB29/AA29)</f>
        <v/>
      </c>
      <c r="AD29" s="22">
        <f>CRITERIOS!Q17</f>
        <v/>
      </c>
      <c r="AE29" s="22">
        <f>IF(AND(E29=1,H29&lt;&gt;"X",((I29="N/A")+(L29="N/A")+(O29="N/A")+(R29="N/A")+(U29="N/A")+(X29="N/A"))&gt;0),"REVISAR","")</f>
        <v/>
      </c>
    </row>
    <row r="30">
      <c r="A30" s="22">
        <f>CRITERIOS!B18</f>
        <v/>
      </c>
      <c r="B30" s="22">
        <f>CRITERIOS!C18</f>
        <v/>
      </c>
      <c r="C30" s="8">
        <f>CRITERIOS!D18</f>
        <v/>
      </c>
      <c r="D30" s="22">
        <f>CRITERIOS!E18</f>
        <v/>
      </c>
      <c r="E30" s="22">
        <f>IFERROR(IF(AND(OR(CRITERIOS!F18="Todos",CRITERIOS!F18=$B$4),INDEX(CRITERIOS!H18:J18,MATCH($B$5,VARIABLES!$E$2:$E$4,0))=1),1,0),0)</f>
        <v/>
      </c>
      <c r="F30" s="22">
        <f>IFERROR(IF(E30=1,INDEX(CRITERIOS!K18:M18,MATCH($B$5,VARIABLES!$E$2:$E$4,0)),0),0)</f>
        <v/>
      </c>
      <c r="G30" s="22">
        <f>IF(CRITERIOS!N18="","",CRITERIOS!N18)</f>
        <v/>
      </c>
      <c r="H30" s="22">
        <f>IF(CRITERIOS!O18="","",CRITERIOS!O18)</f>
        <v/>
      </c>
      <c r="I30" s="21" t="n"/>
      <c r="J30" s="22">
        <f>IF(OR($E30=0,I$78=0),0,IF(AND(I30="N/A",$G30&lt;&gt;""),0,$F30+SUMPRODUCT(($G$14:$G$71=$A30)*($E$14:$E$71=1)*(I$14:I$71="N/A")*$F$14:$F$71)))</f>
        <v/>
      </c>
      <c r="K30" s="22">
        <f>IF(I30="SI",J30,0)</f>
        <v/>
      </c>
      <c r="L30" s="21" t="n"/>
      <c r="M30" s="22">
        <f>IF(OR($E30=0,L$78=0),0,IF(AND(L30="N/A",$G30&lt;&gt;""),0,$F30+SUMPRODUCT(($G$14:$G$71=$A30)*($E$14:$E$71=1)*(L$14:L$71="N/A")*$F$14:$F$71)))</f>
        <v/>
      </c>
      <c r="N30" s="22">
        <f>IF(L30="SI",M30,0)</f>
        <v/>
      </c>
      <c r="O30" s="21" t="n"/>
      <c r="P30" s="22">
        <f>IF(OR($E30=0,O$78=0),0,IF(AND(O30="N/A",$G30&lt;&gt;""),0,$F30+SUMPRODUCT(($G$14:$G$71=$A30)*($E$14:$E$71=1)*(O$14:O$71="N/A")*$F$14:$F$71)))</f>
        <v/>
      </c>
      <c r="Q30" s="22">
        <f>IF(O30="SI",P30,0)</f>
        <v/>
      </c>
      <c r="R30" s="21" t="n"/>
      <c r="S30" s="22">
        <f>IF(OR($E30=0,R$78=0),0,IF(AND(R30="N/A",$G30&lt;&gt;""),0,$F30+SUMPRODUCT(($G$14:$G$71=$A30)*($E$14:$E$71=1)*(R$14:R$71="N/A")*$F$14:$F$71)))</f>
        <v/>
      </c>
      <c r="T30" s="22">
        <f>IF(R30="SI",S30,0)</f>
        <v/>
      </c>
      <c r="U30" s="21" t="n"/>
      <c r="V30" s="22">
        <f>IF(OR($E30=0,U$78=0),0,IF(AND(U30="N/A",$G30&lt;&gt;""),0,$F30+SUMPRODUCT(($G$14:$G$71=$A30)*($E$14:$E$71=1)*(U$14:U$71="N/A")*$F$14:$F$71)))</f>
        <v/>
      </c>
      <c r="W30" s="22">
        <f>IF(U30="SI",V30,0)</f>
        <v/>
      </c>
      <c r="X30" s="21" t="n"/>
      <c r="Y30" s="22">
        <f>IF(OR($E30=0,X$78=0),0,IF(AND(X30="N/A",$G30&lt;&gt;""),0,$F30+SUMPRODUCT(($G$14:$G$71=$A30)*($E$14:$E$71=1)*(X$14:X$71="N/A")*$F$14:$F$71)))</f>
        <v/>
      </c>
      <c r="Z30" s="22">
        <f>IF(X30="SI",Y30,0)</f>
        <v/>
      </c>
      <c r="AA30" s="22">
        <f>SUM(J30,M30,P30,S30,V30,Y30)</f>
        <v/>
      </c>
      <c r="AB30" s="22">
        <f>SUM(K30,N30,Q30,T30,W30,Z30)</f>
        <v/>
      </c>
      <c r="AC30" s="23">
        <f>IF(AA30=0,"",AB30/AA30)</f>
        <v/>
      </c>
      <c r="AD30" s="22">
        <f>CRITERIOS!Q18</f>
        <v/>
      </c>
      <c r="AE30" s="22">
        <f>IF(AND(E30=1,H30&lt;&gt;"X",((I30="N/A")+(L30="N/A")+(O30="N/A")+(R30="N/A")+(U30="N/A")+(X30="N/A"))&gt;0),"REVISAR","")</f>
        <v/>
      </c>
    </row>
    <row r="31">
      <c r="A31" s="24">
        <f>CRITERIOS!B19</f>
        <v/>
      </c>
      <c r="B31" s="24">
        <f>CRITERIOS!C19</f>
        <v/>
      </c>
      <c r="C31" s="25">
        <f>CRITERIOS!D19</f>
        <v/>
      </c>
      <c r="D31" s="24">
        <f>CRITERIOS!E19</f>
        <v/>
      </c>
      <c r="E31" s="24">
        <f>IFERROR(IF(AND(OR(CRITERIOS!F19="Todos",CRITERIOS!F19=$B$4),INDEX(CRITERIOS!H19:J19,MATCH($B$5,VARIABLES!$E$2:$E$4,0))=1),1,0),0)</f>
        <v/>
      </c>
      <c r="F31" s="24">
        <f>IFERROR(IF(E31=1,INDEX(CRITERIOS!K19:M19,MATCH($B$5,VARIABLES!$E$2:$E$4,0)),0),0)</f>
        <v/>
      </c>
      <c r="G31" s="24">
        <f>IF(CRITERIOS!N19="","",CRITERIOS!N19)</f>
        <v/>
      </c>
      <c r="H31" s="24">
        <f>IF(CRITERIOS!O19="","",CRITERIOS!O19)</f>
        <v/>
      </c>
      <c r="I31" s="21" t="n"/>
      <c r="J31" s="22">
        <f>IF(OR($E31=0,I$78=0),0,IF(AND(I31="N/A",$G31&lt;&gt;""),0,$F31+SUMPRODUCT(($G$14:$G$71=$A31)*($E$14:$E$71=1)*(I$14:I$71="N/A")*$F$14:$F$71)))</f>
        <v/>
      </c>
      <c r="K31" s="22">
        <f>IF(I31="SI",J31,0)</f>
        <v/>
      </c>
      <c r="L31" s="21" t="n"/>
      <c r="M31" s="22">
        <f>IF(OR($E31=0,L$78=0),0,IF(AND(L31="N/A",$G31&lt;&gt;""),0,$F31+SUMPRODUCT(($G$14:$G$71=$A31)*($E$14:$E$71=1)*(L$14:L$71="N/A")*$F$14:$F$71)))</f>
        <v/>
      </c>
      <c r="N31" s="22">
        <f>IF(L31="SI",M31,0)</f>
        <v/>
      </c>
      <c r="O31" s="21" t="n"/>
      <c r="P31" s="22">
        <f>IF(OR($E31=0,O$78=0),0,IF(AND(O31="N/A",$G31&lt;&gt;""),0,$F31+SUMPRODUCT(($G$14:$G$71=$A31)*($E$14:$E$71=1)*(O$14:O$71="N/A")*$F$14:$F$71)))</f>
        <v/>
      </c>
      <c r="Q31" s="22">
        <f>IF(O31="SI",P31,0)</f>
        <v/>
      </c>
      <c r="R31" s="21" t="n"/>
      <c r="S31" s="22">
        <f>IF(OR($E31=0,R$78=0),0,IF(AND(R31="N/A",$G31&lt;&gt;""),0,$F31+SUMPRODUCT(($G$14:$G$71=$A31)*($E$14:$E$71=1)*(R$14:R$71="N/A")*$F$14:$F$71)))</f>
        <v/>
      </c>
      <c r="T31" s="22">
        <f>IF(R31="SI",S31,0)</f>
        <v/>
      </c>
      <c r="U31" s="21" t="n"/>
      <c r="V31" s="22">
        <f>IF(OR($E31=0,U$78=0),0,IF(AND(U31="N/A",$G31&lt;&gt;""),0,$F31+SUMPRODUCT(($G$14:$G$71=$A31)*($E$14:$E$71=1)*(U$14:U$71="N/A")*$F$14:$F$71)))</f>
        <v/>
      </c>
      <c r="W31" s="22">
        <f>IF(U31="SI",V31,0)</f>
        <v/>
      </c>
      <c r="X31" s="21" t="n"/>
      <c r="Y31" s="22">
        <f>IF(OR($E31=0,X$78=0),0,IF(AND(X31="N/A",$G31&lt;&gt;""),0,$F31+SUMPRODUCT(($G$14:$G$71=$A31)*($E$14:$E$71=1)*(X$14:X$71="N/A")*$F$14:$F$71)))</f>
        <v/>
      </c>
      <c r="Z31" s="22">
        <f>IF(X31="SI",Y31,0)</f>
        <v/>
      </c>
      <c r="AA31" s="22">
        <f>SUM(J31,M31,P31,S31,V31,Y31)</f>
        <v/>
      </c>
      <c r="AB31" s="22">
        <f>SUM(K31,N31,Q31,T31,W31,Z31)</f>
        <v/>
      </c>
      <c r="AC31" s="23">
        <f>IF(AA31=0,"",AB31/AA31)</f>
        <v/>
      </c>
      <c r="AD31" s="22">
        <f>CRITERIOS!Q19</f>
        <v/>
      </c>
      <c r="AE31" s="22">
        <f>IF(AND(E31=1,H31&lt;&gt;"X",((I31="N/A")+(L31="N/A")+(O31="N/A")+(R31="N/A")+(U31="N/A")+(X31="N/A"))&gt;0),"REVISAR","")</f>
        <v/>
      </c>
    </row>
    <row r="32">
      <c r="A32" s="24">
        <f>CRITERIOS!B20</f>
        <v/>
      </c>
      <c r="B32" s="24">
        <f>CRITERIOS!C20</f>
        <v/>
      </c>
      <c r="C32" s="25">
        <f>CRITERIOS!D20</f>
        <v/>
      </c>
      <c r="D32" s="24">
        <f>CRITERIOS!E20</f>
        <v/>
      </c>
      <c r="E32" s="24">
        <f>IFERROR(IF(AND(OR(CRITERIOS!F20="Todos",CRITERIOS!F20=$B$4),INDEX(CRITERIOS!H20:J20,MATCH($B$5,VARIABLES!$E$2:$E$4,0))=1),1,0),0)</f>
        <v/>
      </c>
      <c r="F32" s="24">
        <f>IFERROR(IF(E32=1,INDEX(CRITERIOS!K20:M20,MATCH($B$5,VARIABLES!$E$2:$E$4,0)),0),0)</f>
        <v/>
      </c>
      <c r="G32" s="24">
        <f>IF(CRITERIOS!N20="","",CRITERIOS!N20)</f>
        <v/>
      </c>
      <c r="H32" s="24">
        <f>IF(CRITERIOS!O20="","",CRITERIOS!O20)</f>
        <v/>
      </c>
      <c r="I32" s="21" t="n"/>
      <c r="J32" s="22">
        <f>IF(OR($E32=0,I$78=0),0,IF(AND(I32="N/A",$G32&lt;&gt;""),0,$F32+SUMPRODUCT(($G$14:$G$71=$A32)*($E$14:$E$71=1)*(I$14:I$71="N/A")*$F$14:$F$71)))</f>
        <v/>
      </c>
      <c r="K32" s="22">
        <f>IF(I32="SI",J32,0)</f>
        <v/>
      </c>
      <c r="L32" s="21" t="n"/>
      <c r="M32" s="22">
        <f>IF(OR($E32=0,L$78=0),0,IF(AND(L32="N/A",$G32&lt;&gt;""),0,$F32+SUMPRODUCT(($G$14:$G$71=$A32)*($E$14:$E$71=1)*(L$14:L$71="N/A")*$F$14:$F$71)))</f>
        <v/>
      </c>
      <c r="N32" s="22">
        <f>IF(L32="SI",M32,0)</f>
        <v/>
      </c>
      <c r="O32" s="21" t="n"/>
      <c r="P32" s="22">
        <f>IF(OR($E32=0,O$78=0),0,IF(AND(O32="N/A",$G32&lt;&gt;""),0,$F32+SUMPRODUCT(($G$14:$G$71=$A32)*($E$14:$E$71=1)*(O$14:O$71="N/A")*$F$14:$F$71)))</f>
        <v/>
      </c>
      <c r="Q32" s="22">
        <f>IF(O32="SI",P32,0)</f>
        <v/>
      </c>
      <c r="R32" s="21" t="n"/>
      <c r="S32" s="22">
        <f>IF(OR($E32=0,R$78=0),0,IF(AND(R32="N/A",$G32&lt;&gt;""),0,$F32+SUMPRODUCT(($G$14:$G$71=$A32)*($E$14:$E$71=1)*(R$14:R$71="N/A")*$F$14:$F$71)))</f>
        <v/>
      </c>
      <c r="T32" s="22">
        <f>IF(R32="SI",S32,0)</f>
        <v/>
      </c>
      <c r="U32" s="21" t="n"/>
      <c r="V32" s="22">
        <f>IF(OR($E32=0,U$78=0),0,IF(AND(U32="N/A",$G32&lt;&gt;""),0,$F32+SUMPRODUCT(($G$14:$G$71=$A32)*($E$14:$E$71=1)*(U$14:U$71="N/A")*$F$14:$F$71)))</f>
        <v/>
      </c>
      <c r="W32" s="22">
        <f>IF(U32="SI",V32,0)</f>
        <v/>
      </c>
      <c r="X32" s="21" t="n"/>
      <c r="Y32" s="22">
        <f>IF(OR($E32=0,X$78=0),0,IF(AND(X32="N/A",$G32&lt;&gt;""),0,$F32+SUMPRODUCT(($G$14:$G$71=$A32)*($E$14:$E$71=1)*(X$14:X$71="N/A")*$F$14:$F$71)))</f>
        <v/>
      </c>
      <c r="Z32" s="22">
        <f>IF(X32="SI",Y32,0)</f>
        <v/>
      </c>
      <c r="AA32" s="22">
        <f>SUM(J32,M32,P32,S32,V32,Y32)</f>
        <v/>
      </c>
      <c r="AB32" s="22">
        <f>SUM(K32,N32,Q32,T32,W32,Z32)</f>
        <v/>
      </c>
      <c r="AC32" s="23">
        <f>IF(AA32=0,"",AB32/AA32)</f>
        <v/>
      </c>
      <c r="AD32" s="22">
        <f>CRITERIOS!Q20</f>
        <v/>
      </c>
      <c r="AE32" s="22">
        <f>IF(AND(E32=1,H32&lt;&gt;"X",((I32="N/A")+(L32="N/A")+(O32="N/A")+(R32="N/A")+(U32="N/A")+(X32="N/A"))&gt;0),"REVISAR","")</f>
        <v/>
      </c>
    </row>
    <row r="33">
      <c r="A33" s="24">
        <f>CRITERIOS!B21</f>
        <v/>
      </c>
      <c r="B33" s="24">
        <f>CRITERIOS!C21</f>
        <v/>
      </c>
      <c r="C33" s="25">
        <f>CRITERIOS!D21</f>
        <v/>
      </c>
      <c r="D33" s="24">
        <f>CRITERIOS!E21</f>
        <v/>
      </c>
      <c r="E33" s="24">
        <f>IFERROR(IF(AND(OR(CRITERIOS!F21="Todos",CRITERIOS!F21=$B$4),INDEX(CRITERIOS!H21:J21,MATCH($B$5,VARIABLES!$E$2:$E$4,0))=1),1,0),0)</f>
        <v/>
      </c>
      <c r="F33" s="24">
        <f>IFERROR(IF(E33=1,INDEX(CRITERIOS!K21:M21,MATCH($B$5,VARIABLES!$E$2:$E$4,0)),0),0)</f>
        <v/>
      </c>
      <c r="G33" s="24">
        <f>IF(CRITERIOS!N21="","",CRITERIOS!N21)</f>
        <v/>
      </c>
      <c r="H33" s="24">
        <f>IF(CRITERIOS!O21="","",CRITERIOS!O21)</f>
        <v/>
      </c>
      <c r="I33" s="21" t="n"/>
      <c r="J33" s="22">
        <f>IF(OR($E33=0,I$78=0),0,IF(AND(I33="N/A",$G33&lt;&gt;""),0,$F33+SUMPRODUCT(($G$14:$G$71=$A33)*($E$14:$E$71=1)*(I$14:I$71="N/A")*$F$14:$F$71)))</f>
        <v/>
      </c>
      <c r="K33" s="22">
        <f>IF(I33="SI",J33,0)</f>
        <v/>
      </c>
      <c r="L33" s="21" t="n"/>
      <c r="M33" s="22">
        <f>IF(OR($E33=0,L$78=0),0,IF(AND(L33="N/A",$G33&lt;&gt;""),0,$F33+SUMPRODUCT(($G$14:$G$71=$A33)*($E$14:$E$71=1)*(L$14:L$71="N/A")*$F$14:$F$71)))</f>
        <v/>
      </c>
      <c r="N33" s="22">
        <f>IF(L33="SI",M33,0)</f>
        <v/>
      </c>
      <c r="O33" s="21" t="n"/>
      <c r="P33" s="22">
        <f>IF(OR($E33=0,O$78=0),0,IF(AND(O33="N/A",$G33&lt;&gt;""),0,$F33+SUMPRODUCT(($G$14:$G$71=$A33)*($E$14:$E$71=1)*(O$14:O$71="N/A")*$F$14:$F$71)))</f>
        <v/>
      </c>
      <c r="Q33" s="22">
        <f>IF(O33="SI",P33,0)</f>
        <v/>
      </c>
      <c r="R33" s="21" t="n"/>
      <c r="S33" s="22">
        <f>IF(OR($E33=0,R$78=0),0,IF(AND(R33="N/A",$G33&lt;&gt;""),0,$F33+SUMPRODUCT(($G$14:$G$71=$A33)*($E$14:$E$71=1)*(R$14:R$71="N/A")*$F$14:$F$71)))</f>
        <v/>
      </c>
      <c r="T33" s="22">
        <f>IF(R33="SI",S33,0)</f>
        <v/>
      </c>
      <c r="U33" s="21" t="n"/>
      <c r="V33" s="22">
        <f>IF(OR($E33=0,U$78=0),0,IF(AND(U33="N/A",$G33&lt;&gt;""),0,$F33+SUMPRODUCT(($G$14:$G$71=$A33)*($E$14:$E$71=1)*(U$14:U$71="N/A")*$F$14:$F$71)))</f>
        <v/>
      </c>
      <c r="W33" s="22">
        <f>IF(U33="SI",V33,0)</f>
        <v/>
      </c>
      <c r="X33" s="21" t="n"/>
      <c r="Y33" s="22">
        <f>IF(OR($E33=0,X$78=0),0,IF(AND(X33="N/A",$G33&lt;&gt;""),0,$F33+SUMPRODUCT(($G$14:$G$71=$A33)*($E$14:$E$71=1)*(X$14:X$71="N/A")*$F$14:$F$71)))</f>
        <v/>
      </c>
      <c r="Z33" s="22">
        <f>IF(X33="SI",Y33,0)</f>
        <v/>
      </c>
      <c r="AA33" s="22">
        <f>SUM(J33,M33,P33,S33,V33,Y33)</f>
        <v/>
      </c>
      <c r="AB33" s="22">
        <f>SUM(K33,N33,Q33,T33,W33,Z33)</f>
        <v/>
      </c>
      <c r="AC33" s="23">
        <f>IF(AA33=0,"",AB33/AA33)</f>
        <v/>
      </c>
      <c r="AD33" s="22">
        <f>CRITERIOS!Q21</f>
        <v/>
      </c>
      <c r="AE33" s="22">
        <f>IF(AND(E33=1,H33&lt;&gt;"X",((I33="N/A")+(L33="N/A")+(O33="N/A")+(R33="N/A")+(U33="N/A")+(X33="N/A"))&gt;0),"REVISAR","")</f>
        <v/>
      </c>
    </row>
    <row r="34">
      <c r="A34" s="22">
        <f>CRITERIOS!B22</f>
        <v/>
      </c>
      <c r="B34" s="22">
        <f>CRITERIOS!C22</f>
        <v/>
      </c>
      <c r="C34" s="8">
        <f>CRITERIOS!D22</f>
        <v/>
      </c>
      <c r="D34" s="22">
        <f>CRITERIOS!E22</f>
        <v/>
      </c>
      <c r="E34" s="22">
        <f>IFERROR(IF(AND(OR(CRITERIOS!F22="Todos",CRITERIOS!F22=$B$4),INDEX(CRITERIOS!H22:J22,MATCH($B$5,VARIABLES!$E$2:$E$4,0))=1),1,0),0)</f>
        <v/>
      </c>
      <c r="F34" s="22">
        <f>IFERROR(IF(E34=1,INDEX(CRITERIOS!K22:M22,MATCH($B$5,VARIABLES!$E$2:$E$4,0)),0),0)</f>
        <v/>
      </c>
      <c r="G34" s="22">
        <f>IF(CRITERIOS!N22="","",CRITERIOS!N22)</f>
        <v/>
      </c>
      <c r="H34" s="22">
        <f>IF(CRITERIOS!O22="","",CRITERIOS!O22)</f>
        <v/>
      </c>
      <c r="I34" s="21" t="n"/>
      <c r="J34" s="22">
        <f>IF(OR($E34=0,I$78=0),0,IF(AND(I34="N/A",$G34&lt;&gt;""),0,$F34+SUMPRODUCT(($G$14:$G$71=$A34)*($E$14:$E$71=1)*(I$14:I$71="N/A")*$F$14:$F$71)))</f>
        <v/>
      </c>
      <c r="K34" s="22">
        <f>IF(I34="SI",J34,0)</f>
        <v/>
      </c>
      <c r="L34" s="21" t="n"/>
      <c r="M34" s="22">
        <f>IF(OR($E34=0,L$78=0),0,IF(AND(L34="N/A",$G34&lt;&gt;""),0,$F34+SUMPRODUCT(($G$14:$G$71=$A34)*($E$14:$E$71=1)*(L$14:L$71="N/A")*$F$14:$F$71)))</f>
        <v/>
      </c>
      <c r="N34" s="22">
        <f>IF(L34="SI",M34,0)</f>
        <v/>
      </c>
      <c r="O34" s="21" t="n"/>
      <c r="P34" s="22">
        <f>IF(OR($E34=0,O$78=0),0,IF(AND(O34="N/A",$G34&lt;&gt;""),0,$F34+SUMPRODUCT(($G$14:$G$71=$A34)*($E$14:$E$71=1)*(O$14:O$71="N/A")*$F$14:$F$71)))</f>
        <v/>
      </c>
      <c r="Q34" s="22">
        <f>IF(O34="SI",P34,0)</f>
        <v/>
      </c>
      <c r="R34" s="21" t="n"/>
      <c r="S34" s="22">
        <f>IF(OR($E34=0,R$78=0),0,IF(AND(R34="N/A",$G34&lt;&gt;""),0,$F34+SUMPRODUCT(($G$14:$G$71=$A34)*($E$14:$E$71=1)*(R$14:R$71="N/A")*$F$14:$F$71)))</f>
        <v/>
      </c>
      <c r="T34" s="22">
        <f>IF(R34="SI",S34,0)</f>
        <v/>
      </c>
      <c r="U34" s="21" t="n"/>
      <c r="V34" s="22">
        <f>IF(OR($E34=0,U$78=0),0,IF(AND(U34="N/A",$G34&lt;&gt;""),0,$F34+SUMPRODUCT(($G$14:$G$71=$A34)*($E$14:$E$71=1)*(U$14:U$71="N/A")*$F$14:$F$71)))</f>
        <v/>
      </c>
      <c r="W34" s="22">
        <f>IF(U34="SI",V34,0)</f>
        <v/>
      </c>
      <c r="X34" s="21" t="n"/>
      <c r="Y34" s="22">
        <f>IF(OR($E34=0,X$78=0),0,IF(AND(X34="N/A",$G34&lt;&gt;""),0,$F34+SUMPRODUCT(($G$14:$G$71=$A34)*($E$14:$E$71=1)*(X$14:X$71="N/A")*$F$14:$F$71)))</f>
        <v/>
      </c>
      <c r="Z34" s="22">
        <f>IF(X34="SI",Y34,0)</f>
        <v/>
      </c>
      <c r="AA34" s="22">
        <f>SUM(J34,M34,P34,S34,V34,Y34)</f>
        <v/>
      </c>
      <c r="AB34" s="22">
        <f>SUM(K34,N34,Q34,T34,W34,Z34)</f>
        <v/>
      </c>
      <c r="AC34" s="23">
        <f>IF(AA34=0,"",AB34/AA34)</f>
        <v/>
      </c>
      <c r="AD34" s="22">
        <f>CRITERIOS!Q22</f>
        <v/>
      </c>
      <c r="AE34" s="22">
        <f>IF(AND(E34=1,H34&lt;&gt;"X",((I34="N/A")+(L34="N/A")+(O34="N/A")+(R34="N/A")+(U34="N/A")+(X34="N/A"))&gt;0),"REVISAR","")</f>
        <v/>
      </c>
    </row>
    <row r="35">
      <c r="A35" s="22">
        <f>CRITERIOS!B23</f>
        <v/>
      </c>
      <c r="B35" s="22">
        <f>CRITERIOS!C23</f>
        <v/>
      </c>
      <c r="C35" s="8">
        <f>CRITERIOS!D23</f>
        <v/>
      </c>
      <c r="D35" s="22">
        <f>CRITERIOS!E23</f>
        <v/>
      </c>
      <c r="E35" s="22">
        <f>IFERROR(IF(AND(OR(CRITERIOS!F23="Todos",CRITERIOS!F23=$B$4),INDEX(CRITERIOS!H23:J23,MATCH($B$5,VARIABLES!$E$2:$E$4,0))=1),1,0),0)</f>
        <v/>
      </c>
      <c r="F35" s="22">
        <f>IFERROR(IF(E35=1,INDEX(CRITERIOS!K23:M23,MATCH($B$5,VARIABLES!$E$2:$E$4,0)),0),0)</f>
        <v/>
      </c>
      <c r="G35" s="22">
        <f>IF(CRITERIOS!N23="","",CRITERIOS!N23)</f>
        <v/>
      </c>
      <c r="H35" s="22">
        <f>IF(CRITERIOS!O23="","",CRITERIOS!O23)</f>
        <v/>
      </c>
      <c r="I35" s="21" t="n"/>
      <c r="J35" s="22">
        <f>IF(OR($E35=0,I$78=0),0,IF(AND(I35="N/A",$G35&lt;&gt;""),0,$F35+SUMPRODUCT(($G$14:$G$71=$A35)*($E$14:$E$71=1)*(I$14:I$71="N/A")*$F$14:$F$71)))</f>
        <v/>
      </c>
      <c r="K35" s="22">
        <f>IF(I35="SI",J35,0)</f>
        <v/>
      </c>
      <c r="L35" s="21" t="n"/>
      <c r="M35" s="22">
        <f>IF(OR($E35=0,L$78=0),0,IF(AND(L35="N/A",$G35&lt;&gt;""),0,$F35+SUMPRODUCT(($G$14:$G$71=$A35)*($E$14:$E$71=1)*(L$14:L$71="N/A")*$F$14:$F$71)))</f>
        <v/>
      </c>
      <c r="N35" s="22">
        <f>IF(L35="SI",M35,0)</f>
        <v/>
      </c>
      <c r="O35" s="21" t="n"/>
      <c r="P35" s="22">
        <f>IF(OR($E35=0,O$78=0),0,IF(AND(O35="N/A",$G35&lt;&gt;""),0,$F35+SUMPRODUCT(($G$14:$G$71=$A35)*($E$14:$E$71=1)*(O$14:O$71="N/A")*$F$14:$F$71)))</f>
        <v/>
      </c>
      <c r="Q35" s="22">
        <f>IF(O35="SI",P35,0)</f>
        <v/>
      </c>
      <c r="R35" s="21" t="n"/>
      <c r="S35" s="22">
        <f>IF(OR($E35=0,R$78=0),0,IF(AND(R35="N/A",$G35&lt;&gt;""),0,$F35+SUMPRODUCT(($G$14:$G$71=$A35)*($E$14:$E$71=1)*(R$14:R$71="N/A")*$F$14:$F$71)))</f>
        <v/>
      </c>
      <c r="T35" s="22">
        <f>IF(R35="SI",S35,0)</f>
        <v/>
      </c>
      <c r="U35" s="21" t="n"/>
      <c r="V35" s="22">
        <f>IF(OR($E35=0,U$78=0),0,IF(AND(U35="N/A",$G35&lt;&gt;""),0,$F35+SUMPRODUCT(($G$14:$G$71=$A35)*($E$14:$E$71=1)*(U$14:U$71="N/A")*$F$14:$F$71)))</f>
        <v/>
      </c>
      <c r="W35" s="22">
        <f>IF(U35="SI",V35,0)</f>
        <v/>
      </c>
      <c r="X35" s="21" t="n"/>
      <c r="Y35" s="22">
        <f>IF(OR($E35=0,X$78=0),0,IF(AND(X35="N/A",$G35&lt;&gt;""),0,$F35+SUMPRODUCT(($G$14:$G$71=$A35)*($E$14:$E$71=1)*(X$14:X$71="N/A")*$F$14:$F$71)))</f>
        <v/>
      </c>
      <c r="Z35" s="22">
        <f>IF(X35="SI",Y35,0)</f>
        <v/>
      </c>
      <c r="AA35" s="22">
        <f>SUM(J35,M35,P35,S35,V35,Y35)</f>
        <v/>
      </c>
      <c r="AB35" s="22">
        <f>SUM(K35,N35,Q35,T35,W35,Z35)</f>
        <v/>
      </c>
      <c r="AC35" s="23">
        <f>IF(AA35=0,"",AB35/AA35)</f>
        <v/>
      </c>
      <c r="AD35" s="22">
        <f>CRITERIOS!Q23</f>
        <v/>
      </c>
      <c r="AE35" s="22">
        <f>IF(AND(E35=1,H35&lt;&gt;"X",((I35="N/A")+(L35="N/A")+(O35="N/A")+(R35="N/A")+(U35="N/A")+(X35="N/A"))&gt;0),"REVISAR","")</f>
        <v/>
      </c>
    </row>
    <row r="36">
      <c r="A36" s="22">
        <f>CRITERIOS!B24</f>
        <v/>
      </c>
      <c r="B36" s="22">
        <f>CRITERIOS!C24</f>
        <v/>
      </c>
      <c r="C36" s="8">
        <f>CRITERIOS!D24</f>
        <v/>
      </c>
      <c r="D36" s="22">
        <f>CRITERIOS!E24</f>
        <v/>
      </c>
      <c r="E36" s="22">
        <f>IFERROR(IF(AND(OR(CRITERIOS!F24="Todos",CRITERIOS!F24=$B$4),INDEX(CRITERIOS!H24:J24,MATCH($B$5,VARIABLES!$E$2:$E$4,0))=1),1,0),0)</f>
        <v/>
      </c>
      <c r="F36" s="22">
        <f>IFERROR(IF(E36=1,INDEX(CRITERIOS!K24:M24,MATCH($B$5,VARIABLES!$E$2:$E$4,0)),0),0)</f>
        <v/>
      </c>
      <c r="G36" s="22">
        <f>IF(CRITERIOS!N24="","",CRITERIOS!N24)</f>
        <v/>
      </c>
      <c r="H36" s="22">
        <f>IF(CRITERIOS!O24="","",CRITERIOS!O24)</f>
        <v/>
      </c>
      <c r="I36" s="21" t="n"/>
      <c r="J36" s="22">
        <f>IF(OR($E36=0,I$78=0),0,IF(AND(I36="N/A",$G36&lt;&gt;""),0,$F36+SUMPRODUCT(($G$14:$G$71=$A36)*($E$14:$E$71=1)*(I$14:I$71="N/A")*$F$14:$F$71)))</f>
        <v/>
      </c>
      <c r="K36" s="22">
        <f>IF(I36="SI",J36,0)</f>
        <v/>
      </c>
      <c r="L36" s="21" t="n"/>
      <c r="M36" s="22">
        <f>IF(OR($E36=0,L$78=0),0,IF(AND(L36="N/A",$G36&lt;&gt;""),0,$F36+SUMPRODUCT(($G$14:$G$71=$A36)*($E$14:$E$71=1)*(L$14:L$71="N/A")*$F$14:$F$71)))</f>
        <v/>
      </c>
      <c r="N36" s="22">
        <f>IF(L36="SI",M36,0)</f>
        <v/>
      </c>
      <c r="O36" s="21" t="n"/>
      <c r="P36" s="22">
        <f>IF(OR($E36=0,O$78=0),0,IF(AND(O36="N/A",$G36&lt;&gt;""),0,$F36+SUMPRODUCT(($G$14:$G$71=$A36)*($E$14:$E$71=1)*(O$14:O$71="N/A")*$F$14:$F$71)))</f>
        <v/>
      </c>
      <c r="Q36" s="22">
        <f>IF(O36="SI",P36,0)</f>
        <v/>
      </c>
      <c r="R36" s="21" t="n"/>
      <c r="S36" s="22">
        <f>IF(OR($E36=0,R$78=0),0,IF(AND(R36="N/A",$G36&lt;&gt;""),0,$F36+SUMPRODUCT(($G$14:$G$71=$A36)*($E$14:$E$71=1)*(R$14:R$71="N/A")*$F$14:$F$71)))</f>
        <v/>
      </c>
      <c r="T36" s="22">
        <f>IF(R36="SI",S36,0)</f>
        <v/>
      </c>
      <c r="U36" s="21" t="n"/>
      <c r="V36" s="22">
        <f>IF(OR($E36=0,U$78=0),0,IF(AND(U36="N/A",$G36&lt;&gt;""),0,$F36+SUMPRODUCT(($G$14:$G$71=$A36)*($E$14:$E$71=1)*(U$14:U$71="N/A")*$F$14:$F$71)))</f>
        <v/>
      </c>
      <c r="W36" s="22">
        <f>IF(U36="SI",V36,0)</f>
        <v/>
      </c>
      <c r="X36" s="21" t="n"/>
      <c r="Y36" s="22">
        <f>IF(OR($E36=0,X$78=0),0,IF(AND(X36="N/A",$G36&lt;&gt;""),0,$F36+SUMPRODUCT(($G$14:$G$71=$A36)*($E$14:$E$71=1)*(X$14:X$71="N/A")*$F$14:$F$71)))</f>
        <v/>
      </c>
      <c r="Z36" s="22">
        <f>IF(X36="SI",Y36,0)</f>
        <v/>
      </c>
      <c r="AA36" s="22">
        <f>SUM(J36,M36,P36,S36,V36,Y36)</f>
        <v/>
      </c>
      <c r="AB36" s="22">
        <f>SUM(K36,N36,Q36,T36,W36,Z36)</f>
        <v/>
      </c>
      <c r="AC36" s="23">
        <f>IF(AA36=0,"",AB36/AA36)</f>
        <v/>
      </c>
      <c r="AD36" s="22">
        <f>CRITERIOS!Q24</f>
        <v/>
      </c>
      <c r="AE36" s="22">
        <f>IF(AND(E36=1,H36&lt;&gt;"X",((I36="N/A")+(L36="N/A")+(O36="N/A")+(R36="N/A")+(U36="N/A")+(X36="N/A"))&gt;0),"REVISAR","")</f>
        <v/>
      </c>
    </row>
    <row r="37">
      <c r="A37" s="22">
        <f>CRITERIOS!B25</f>
        <v/>
      </c>
      <c r="B37" s="22">
        <f>CRITERIOS!C25</f>
        <v/>
      </c>
      <c r="C37" s="8">
        <f>CRITERIOS!D25</f>
        <v/>
      </c>
      <c r="D37" s="22">
        <f>CRITERIOS!E25</f>
        <v/>
      </c>
      <c r="E37" s="22">
        <f>IFERROR(IF(AND(OR(CRITERIOS!F25="Todos",CRITERIOS!F25=$B$4),INDEX(CRITERIOS!H25:J25,MATCH($B$5,VARIABLES!$E$2:$E$4,0))=1),1,0),0)</f>
        <v/>
      </c>
      <c r="F37" s="22">
        <f>IFERROR(IF(E37=1,INDEX(CRITERIOS!K25:M25,MATCH($B$5,VARIABLES!$E$2:$E$4,0)),0),0)</f>
        <v/>
      </c>
      <c r="G37" s="22">
        <f>IF(CRITERIOS!N25="","",CRITERIOS!N25)</f>
        <v/>
      </c>
      <c r="H37" s="22">
        <f>IF(CRITERIOS!O25="","",CRITERIOS!O25)</f>
        <v/>
      </c>
      <c r="I37" s="21" t="n"/>
      <c r="J37" s="22">
        <f>IF(OR($E37=0,I$78=0),0,IF(AND(I37="N/A",$G37&lt;&gt;""),0,$F37+SUMPRODUCT(($G$14:$G$71=$A37)*($E$14:$E$71=1)*(I$14:I$71="N/A")*$F$14:$F$71)))</f>
        <v/>
      </c>
      <c r="K37" s="22">
        <f>IF(I37="SI",J37,0)</f>
        <v/>
      </c>
      <c r="L37" s="21" t="n"/>
      <c r="M37" s="22">
        <f>IF(OR($E37=0,L$78=0),0,IF(AND(L37="N/A",$G37&lt;&gt;""),0,$F37+SUMPRODUCT(($G$14:$G$71=$A37)*($E$14:$E$71=1)*(L$14:L$71="N/A")*$F$14:$F$71)))</f>
        <v/>
      </c>
      <c r="N37" s="22">
        <f>IF(L37="SI",M37,0)</f>
        <v/>
      </c>
      <c r="O37" s="21" t="n"/>
      <c r="P37" s="22">
        <f>IF(OR($E37=0,O$78=0),0,IF(AND(O37="N/A",$G37&lt;&gt;""),0,$F37+SUMPRODUCT(($G$14:$G$71=$A37)*($E$14:$E$71=1)*(O$14:O$71="N/A")*$F$14:$F$71)))</f>
        <v/>
      </c>
      <c r="Q37" s="22">
        <f>IF(O37="SI",P37,0)</f>
        <v/>
      </c>
      <c r="R37" s="21" t="n"/>
      <c r="S37" s="22">
        <f>IF(OR($E37=0,R$78=0),0,IF(AND(R37="N/A",$G37&lt;&gt;""),0,$F37+SUMPRODUCT(($G$14:$G$71=$A37)*($E$14:$E$71=1)*(R$14:R$71="N/A")*$F$14:$F$71)))</f>
        <v/>
      </c>
      <c r="T37" s="22">
        <f>IF(R37="SI",S37,0)</f>
        <v/>
      </c>
      <c r="U37" s="21" t="n"/>
      <c r="V37" s="22">
        <f>IF(OR($E37=0,U$78=0),0,IF(AND(U37="N/A",$G37&lt;&gt;""),0,$F37+SUMPRODUCT(($G$14:$G$71=$A37)*($E$14:$E$71=1)*(U$14:U$71="N/A")*$F$14:$F$71)))</f>
        <v/>
      </c>
      <c r="W37" s="22">
        <f>IF(U37="SI",V37,0)</f>
        <v/>
      </c>
      <c r="X37" s="21" t="n"/>
      <c r="Y37" s="22">
        <f>IF(OR($E37=0,X$78=0),0,IF(AND(X37="N/A",$G37&lt;&gt;""),0,$F37+SUMPRODUCT(($G$14:$G$71=$A37)*($E$14:$E$71=1)*(X$14:X$71="N/A")*$F$14:$F$71)))</f>
        <v/>
      </c>
      <c r="Z37" s="22">
        <f>IF(X37="SI",Y37,0)</f>
        <v/>
      </c>
      <c r="AA37" s="22">
        <f>SUM(J37,M37,P37,S37,V37,Y37)</f>
        <v/>
      </c>
      <c r="AB37" s="22">
        <f>SUM(K37,N37,Q37,T37,W37,Z37)</f>
        <v/>
      </c>
      <c r="AC37" s="23">
        <f>IF(AA37=0,"",AB37/AA37)</f>
        <v/>
      </c>
      <c r="AD37" s="22">
        <f>CRITERIOS!Q25</f>
        <v/>
      </c>
      <c r="AE37" s="22">
        <f>IF(AND(E37=1,H37&lt;&gt;"X",((I37="N/A")+(L37="N/A")+(O37="N/A")+(R37="N/A")+(U37="N/A")+(X37="N/A"))&gt;0),"REVISAR","")</f>
        <v/>
      </c>
    </row>
    <row r="38">
      <c r="A38" s="22">
        <f>CRITERIOS!B26</f>
        <v/>
      </c>
      <c r="B38" s="22">
        <f>CRITERIOS!C26</f>
        <v/>
      </c>
      <c r="C38" s="8">
        <f>CRITERIOS!D26</f>
        <v/>
      </c>
      <c r="D38" s="22">
        <f>CRITERIOS!E26</f>
        <v/>
      </c>
      <c r="E38" s="22">
        <f>IFERROR(IF(AND(OR(CRITERIOS!F26="Todos",CRITERIOS!F26=$B$4),INDEX(CRITERIOS!H26:J26,MATCH($B$5,VARIABLES!$E$2:$E$4,0))=1),1,0),0)</f>
        <v/>
      </c>
      <c r="F38" s="22">
        <f>IFERROR(IF(E38=1,INDEX(CRITERIOS!K26:M26,MATCH($B$5,VARIABLES!$E$2:$E$4,0)),0),0)</f>
        <v/>
      </c>
      <c r="G38" s="22">
        <f>IF(CRITERIOS!N26="","",CRITERIOS!N26)</f>
        <v/>
      </c>
      <c r="H38" s="22">
        <f>IF(CRITERIOS!O26="","",CRITERIOS!O26)</f>
        <v/>
      </c>
      <c r="I38" s="21" t="n"/>
      <c r="J38" s="22">
        <f>IF(OR($E38=0,I$78=0),0,IF(AND(I38="N/A",$G38&lt;&gt;""),0,$F38+SUMPRODUCT(($G$14:$G$71=$A38)*($E$14:$E$71=1)*(I$14:I$71="N/A")*$F$14:$F$71)))</f>
        <v/>
      </c>
      <c r="K38" s="22">
        <f>IF(I38="SI",J38,0)</f>
        <v/>
      </c>
      <c r="L38" s="21" t="n"/>
      <c r="M38" s="22">
        <f>IF(OR($E38=0,L$78=0),0,IF(AND(L38="N/A",$G38&lt;&gt;""),0,$F38+SUMPRODUCT(($G$14:$G$71=$A38)*($E$14:$E$71=1)*(L$14:L$71="N/A")*$F$14:$F$71)))</f>
        <v/>
      </c>
      <c r="N38" s="22">
        <f>IF(L38="SI",M38,0)</f>
        <v/>
      </c>
      <c r="O38" s="21" t="n"/>
      <c r="P38" s="22">
        <f>IF(OR($E38=0,O$78=0),0,IF(AND(O38="N/A",$G38&lt;&gt;""),0,$F38+SUMPRODUCT(($G$14:$G$71=$A38)*($E$14:$E$71=1)*(O$14:O$71="N/A")*$F$14:$F$71)))</f>
        <v/>
      </c>
      <c r="Q38" s="22">
        <f>IF(O38="SI",P38,0)</f>
        <v/>
      </c>
      <c r="R38" s="21" t="n"/>
      <c r="S38" s="22">
        <f>IF(OR($E38=0,R$78=0),0,IF(AND(R38="N/A",$G38&lt;&gt;""),0,$F38+SUMPRODUCT(($G$14:$G$71=$A38)*($E$14:$E$71=1)*(R$14:R$71="N/A")*$F$14:$F$71)))</f>
        <v/>
      </c>
      <c r="T38" s="22">
        <f>IF(R38="SI",S38,0)</f>
        <v/>
      </c>
      <c r="U38" s="21" t="n"/>
      <c r="V38" s="22">
        <f>IF(OR($E38=0,U$78=0),0,IF(AND(U38="N/A",$G38&lt;&gt;""),0,$F38+SUMPRODUCT(($G$14:$G$71=$A38)*($E$14:$E$71=1)*(U$14:U$71="N/A")*$F$14:$F$71)))</f>
        <v/>
      </c>
      <c r="W38" s="22">
        <f>IF(U38="SI",V38,0)</f>
        <v/>
      </c>
      <c r="X38" s="21" t="n"/>
      <c r="Y38" s="22">
        <f>IF(OR($E38=0,X$78=0),0,IF(AND(X38="N/A",$G38&lt;&gt;""),0,$F38+SUMPRODUCT(($G$14:$G$71=$A38)*($E$14:$E$71=1)*(X$14:X$71="N/A")*$F$14:$F$71)))</f>
        <v/>
      </c>
      <c r="Z38" s="22">
        <f>IF(X38="SI",Y38,0)</f>
        <v/>
      </c>
      <c r="AA38" s="22">
        <f>SUM(J38,M38,P38,S38,V38,Y38)</f>
        <v/>
      </c>
      <c r="AB38" s="22">
        <f>SUM(K38,N38,Q38,T38,W38,Z38)</f>
        <v/>
      </c>
      <c r="AC38" s="23">
        <f>IF(AA38=0,"",AB38/AA38)</f>
        <v/>
      </c>
      <c r="AD38" s="22">
        <f>CRITERIOS!Q26</f>
        <v/>
      </c>
      <c r="AE38" s="22">
        <f>IF(AND(E38=1,H38&lt;&gt;"X",((I38="N/A")+(L38="N/A")+(O38="N/A")+(R38="N/A")+(U38="N/A")+(X38="N/A"))&gt;0),"REVISAR","")</f>
        <v/>
      </c>
    </row>
    <row r="39">
      <c r="A39" s="22">
        <f>CRITERIOS!B27</f>
        <v/>
      </c>
      <c r="B39" s="22">
        <f>CRITERIOS!C27</f>
        <v/>
      </c>
      <c r="C39" s="8">
        <f>CRITERIOS!D27</f>
        <v/>
      </c>
      <c r="D39" s="22">
        <f>CRITERIOS!E27</f>
        <v/>
      </c>
      <c r="E39" s="22">
        <f>IFERROR(IF(AND(OR(CRITERIOS!F27="Todos",CRITERIOS!F27=$B$4),INDEX(CRITERIOS!H27:J27,MATCH($B$5,VARIABLES!$E$2:$E$4,0))=1),1,0),0)</f>
        <v/>
      </c>
      <c r="F39" s="22">
        <f>IFERROR(IF(E39=1,INDEX(CRITERIOS!K27:M27,MATCH($B$5,VARIABLES!$E$2:$E$4,0)),0),0)</f>
        <v/>
      </c>
      <c r="G39" s="22">
        <f>IF(CRITERIOS!N27="","",CRITERIOS!N27)</f>
        <v/>
      </c>
      <c r="H39" s="22">
        <f>IF(CRITERIOS!O27="","",CRITERIOS!O27)</f>
        <v/>
      </c>
      <c r="I39" s="21" t="n"/>
      <c r="J39" s="22">
        <f>IF(OR($E39=0,I$78=0),0,IF(AND(I39="N/A",$G39&lt;&gt;""),0,$F39+SUMPRODUCT(($G$14:$G$71=$A39)*($E$14:$E$71=1)*(I$14:I$71="N/A")*$F$14:$F$71)))</f>
        <v/>
      </c>
      <c r="K39" s="22">
        <f>IF(I39="SI",J39,0)</f>
        <v/>
      </c>
      <c r="L39" s="21" t="n"/>
      <c r="M39" s="22">
        <f>IF(OR($E39=0,L$78=0),0,IF(AND(L39="N/A",$G39&lt;&gt;""),0,$F39+SUMPRODUCT(($G$14:$G$71=$A39)*($E$14:$E$71=1)*(L$14:L$71="N/A")*$F$14:$F$71)))</f>
        <v/>
      </c>
      <c r="N39" s="22">
        <f>IF(L39="SI",M39,0)</f>
        <v/>
      </c>
      <c r="O39" s="21" t="n"/>
      <c r="P39" s="22">
        <f>IF(OR($E39=0,O$78=0),0,IF(AND(O39="N/A",$G39&lt;&gt;""),0,$F39+SUMPRODUCT(($G$14:$G$71=$A39)*($E$14:$E$71=1)*(O$14:O$71="N/A")*$F$14:$F$71)))</f>
        <v/>
      </c>
      <c r="Q39" s="22">
        <f>IF(O39="SI",P39,0)</f>
        <v/>
      </c>
      <c r="R39" s="21" t="n"/>
      <c r="S39" s="22">
        <f>IF(OR($E39=0,R$78=0),0,IF(AND(R39="N/A",$G39&lt;&gt;""),0,$F39+SUMPRODUCT(($G$14:$G$71=$A39)*($E$14:$E$71=1)*(R$14:R$71="N/A")*$F$14:$F$71)))</f>
        <v/>
      </c>
      <c r="T39" s="22">
        <f>IF(R39="SI",S39,0)</f>
        <v/>
      </c>
      <c r="U39" s="21" t="n"/>
      <c r="V39" s="22">
        <f>IF(OR($E39=0,U$78=0),0,IF(AND(U39="N/A",$G39&lt;&gt;""),0,$F39+SUMPRODUCT(($G$14:$G$71=$A39)*($E$14:$E$71=1)*(U$14:U$71="N/A")*$F$14:$F$71)))</f>
        <v/>
      </c>
      <c r="W39" s="22">
        <f>IF(U39="SI",V39,0)</f>
        <v/>
      </c>
      <c r="X39" s="21" t="n"/>
      <c r="Y39" s="22">
        <f>IF(OR($E39=0,X$78=0),0,IF(AND(X39="N/A",$G39&lt;&gt;""),0,$F39+SUMPRODUCT(($G$14:$G$71=$A39)*($E$14:$E$71=1)*(X$14:X$71="N/A")*$F$14:$F$71)))</f>
        <v/>
      </c>
      <c r="Z39" s="22">
        <f>IF(X39="SI",Y39,0)</f>
        <v/>
      </c>
      <c r="AA39" s="22">
        <f>SUM(J39,M39,P39,S39,V39,Y39)</f>
        <v/>
      </c>
      <c r="AB39" s="22">
        <f>SUM(K39,N39,Q39,T39,W39,Z39)</f>
        <v/>
      </c>
      <c r="AC39" s="23">
        <f>IF(AA39=0,"",AB39/AA39)</f>
        <v/>
      </c>
      <c r="AD39" s="22">
        <f>CRITERIOS!Q27</f>
        <v/>
      </c>
      <c r="AE39" s="22">
        <f>IF(AND(E39=1,H39&lt;&gt;"X",((I39="N/A")+(L39="N/A")+(O39="N/A")+(R39="N/A")+(U39="N/A")+(X39="N/A"))&gt;0),"REVISAR","")</f>
        <v/>
      </c>
    </row>
    <row r="40">
      <c r="A40" s="22">
        <f>CRITERIOS!B28</f>
        <v/>
      </c>
      <c r="B40" s="22">
        <f>CRITERIOS!C28</f>
        <v/>
      </c>
      <c r="C40" s="8">
        <f>CRITERIOS!D28</f>
        <v/>
      </c>
      <c r="D40" s="22">
        <f>CRITERIOS!E28</f>
        <v/>
      </c>
      <c r="E40" s="22">
        <f>IFERROR(IF(AND(OR(CRITERIOS!F28="Todos",CRITERIOS!F28=$B$4),INDEX(CRITERIOS!H28:J28,MATCH($B$5,VARIABLES!$E$2:$E$4,0))=1),1,0),0)</f>
        <v/>
      </c>
      <c r="F40" s="22">
        <f>IFERROR(IF(E40=1,INDEX(CRITERIOS!K28:M28,MATCH($B$5,VARIABLES!$E$2:$E$4,0)),0),0)</f>
        <v/>
      </c>
      <c r="G40" s="22">
        <f>IF(CRITERIOS!N28="","",CRITERIOS!N28)</f>
        <v/>
      </c>
      <c r="H40" s="22">
        <f>IF(CRITERIOS!O28="","",CRITERIOS!O28)</f>
        <v/>
      </c>
      <c r="I40" s="21" t="n"/>
      <c r="J40" s="22">
        <f>IF(OR($E40=0,I$78=0),0,IF(AND(I40="N/A",$G40&lt;&gt;""),0,$F40+SUMPRODUCT(($G$14:$G$71=$A40)*($E$14:$E$71=1)*(I$14:I$71="N/A")*$F$14:$F$71)))</f>
        <v/>
      </c>
      <c r="K40" s="22">
        <f>IF(I40="SI",J40,0)</f>
        <v/>
      </c>
      <c r="L40" s="21" t="n"/>
      <c r="M40" s="22">
        <f>IF(OR($E40=0,L$78=0),0,IF(AND(L40="N/A",$G40&lt;&gt;""),0,$F40+SUMPRODUCT(($G$14:$G$71=$A40)*($E$14:$E$71=1)*(L$14:L$71="N/A")*$F$14:$F$71)))</f>
        <v/>
      </c>
      <c r="N40" s="22">
        <f>IF(L40="SI",M40,0)</f>
        <v/>
      </c>
      <c r="O40" s="21" t="n"/>
      <c r="P40" s="22">
        <f>IF(OR($E40=0,O$78=0),0,IF(AND(O40="N/A",$G40&lt;&gt;""),0,$F40+SUMPRODUCT(($G$14:$G$71=$A40)*($E$14:$E$71=1)*(O$14:O$71="N/A")*$F$14:$F$71)))</f>
        <v/>
      </c>
      <c r="Q40" s="22">
        <f>IF(O40="SI",P40,0)</f>
        <v/>
      </c>
      <c r="R40" s="21" t="n"/>
      <c r="S40" s="22">
        <f>IF(OR($E40=0,R$78=0),0,IF(AND(R40="N/A",$G40&lt;&gt;""),0,$F40+SUMPRODUCT(($G$14:$G$71=$A40)*($E$14:$E$71=1)*(R$14:R$71="N/A")*$F$14:$F$71)))</f>
        <v/>
      </c>
      <c r="T40" s="22">
        <f>IF(R40="SI",S40,0)</f>
        <v/>
      </c>
      <c r="U40" s="21" t="n"/>
      <c r="V40" s="22">
        <f>IF(OR($E40=0,U$78=0),0,IF(AND(U40="N/A",$G40&lt;&gt;""),0,$F40+SUMPRODUCT(($G$14:$G$71=$A40)*($E$14:$E$71=1)*(U$14:U$71="N/A")*$F$14:$F$71)))</f>
        <v/>
      </c>
      <c r="W40" s="22">
        <f>IF(U40="SI",V40,0)</f>
        <v/>
      </c>
      <c r="X40" s="21" t="n"/>
      <c r="Y40" s="22">
        <f>IF(OR($E40=0,X$78=0),0,IF(AND(X40="N/A",$G40&lt;&gt;""),0,$F40+SUMPRODUCT(($G$14:$G$71=$A40)*($E$14:$E$71=1)*(X$14:X$71="N/A")*$F$14:$F$71)))</f>
        <v/>
      </c>
      <c r="Z40" s="22">
        <f>IF(X40="SI",Y40,0)</f>
        <v/>
      </c>
      <c r="AA40" s="22">
        <f>SUM(J40,M40,P40,S40,V40,Y40)</f>
        <v/>
      </c>
      <c r="AB40" s="22">
        <f>SUM(K40,N40,Q40,T40,W40,Z40)</f>
        <v/>
      </c>
      <c r="AC40" s="23">
        <f>IF(AA40=0,"",AB40/AA40)</f>
        <v/>
      </c>
      <c r="AD40" s="22">
        <f>CRITERIOS!Q28</f>
        <v/>
      </c>
      <c r="AE40" s="22">
        <f>IF(AND(E40=1,H40&lt;&gt;"X",((I40="N/A")+(L40="N/A")+(O40="N/A")+(R40="N/A")+(U40="N/A")+(X40="N/A"))&gt;0),"REVISAR","")</f>
        <v/>
      </c>
    </row>
    <row r="41">
      <c r="A41" s="22">
        <f>CRITERIOS!B29</f>
        <v/>
      </c>
      <c r="B41" s="22">
        <f>CRITERIOS!C29</f>
        <v/>
      </c>
      <c r="C41" s="8">
        <f>CRITERIOS!D29</f>
        <v/>
      </c>
      <c r="D41" s="22">
        <f>CRITERIOS!E29</f>
        <v/>
      </c>
      <c r="E41" s="22">
        <f>IFERROR(IF(AND(OR(CRITERIOS!F29="Todos",CRITERIOS!F29=$B$4),INDEX(CRITERIOS!H29:J29,MATCH($B$5,VARIABLES!$E$2:$E$4,0))=1),1,0),0)</f>
        <v/>
      </c>
      <c r="F41" s="22">
        <f>IFERROR(IF(E41=1,INDEX(CRITERIOS!K29:M29,MATCH($B$5,VARIABLES!$E$2:$E$4,0)),0),0)</f>
        <v/>
      </c>
      <c r="G41" s="22">
        <f>IF(CRITERIOS!N29="","",CRITERIOS!N29)</f>
        <v/>
      </c>
      <c r="H41" s="22">
        <f>IF(CRITERIOS!O29="","",CRITERIOS!O29)</f>
        <v/>
      </c>
      <c r="I41" s="21" t="n"/>
      <c r="J41" s="22">
        <f>IF(OR($E41=0,I$78=0),0,IF(AND(I41="N/A",$G41&lt;&gt;""),0,$F41+SUMPRODUCT(($G$14:$G$71=$A41)*($E$14:$E$71=1)*(I$14:I$71="N/A")*$F$14:$F$71)))</f>
        <v/>
      </c>
      <c r="K41" s="22">
        <f>IF(I41="SI",J41,0)</f>
        <v/>
      </c>
      <c r="L41" s="21" t="n"/>
      <c r="M41" s="22">
        <f>IF(OR($E41=0,L$78=0),0,IF(AND(L41="N/A",$G41&lt;&gt;""),0,$F41+SUMPRODUCT(($G$14:$G$71=$A41)*($E$14:$E$71=1)*(L$14:L$71="N/A")*$F$14:$F$71)))</f>
        <v/>
      </c>
      <c r="N41" s="22">
        <f>IF(L41="SI",M41,0)</f>
        <v/>
      </c>
      <c r="O41" s="21" t="n"/>
      <c r="P41" s="22">
        <f>IF(OR($E41=0,O$78=0),0,IF(AND(O41="N/A",$G41&lt;&gt;""),0,$F41+SUMPRODUCT(($G$14:$G$71=$A41)*($E$14:$E$71=1)*(O$14:O$71="N/A")*$F$14:$F$71)))</f>
        <v/>
      </c>
      <c r="Q41" s="22">
        <f>IF(O41="SI",P41,0)</f>
        <v/>
      </c>
      <c r="R41" s="21" t="n"/>
      <c r="S41" s="22">
        <f>IF(OR($E41=0,R$78=0),0,IF(AND(R41="N/A",$G41&lt;&gt;""),0,$F41+SUMPRODUCT(($G$14:$G$71=$A41)*($E$14:$E$71=1)*(R$14:R$71="N/A")*$F$14:$F$71)))</f>
        <v/>
      </c>
      <c r="T41" s="22">
        <f>IF(R41="SI",S41,0)</f>
        <v/>
      </c>
      <c r="U41" s="21" t="n"/>
      <c r="V41" s="22">
        <f>IF(OR($E41=0,U$78=0),0,IF(AND(U41="N/A",$G41&lt;&gt;""),0,$F41+SUMPRODUCT(($G$14:$G$71=$A41)*($E$14:$E$71=1)*(U$14:U$71="N/A")*$F$14:$F$71)))</f>
        <v/>
      </c>
      <c r="W41" s="22">
        <f>IF(U41="SI",V41,0)</f>
        <v/>
      </c>
      <c r="X41" s="21" t="n"/>
      <c r="Y41" s="22">
        <f>IF(OR($E41=0,X$78=0),0,IF(AND(X41="N/A",$G41&lt;&gt;""),0,$F41+SUMPRODUCT(($G$14:$G$71=$A41)*($E$14:$E$71=1)*(X$14:X$71="N/A")*$F$14:$F$71)))</f>
        <v/>
      </c>
      <c r="Z41" s="22">
        <f>IF(X41="SI",Y41,0)</f>
        <v/>
      </c>
      <c r="AA41" s="22">
        <f>SUM(J41,M41,P41,S41,V41,Y41)</f>
        <v/>
      </c>
      <c r="AB41" s="22">
        <f>SUM(K41,N41,Q41,T41,W41,Z41)</f>
        <v/>
      </c>
      <c r="AC41" s="23">
        <f>IF(AA41=0,"",AB41/AA41)</f>
        <v/>
      </c>
      <c r="AD41" s="22">
        <f>CRITERIOS!Q29</f>
        <v/>
      </c>
      <c r="AE41" s="22">
        <f>IF(AND(E41=1,H41&lt;&gt;"X",((I41="N/A")+(L41="N/A")+(O41="N/A")+(R41="N/A")+(U41="N/A")+(X41="N/A"))&gt;0),"REVISAR","")</f>
        <v/>
      </c>
    </row>
    <row r="42">
      <c r="A42" s="24">
        <f>CRITERIOS!B30</f>
        <v/>
      </c>
      <c r="B42" s="24">
        <f>CRITERIOS!C30</f>
        <v/>
      </c>
      <c r="C42" s="25">
        <f>CRITERIOS!D30</f>
        <v/>
      </c>
      <c r="D42" s="24">
        <f>CRITERIOS!E30</f>
        <v/>
      </c>
      <c r="E42" s="24">
        <f>IFERROR(IF(AND(OR(CRITERIOS!F30="Todos",CRITERIOS!F30=$B$4),INDEX(CRITERIOS!H30:J30,MATCH($B$5,VARIABLES!$E$2:$E$4,0))=1),1,0),0)</f>
        <v/>
      </c>
      <c r="F42" s="24">
        <f>IFERROR(IF(E42=1,INDEX(CRITERIOS!K30:M30,MATCH($B$5,VARIABLES!$E$2:$E$4,0)),0),0)</f>
        <v/>
      </c>
      <c r="G42" s="24">
        <f>IF(CRITERIOS!N30="","",CRITERIOS!N30)</f>
        <v/>
      </c>
      <c r="H42" s="24">
        <f>IF(CRITERIOS!O30="","",CRITERIOS!O30)</f>
        <v/>
      </c>
      <c r="I42" s="21" t="n"/>
      <c r="J42" s="22">
        <f>IF(OR($E42=0,I$78=0),0,IF(AND(I42="N/A",$G42&lt;&gt;""),0,$F42+SUMPRODUCT(($G$14:$G$71=$A42)*($E$14:$E$71=1)*(I$14:I$71="N/A")*$F$14:$F$71)))</f>
        <v/>
      </c>
      <c r="K42" s="22">
        <f>IF(I42="SI",J42,0)</f>
        <v/>
      </c>
      <c r="L42" s="21" t="n"/>
      <c r="M42" s="22">
        <f>IF(OR($E42=0,L$78=0),0,IF(AND(L42="N/A",$G42&lt;&gt;""),0,$F42+SUMPRODUCT(($G$14:$G$71=$A42)*($E$14:$E$71=1)*(L$14:L$71="N/A")*$F$14:$F$71)))</f>
        <v/>
      </c>
      <c r="N42" s="22">
        <f>IF(L42="SI",M42,0)</f>
        <v/>
      </c>
      <c r="O42" s="21" t="n"/>
      <c r="P42" s="22">
        <f>IF(OR($E42=0,O$78=0),0,IF(AND(O42="N/A",$G42&lt;&gt;""),0,$F42+SUMPRODUCT(($G$14:$G$71=$A42)*($E$14:$E$71=1)*(O$14:O$71="N/A")*$F$14:$F$71)))</f>
        <v/>
      </c>
      <c r="Q42" s="22">
        <f>IF(O42="SI",P42,0)</f>
        <v/>
      </c>
      <c r="R42" s="21" t="n"/>
      <c r="S42" s="22">
        <f>IF(OR($E42=0,R$78=0),0,IF(AND(R42="N/A",$G42&lt;&gt;""),0,$F42+SUMPRODUCT(($G$14:$G$71=$A42)*($E$14:$E$71=1)*(R$14:R$71="N/A")*$F$14:$F$71)))</f>
        <v/>
      </c>
      <c r="T42" s="22">
        <f>IF(R42="SI",S42,0)</f>
        <v/>
      </c>
      <c r="U42" s="21" t="n"/>
      <c r="V42" s="22">
        <f>IF(OR($E42=0,U$78=0),0,IF(AND(U42="N/A",$G42&lt;&gt;""),0,$F42+SUMPRODUCT(($G$14:$G$71=$A42)*($E$14:$E$71=1)*(U$14:U$71="N/A")*$F$14:$F$71)))</f>
        <v/>
      </c>
      <c r="W42" s="22">
        <f>IF(U42="SI",V42,0)</f>
        <v/>
      </c>
      <c r="X42" s="21" t="n"/>
      <c r="Y42" s="22">
        <f>IF(OR($E42=0,X$78=0),0,IF(AND(X42="N/A",$G42&lt;&gt;""),0,$F42+SUMPRODUCT(($G$14:$G$71=$A42)*($E$14:$E$71=1)*(X$14:X$71="N/A")*$F$14:$F$71)))</f>
        <v/>
      </c>
      <c r="Z42" s="22">
        <f>IF(X42="SI",Y42,0)</f>
        <v/>
      </c>
      <c r="AA42" s="22">
        <f>SUM(J42,M42,P42,S42,V42,Y42)</f>
        <v/>
      </c>
      <c r="AB42" s="22">
        <f>SUM(K42,N42,Q42,T42,W42,Z42)</f>
        <v/>
      </c>
      <c r="AC42" s="23">
        <f>IF(AA42=0,"",AB42/AA42)</f>
        <v/>
      </c>
      <c r="AD42" s="22">
        <f>CRITERIOS!Q30</f>
        <v/>
      </c>
      <c r="AE42" s="22">
        <f>IF(AND(E42=1,H42&lt;&gt;"X",((I42="N/A")+(L42="N/A")+(O42="N/A")+(R42="N/A")+(U42="N/A")+(X42="N/A"))&gt;0),"REVISAR","")</f>
        <v/>
      </c>
    </row>
    <row r="43">
      <c r="A43" s="22">
        <f>CRITERIOS!B31</f>
        <v/>
      </c>
      <c r="B43" s="22">
        <f>CRITERIOS!C31</f>
        <v/>
      </c>
      <c r="C43" s="8">
        <f>CRITERIOS!D31</f>
        <v/>
      </c>
      <c r="D43" s="22">
        <f>CRITERIOS!E31</f>
        <v/>
      </c>
      <c r="E43" s="22">
        <f>IFERROR(IF(AND(OR(CRITERIOS!F31="Todos",CRITERIOS!F31=$B$4),INDEX(CRITERIOS!H31:J31,MATCH($B$5,VARIABLES!$E$2:$E$4,0))=1),1,0),0)</f>
        <v/>
      </c>
      <c r="F43" s="22">
        <f>IFERROR(IF(E43=1,INDEX(CRITERIOS!K31:M31,MATCH($B$5,VARIABLES!$E$2:$E$4,0)),0),0)</f>
        <v/>
      </c>
      <c r="G43" s="22">
        <f>IF(CRITERIOS!N31="","",CRITERIOS!N31)</f>
        <v/>
      </c>
      <c r="H43" s="22">
        <f>IF(CRITERIOS!O31="","",CRITERIOS!O31)</f>
        <v/>
      </c>
      <c r="I43" s="21" t="n"/>
      <c r="J43" s="22">
        <f>IF(OR($E43=0,I$78=0),0,IF(AND(I43="N/A",$G43&lt;&gt;""),0,$F43+SUMPRODUCT(($G$14:$G$71=$A43)*($E$14:$E$71=1)*(I$14:I$71="N/A")*$F$14:$F$71)))</f>
        <v/>
      </c>
      <c r="K43" s="22">
        <f>IF(I43="SI",J43,0)</f>
        <v/>
      </c>
      <c r="L43" s="21" t="n"/>
      <c r="M43" s="22">
        <f>IF(OR($E43=0,L$78=0),0,IF(AND(L43="N/A",$G43&lt;&gt;""),0,$F43+SUMPRODUCT(($G$14:$G$71=$A43)*($E$14:$E$71=1)*(L$14:L$71="N/A")*$F$14:$F$71)))</f>
        <v/>
      </c>
      <c r="N43" s="22">
        <f>IF(L43="SI",M43,0)</f>
        <v/>
      </c>
      <c r="O43" s="21" t="n"/>
      <c r="P43" s="22">
        <f>IF(OR($E43=0,O$78=0),0,IF(AND(O43="N/A",$G43&lt;&gt;""),0,$F43+SUMPRODUCT(($G$14:$G$71=$A43)*($E$14:$E$71=1)*(O$14:O$71="N/A")*$F$14:$F$71)))</f>
        <v/>
      </c>
      <c r="Q43" s="22">
        <f>IF(O43="SI",P43,0)</f>
        <v/>
      </c>
      <c r="R43" s="21" t="n"/>
      <c r="S43" s="22">
        <f>IF(OR($E43=0,R$78=0),0,IF(AND(R43="N/A",$G43&lt;&gt;""),0,$F43+SUMPRODUCT(($G$14:$G$71=$A43)*($E$14:$E$71=1)*(R$14:R$71="N/A")*$F$14:$F$71)))</f>
        <v/>
      </c>
      <c r="T43" s="22">
        <f>IF(R43="SI",S43,0)</f>
        <v/>
      </c>
      <c r="U43" s="21" t="n"/>
      <c r="V43" s="22">
        <f>IF(OR($E43=0,U$78=0),0,IF(AND(U43="N/A",$G43&lt;&gt;""),0,$F43+SUMPRODUCT(($G$14:$G$71=$A43)*($E$14:$E$71=1)*(U$14:U$71="N/A")*$F$14:$F$71)))</f>
        <v/>
      </c>
      <c r="W43" s="22">
        <f>IF(U43="SI",V43,0)</f>
        <v/>
      </c>
      <c r="X43" s="21" t="n"/>
      <c r="Y43" s="22">
        <f>IF(OR($E43=0,X$78=0),0,IF(AND(X43="N/A",$G43&lt;&gt;""),0,$F43+SUMPRODUCT(($G$14:$G$71=$A43)*($E$14:$E$71=1)*(X$14:X$71="N/A")*$F$14:$F$71)))</f>
        <v/>
      </c>
      <c r="Z43" s="22">
        <f>IF(X43="SI",Y43,0)</f>
        <v/>
      </c>
      <c r="AA43" s="22">
        <f>SUM(J43,M43,P43,S43,V43,Y43)</f>
        <v/>
      </c>
      <c r="AB43" s="22">
        <f>SUM(K43,N43,Q43,T43,W43,Z43)</f>
        <v/>
      </c>
      <c r="AC43" s="23">
        <f>IF(AA43=0,"",AB43/AA43)</f>
        <v/>
      </c>
      <c r="AD43" s="22">
        <f>CRITERIOS!Q31</f>
        <v/>
      </c>
      <c r="AE43" s="22">
        <f>IF(AND(E43=1,H43&lt;&gt;"X",((I43="N/A")+(L43="N/A")+(O43="N/A")+(R43="N/A")+(U43="N/A")+(X43="N/A"))&gt;0),"REVISAR","")</f>
        <v/>
      </c>
    </row>
    <row r="44">
      <c r="A44" s="24">
        <f>CRITERIOS!B32</f>
        <v/>
      </c>
      <c r="B44" s="24">
        <f>CRITERIOS!C32</f>
        <v/>
      </c>
      <c r="C44" s="25">
        <f>CRITERIOS!D32</f>
        <v/>
      </c>
      <c r="D44" s="24">
        <f>CRITERIOS!E32</f>
        <v/>
      </c>
      <c r="E44" s="24">
        <f>IFERROR(IF(AND(OR(CRITERIOS!F32="Todos",CRITERIOS!F32=$B$4),INDEX(CRITERIOS!H32:J32,MATCH($B$5,VARIABLES!$E$2:$E$4,0))=1),1,0),0)</f>
        <v/>
      </c>
      <c r="F44" s="24">
        <f>IFERROR(IF(E44=1,INDEX(CRITERIOS!K32:M32,MATCH($B$5,VARIABLES!$E$2:$E$4,0)),0),0)</f>
        <v/>
      </c>
      <c r="G44" s="24">
        <f>IF(CRITERIOS!N32="","",CRITERIOS!N32)</f>
        <v/>
      </c>
      <c r="H44" s="24">
        <f>IF(CRITERIOS!O32="","",CRITERIOS!O32)</f>
        <v/>
      </c>
      <c r="I44" s="21" t="n"/>
      <c r="J44" s="22">
        <f>IF(OR($E44=0,I$78=0),0,IF(AND(I44="N/A",$G44&lt;&gt;""),0,$F44+SUMPRODUCT(($G$14:$G$71=$A44)*($E$14:$E$71=1)*(I$14:I$71="N/A")*$F$14:$F$71)))</f>
        <v/>
      </c>
      <c r="K44" s="22">
        <f>IF(I44="SI",J44,0)</f>
        <v/>
      </c>
      <c r="L44" s="21" t="n"/>
      <c r="M44" s="22">
        <f>IF(OR($E44=0,L$78=0),0,IF(AND(L44="N/A",$G44&lt;&gt;""),0,$F44+SUMPRODUCT(($G$14:$G$71=$A44)*($E$14:$E$71=1)*(L$14:L$71="N/A")*$F$14:$F$71)))</f>
        <v/>
      </c>
      <c r="N44" s="22">
        <f>IF(L44="SI",M44,0)</f>
        <v/>
      </c>
      <c r="O44" s="21" t="n"/>
      <c r="P44" s="22">
        <f>IF(OR($E44=0,O$78=0),0,IF(AND(O44="N/A",$G44&lt;&gt;""),0,$F44+SUMPRODUCT(($G$14:$G$71=$A44)*($E$14:$E$71=1)*(O$14:O$71="N/A")*$F$14:$F$71)))</f>
        <v/>
      </c>
      <c r="Q44" s="22">
        <f>IF(O44="SI",P44,0)</f>
        <v/>
      </c>
      <c r="R44" s="21" t="n"/>
      <c r="S44" s="22">
        <f>IF(OR($E44=0,R$78=0),0,IF(AND(R44="N/A",$G44&lt;&gt;""),0,$F44+SUMPRODUCT(($G$14:$G$71=$A44)*($E$14:$E$71=1)*(R$14:R$71="N/A")*$F$14:$F$71)))</f>
        <v/>
      </c>
      <c r="T44" s="22">
        <f>IF(R44="SI",S44,0)</f>
        <v/>
      </c>
      <c r="U44" s="21" t="n"/>
      <c r="V44" s="22">
        <f>IF(OR($E44=0,U$78=0),0,IF(AND(U44="N/A",$G44&lt;&gt;""),0,$F44+SUMPRODUCT(($G$14:$G$71=$A44)*($E$14:$E$71=1)*(U$14:U$71="N/A")*$F$14:$F$71)))</f>
        <v/>
      </c>
      <c r="W44" s="22">
        <f>IF(U44="SI",V44,0)</f>
        <v/>
      </c>
      <c r="X44" s="21" t="n"/>
      <c r="Y44" s="22">
        <f>IF(OR($E44=0,X$78=0),0,IF(AND(X44="N/A",$G44&lt;&gt;""),0,$F44+SUMPRODUCT(($G$14:$G$71=$A44)*($E$14:$E$71=1)*(X$14:X$71="N/A")*$F$14:$F$71)))</f>
        <v/>
      </c>
      <c r="Z44" s="22">
        <f>IF(X44="SI",Y44,0)</f>
        <v/>
      </c>
      <c r="AA44" s="22">
        <f>SUM(J44,M44,P44,S44,V44,Y44)</f>
        <v/>
      </c>
      <c r="AB44" s="22">
        <f>SUM(K44,N44,Q44,T44,W44,Z44)</f>
        <v/>
      </c>
      <c r="AC44" s="23">
        <f>IF(AA44=0,"",AB44/AA44)</f>
        <v/>
      </c>
      <c r="AD44" s="22">
        <f>CRITERIOS!Q32</f>
        <v/>
      </c>
      <c r="AE44" s="22">
        <f>IF(AND(E44=1,H44&lt;&gt;"X",((I44="N/A")+(L44="N/A")+(O44="N/A")+(R44="N/A")+(U44="N/A")+(X44="N/A"))&gt;0),"REVISAR","")</f>
        <v/>
      </c>
    </row>
    <row r="45">
      <c r="A45" s="22">
        <f>CRITERIOS!B33</f>
        <v/>
      </c>
      <c r="B45" s="22">
        <f>CRITERIOS!C33</f>
        <v/>
      </c>
      <c r="C45" s="8">
        <f>CRITERIOS!D33</f>
        <v/>
      </c>
      <c r="D45" s="22">
        <f>CRITERIOS!E33</f>
        <v/>
      </c>
      <c r="E45" s="22">
        <f>IFERROR(IF(AND(OR(CRITERIOS!F33="Todos",CRITERIOS!F33=$B$4),INDEX(CRITERIOS!H33:J33,MATCH($B$5,VARIABLES!$E$2:$E$4,0))=1),1,0),0)</f>
        <v/>
      </c>
      <c r="F45" s="22">
        <f>IFERROR(IF(E45=1,INDEX(CRITERIOS!K33:M33,MATCH($B$5,VARIABLES!$E$2:$E$4,0)),0),0)</f>
        <v/>
      </c>
      <c r="G45" s="22">
        <f>IF(CRITERIOS!N33="","",CRITERIOS!N33)</f>
        <v/>
      </c>
      <c r="H45" s="22">
        <f>IF(CRITERIOS!O33="","",CRITERIOS!O33)</f>
        <v/>
      </c>
      <c r="I45" s="21" t="n"/>
      <c r="J45" s="22">
        <f>IF(OR($E45=0,I$78=0),0,IF(AND(I45="N/A",$G45&lt;&gt;""),0,$F45+SUMPRODUCT(($G$14:$G$71=$A45)*($E$14:$E$71=1)*(I$14:I$71="N/A")*$F$14:$F$71)))</f>
        <v/>
      </c>
      <c r="K45" s="22">
        <f>IF(I45="SI",J45,0)</f>
        <v/>
      </c>
      <c r="L45" s="21" t="n"/>
      <c r="M45" s="22">
        <f>IF(OR($E45=0,L$78=0),0,IF(AND(L45="N/A",$G45&lt;&gt;""),0,$F45+SUMPRODUCT(($G$14:$G$71=$A45)*($E$14:$E$71=1)*(L$14:L$71="N/A")*$F$14:$F$71)))</f>
        <v/>
      </c>
      <c r="N45" s="22">
        <f>IF(L45="SI",M45,0)</f>
        <v/>
      </c>
      <c r="O45" s="21" t="n"/>
      <c r="P45" s="22">
        <f>IF(OR($E45=0,O$78=0),0,IF(AND(O45="N/A",$G45&lt;&gt;""),0,$F45+SUMPRODUCT(($G$14:$G$71=$A45)*($E$14:$E$71=1)*(O$14:O$71="N/A")*$F$14:$F$71)))</f>
        <v/>
      </c>
      <c r="Q45" s="22">
        <f>IF(O45="SI",P45,0)</f>
        <v/>
      </c>
      <c r="R45" s="21" t="n"/>
      <c r="S45" s="22">
        <f>IF(OR($E45=0,R$78=0),0,IF(AND(R45="N/A",$G45&lt;&gt;""),0,$F45+SUMPRODUCT(($G$14:$G$71=$A45)*($E$14:$E$71=1)*(R$14:R$71="N/A")*$F$14:$F$71)))</f>
        <v/>
      </c>
      <c r="T45" s="22">
        <f>IF(R45="SI",S45,0)</f>
        <v/>
      </c>
      <c r="U45" s="21" t="n"/>
      <c r="V45" s="22">
        <f>IF(OR($E45=0,U$78=0),0,IF(AND(U45="N/A",$G45&lt;&gt;""),0,$F45+SUMPRODUCT(($G$14:$G$71=$A45)*($E$14:$E$71=1)*(U$14:U$71="N/A")*$F$14:$F$71)))</f>
        <v/>
      </c>
      <c r="W45" s="22">
        <f>IF(U45="SI",V45,0)</f>
        <v/>
      </c>
      <c r="X45" s="21" t="n"/>
      <c r="Y45" s="22">
        <f>IF(OR($E45=0,X$78=0),0,IF(AND(X45="N/A",$G45&lt;&gt;""),0,$F45+SUMPRODUCT(($G$14:$G$71=$A45)*($E$14:$E$71=1)*(X$14:X$71="N/A")*$F$14:$F$71)))</f>
        <v/>
      </c>
      <c r="Z45" s="22">
        <f>IF(X45="SI",Y45,0)</f>
        <v/>
      </c>
      <c r="AA45" s="22">
        <f>SUM(J45,M45,P45,S45,V45,Y45)</f>
        <v/>
      </c>
      <c r="AB45" s="22">
        <f>SUM(K45,N45,Q45,T45,W45,Z45)</f>
        <v/>
      </c>
      <c r="AC45" s="23">
        <f>IF(AA45=0,"",AB45/AA45)</f>
        <v/>
      </c>
      <c r="AD45" s="22">
        <f>CRITERIOS!Q33</f>
        <v/>
      </c>
      <c r="AE45" s="22">
        <f>IF(AND(E45=1,H45&lt;&gt;"X",((I45="N/A")+(L45="N/A")+(O45="N/A")+(R45="N/A")+(U45="N/A")+(X45="N/A"))&gt;0),"REVISAR","")</f>
        <v/>
      </c>
    </row>
    <row r="46">
      <c r="A46" s="24">
        <f>CRITERIOS!B34</f>
        <v/>
      </c>
      <c r="B46" s="24">
        <f>CRITERIOS!C34</f>
        <v/>
      </c>
      <c r="C46" s="25">
        <f>CRITERIOS!D34</f>
        <v/>
      </c>
      <c r="D46" s="24">
        <f>CRITERIOS!E34</f>
        <v/>
      </c>
      <c r="E46" s="24">
        <f>IFERROR(IF(AND(OR(CRITERIOS!F34="Todos",CRITERIOS!F34=$B$4),INDEX(CRITERIOS!H34:J34,MATCH($B$5,VARIABLES!$E$2:$E$4,0))=1),1,0),0)</f>
        <v/>
      </c>
      <c r="F46" s="24">
        <f>IFERROR(IF(E46=1,INDEX(CRITERIOS!K34:M34,MATCH($B$5,VARIABLES!$E$2:$E$4,0)),0),0)</f>
        <v/>
      </c>
      <c r="G46" s="24">
        <f>IF(CRITERIOS!N34="","",CRITERIOS!N34)</f>
        <v/>
      </c>
      <c r="H46" s="24">
        <f>IF(CRITERIOS!O34="","",CRITERIOS!O34)</f>
        <v/>
      </c>
      <c r="I46" s="21" t="n"/>
      <c r="J46" s="22">
        <f>IF(OR($E46=0,I$78=0),0,IF(AND(I46="N/A",$G46&lt;&gt;""),0,$F46+SUMPRODUCT(($G$14:$G$71=$A46)*($E$14:$E$71=1)*(I$14:I$71="N/A")*$F$14:$F$71)))</f>
        <v/>
      </c>
      <c r="K46" s="22">
        <f>IF(I46="SI",J46,0)</f>
        <v/>
      </c>
      <c r="L46" s="21" t="n"/>
      <c r="M46" s="22">
        <f>IF(OR($E46=0,L$78=0),0,IF(AND(L46="N/A",$G46&lt;&gt;""),0,$F46+SUMPRODUCT(($G$14:$G$71=$A46)*($E$14:$E$71=1)*(L$14:L$71="N/A")*$F$14:$F$71)))</f>
        <v/>
      </c>
      <c r="N46" s="22">
        <f>IF(L46="SI",M46,0)</f>
        <v/>
      </c>
      <c r="O46" s="21" t="n"/>
      <c r="P46" s="22">
        <f>IF(OR($E46=0,O$78=0),0,IF(AND(O46="N/A",$G46&lt;&gt;""),0,$F46+SUMPRODUCT(($G$14:$G$71=$A46)*($E$14:$E$71=1)*(O$14:O$71="N/A")*$F$14:$F$71)))</f>
        <v/>
      </c>
      <c r="Q46" s="22">
        <f>IF(O46="SI",P46,0)</f>
        <v/>
      </c>
      <c r="R46" s="21" t="n"/>
      <c r="S46" s="22">
        <f>IF(OR($E46=0,R$78=0),0,IF(AND(R46="N/A",$G46&lt;&gt;""),0,$F46+SUMPRODUCT(($G$14:$G$71=$A46)*($E$14:$E$71=1)*(R$14:R$71="N/A")*$F$14:$F$71)))</f>
        <v/>
      </c>
      <c r="T46" s="22">
        <f>IF(R46="SI",S46,0)</f>
        <v/>
      </c>
      <c r="U46" s="21" t="n"/>
      <c r="V46" s="22">
        <f>IF(OR($E46=0,U$78=0),0,IF(AND(U46="N/A",$G46&lt;&gt;""),0,$F46+SUMPRODUCT(($G$14:$G$71=$A46)*($E$14:$E$71=1)*(U$14:U$71="N/A")*$F$14:$F$71)))</f>
        <v/>
      </c>
      <c r="W46" s="22">
        <f>IF(U46="SI",V46,0)</f>
        <v/>
      </c>
      <c r="X46" s="21" t="n"/>
      <c r="Y46" s="22">
        <f>IF(OR($E46=0,X$78=0),0,IF(AND(X46="N/A",$G46&lt;&gt;""),0,$F46+SUMPRODUCT(($G$14:$G$71=$A46)*($E$14:$E$71=1)*(X$14:X$71="N/A")*$F$14:$F$71)))</f>
        <v/>
      </c>
      <c r="Z46" s="22">
        <f>IF(X46="SI",Y46,0)</f>
        <v/>
      </c>
      <c r="AA46" s="22">
        <f>SUM(J46,M46,P46,S46,V46,Y46)</f>
        <v/>
      </c>
      <c r="AB46" s="22">
        <f>SUM(K46,N46,Q46,T46,W46,Z46)</f>
        <v/>
      </c>
      <c r="AC46" s="23">
        <f>IF(AA46=0,"",AB46/AA46)</f>
        <v/>
      </c>
      <c r="AD46" s="22">
        <f>CRITERIOS!Q34</f>
        <v/>
      </c>
      <c r="AE46" s="22">
        <f>IF(AND(E46=1,H46&lt;&gt;"X",((I46="N/A")+(L46="N/A")+(O46="N/A")+(R46="N/A")+(U46="N/A")+(X46="N/A"))&gt;0),"REVISAR","")</f>
        <v/>
      </c>
    </row>
    <row r="47">
      <c r="A47" s="22">
        <f>CRITERIOS!B35</f>
        <v/>
      </c>
      <c r="B47" s="22">
        <f>CRITERIOS!C35</f>
        <v/>
      </c>
      <c r="C47" s="8">
        <f>CRITERIOS!D35</f>
        <v/>
      </c>
      <c r="D47" s="22">
        <f>CRITERIOS!E35</f>
        <v/>
      </c>
      <c r="E47" s="22">
        <f>IFERROR(IF(AND(OR(CRITERIOS!F35="Todos",CRITERIOS!F35=$B$4),INDEX(CRITERIOS!H35:J35,MATCH($B$5,VARIABLES!$E$2:$E$4,0))=1),1,0),0)</f>
        <v/>
      </c>
      <c r="F47" s="22">
        <f>IFERROR(IF(E47=1,INDEX(CRITERIOS!K35:M35,MATCH($B$5,VARIABLES!$E$2:$E$4,0)),0),0)</f>
        <v/>
      </c>
      <c r="G47" s="22">
        <f>IF(CRITERIOS!N35="","",CRITERIOS!N35)</f>
        <v/>
      </c>
      <c r="H47" s="22">
        <f>IF(CRITERIOS!O35="","",CRITERIOS!O35)</f>
        <v/>
      </c>
      <c r="I47" s="21" t="n"/>
      <c r="J47" s="22">
        <f>IF(OR($E47=0,I$78=0),0,IF(AND(I47="N/A",$G47&lt;&gt;""),0,$F47+SUMPRODUCT(($G$14:$G$71=$A47)*($E$14:$E$71=1)*(I$14:I$71="N/A")*$F$14:$F$71)))</f>
        <v/>
      </c>
      <c r="K47" s="22">
        <f>IF(I47="SI",J47,0)</f>
        <v/>
      </c>
      <c r="L47" s="21" t="n"/>
      <c r="M47" s="22">
        <f>IF(OR($E47=0,L$78=0),0,IF(AND(L47="N/A",$G47&lt;&gt;""),0,$F47+SUMPRODUCT(($G$14:$G$71=$A47)*($E$14:$E$71=1)*(L$14:L$71="N/A")*$F$14:$F$71)))</f>
        <v/>
      </c>
      <c r="N47" s="22">
        <f>IF(L47="SI",M47,0)</f>
        <v/>
      </c>
      <c r="O47" s="21" t="n"/>
      <c r="P47" s="22">
        <f>IF(OR($E47=0,O$78=0),0,IF(AND(O47="N/A",$G47&lt;&gt;""),0,$F47+SUMPRODUCT(($G$14:$G$71=$A47)*($E$14:$E$71=1)*(O$14:O$71="N/A")*$F$14:$F$71)))</f>
        <v/>
      </c>
      <c r="Q47" s="22">
        <f>IF(O47="SI",P47,0)</f>
        <v/>
      </c>
      <c r="R47" s="21" t="n"/>
      <c r="S47" s="22">
        <f>IF(OR($E47=0,R$78=0),0,IF(AND(R47="N/A",$G47&lt;&gt;""),0,$F47+SUMPRODUCT(($G$14:$G$71=$A47)*($E$14:$E$71=1)*(R$14:R$71="N/A")*$F$14:$F$71)))</f>
        <v/>
      </c>
      <c r="T47" s="22">
        <f>IF(R47="SI",S47,0)</f>
        <v/>
      </c>
      <c r="U47" s="21" t="n"/>
      <c r="V47" s="22">
        <f>IF(OR($E47=0,U$78=0),0,IF(AND(U47="N/A",$G47&lt;&gt;""),0,$F47+SUMPRODUCT(($G$14:$G$71=$A47)*($E$14:$E$71=1)*(U$14:U$71="N/A")*$F$14:$F$71)))</f>
        <v/>
      </c>
      <c r="W47" s="22">
        <f>IF(U47="SI",V47,0)</f>
        <v/>
      </c>
      <c r="X47" s="21" t="n"/>
      <c r="Y47" s="22">
        <f>IF(OR($E47=0,X$78=0),0,IF(AND(X47="N/A",$G47&lt;&gt;""),0,$F47+SUMPRODUCT(($G$14:$G$71=$A47)*($E$14:$E$71=1)*(X$14:X$71="N/A")*$F$14:$F$71)))</f>
        <v/>
      </c>
      <c r="Z47" s="22">
        <f>IF(X47="SI",Y47,0)</f>
        <v/>
      </c>
      <c r="AA47" s="22">
        <f>SUM(J47,M47,P47,S47,V47,Y47)</f>
        <v/>
      </c>
      <c r="AB47" s="22">
        <f>SUM(K47,N47,Q47,T47,W47,Z47)</f>
        <v/>
      </c>
      <c r="AC47" s="23">
        <f>IF(AA47=0,"",AB47/AA47)</f>
        <v/>
      </c>
      <c r="AD47" s="22">
        <f>CRITERIOS!Q35</f>
        <v/>
      </c>
      <c r="AE47" s="22">
        <f>IF(AND(E47=1,H47&lt;&gt;"X",((I47="N/A")+(L47="N/A")+(O47="N/A")+(R47="N/A")+(U47="N/A")+(X47="N/A"))&gt;0),"REVISAR","")</f>
        <v/>
      </c>
    </row>
    <row r="48">
      <c r="A48" s="24">
        <f>CRITERIOS!B36</f>
        <v/>
      </c>
      <c r="B48" s="24">
        <f>CRITERIOS!C36</f>
        <v/>
      </c>
      <c r="C48" s="25">
        <f>CRITERIOS!D36</f>
        <v/>
      </c>
      <c r="D48" s="24">
        <f>CRITERIOS!E36</f>
        <v/>
      </c>
      <c r="E48" s="24">
        <f>IFERROR(IF(AND(OR(CRITERIOS!F36="Todos",CRITERIOS!F36=$B$4),INDEX(CRITERIOS!H36:J36,MATCH($B$5,VARIABLES!$E$2:$E$4,0))=1),1,0),0)</f>
        <v/>
      </c>
      <c r="F48" s="24">
        <f>IFERROR(IF(E48=1,INDEX(CRITERIOS!K36:M36,MATCH($B$5,VARIABLES!$E$2:$E$4,0)),0),0)</f>
        <v/>
      </c>
      <c r="G48" s="24">
        <f>IF(CRITERIOS!N36="","",CRITERIOS!N36)</f>
        <v/>
      </c>
      <c r="H48" s="24">
        <f>IF(CRITERIOS!O36="","",CRITERIOS!O36)</f>
        <v/>
      </c>
      <c r="I48" s="21" t="n"/>
      <c r="J48" s="22">
        <f>IF(OR($E48=0,I$78=0),0,IF(AND(I48="N/A",$G48&lt;&gt;""),0,$F48+SUMPRODUCT(($G$14:$G$71=$A48)*($E$14:$E$71=1)*(I$14:I$71="N/A")*$F$14:$F$71)))</f>
        <v/>
      </c>
      <c r="K48" s="22">
        <f>IF(I48="SI",J48,0)</f>
        <v/>
      </c>
      <c r="L48" s="21" t="n"/>
      <c r="M48" s="22">
        <f>IF(OR($E48=0,L$78=0),0,IF(AND(L48="N/A",$G48&lt;&gt;""),0,$F48+SUMPRODUCT(($G$14:$G$71=$A48)*($E$14:$E$71=1)*(L$14:L$71="N/A")*$F$14:$F$71)))</f>
        <v/>
      </c>
      <c r="N48" s="22">
        <f>IF(L48="SI",M48,0)</f>
        <v/>
      </c>
      <c r="O48" s="21" t="n"/>
      <c r="P48" s="22">
        <f>IF(OR($E48=0,O$78=0),0,IF(AND(O48="N/A",$G48&lt;&gt;""),0,$F48+SUMPRODUCT(($G$14:$G$71=$A48)*($E$14:$E$71=1)*(O$14:O$71="N/A")*$F$14:$F$71)))</f>
        <v/>
      </c>
      <c r="Q48" s="22">
        <f>IF(O48="SI",P48,0)</f>
        <v/>
      </c>
      <c r="R48" s="21" t="n"/>
      <c r="S48" s="22">
        <f>IF(OR($E48=0,R$78=0),0,IF(AND(R48="N/A",$G48&lt;&gt;""),0,$F48+SUMPRODUCT(($G$14:$G$71=$A48)*($E$14:$E$71=1)*(R$14:R$71="N/A")*$F$14:$F$71)))</f>
        <v/>
      </c>
      <c r="T48" s="22">
        <f>IF(R48="SI",S48,0)</f>
        <v/>
      </c>
      <c r="U48" s="21" t="n"/>
      <c r="V48" s="22">
        <f>IF(OR($E48=0,U$78=0),0,IF(AND(U48="N/A",$G48&lt;&gt;""),0,$F48+SUMPRODUCT(($G$14:$G$71=$A48)*($E$14:$E$71=1)*(U$14:U$71="N/A")*$F$14:$F$71)))</f>
        <v/>
      </c>
      <c r="W48" s="22">
        <f>IF(U48="SI",V48,0)</f>
        <v/>
      </c>
      <c r="X48" s="21" t="n"/>
      <c r="Y48" s="22">
        <f>IF(OR($E48=0,X$78=0),0,IF(AND(X48="N/A",$G48&lt;&gt;""),0,$F48+SUMPRODUCT(($G$14:$G$71=$A48)*($E$14:$E$71=1)*(X$14:X$71="N/A")*$F$14:$F$71)))</f>
        <v/>
      </c>
      <c r="Z48" s="22">
        <f>IF(X48="SI",Y48,0)</f>
        <v/>
      </c>
      <c r="AA48" s="22">
        <f>SUM(J48,M48,P48,S48,V48,Y48)</f>
        <v/>
      </c>
      <c r="AB48" s="22">
        <f>SUM(K48,N48,Q48,T48,W48,Z48)</f>
        <v/>
      </c>
      <c r="AC48" s="23">
        <f>IF(AA48=0,"",AB48/AA48)</f>
        <v/>
      </c>
      <c r="AD48" s="22">
        <f>CRITERIOS!Q36</f>
        <v/>
      </c>
      <c r="AE48" s="22">
        <f>IF(AND(E48=1,H48&lt;&gt;"X",((I48="N/A")+(L48="N/A")+(O48="N/A")+(R48="N/A")+(U48="N/A")+(X48="N/A"))&gt;0),"REVISAR","")</f>
        <v/>
      </c>
    </row>
    <row r="49">
      <c r="A49" s="24">
        <f>CRITERIOS!B37</f>
        <v/>
      </c>
      <c r="B49" s="24">
        <f>CRITERIOS!C37</f>
        <v/>
      </c>
      <c r="C49" s="25">
        <f>CRITERIOS!D37</f>
        <v/>
      </c>
      <c r="D49" s="24">
        <f>CRITERIOS!E37</f>
        <v/>
      </c>
      <c r="E49" s="24">
        <f>IFERROR(IF(AND(OR(CRITERIOS!F37="Todos",CRITERIOS!F37=$B$4),INDEX(CRITERIOS!H37:J37,MATCH($B$5,VARIABLES!$E$2:$E$4,0))=1),1,0),0)</f>
        <v/>
      </c>
      <c r="F49" s="24">
        <f>IFERROR(IF(E49=1,INDEX(CRITERIOS!K37:M37,MATCH($B$5,VARIABLES!$E$2:$E$4,0)),0),0)</f>
        <v/>
      </c>
      <c r="G49" s="24">
        <f>IF(CRITERIOS!N37="","",CRITERIOS!N37)</f>
        <v/>
      </c>
      <c r="H49" s="24">
        <f>IF(CRITERIOS!O37="","",CRITERIOS!O37)</f>
        <v/>
      </c>
      <c r="I49" s="21" t="n"/>
      <c r="J49" s="22">
        <f>IF(OR($E49=0,I$78=0),0,IF(AND(I49="N/A",$G49&lt;&gt;""),0,$F49+SUMPRODUCT(($G$14:$G$71=$A49)*($E$14:$E$71=1)*(I$14:I$71="N/A")*$F$14:$F$71)))</f>
        <v/>
      </c>
      <c r="K49" s="22">
        <f>IF(I49="SI",J49,0)</f>
        <v/>
      </c>
      <c r="L49" s="21" t="n"/>
      <c r="M49" s="22">
        <f>IF(OR($E49=0,L$78=0),0,IF(AND(L49="N/A",$G49&lt;&gt;""),0,$F49+SUMPRODUCT(($G$14:$G$71=$A49)*($E$14:$E$71=1)*(L$14:L$71="N/A")*$F$14:$F$71)))</f>
        <v/>
      </c>
      <c r="N49" s="22">
        <f>IF(L49="SI",M49,0)</f>
        <v/>
      </c>
      <c r="O49" s="21" t="n"/>
      <c r="P49" s="22">
        <f>IF(OR($E49=0,O$78=0),0,IF(AND(O49="N/A",$G49&lt;&gt;""),0,$F49+SUMPRODUCT(($G$14:$G$71=$A49)*($E$14:$E$71=1)*(O$14:O$71="N/A")*$F$14:$F$71)))</f>
        <v/>
      </c>
      <c r="Q49" s="22">
        <f>IF(O49="SI",P49,0)</f>
        <v/>
      </c>
      <c r="R49" s="21" t="n"/>
      <c r="S49" s="22">
        <f>IF(OR($E49=0,R$78=0),0,IF(AND(R49="N/A",$G49&lt;&gt;""),0,$F49+SUMPRODUCT(($G$14:$G$71=$A49)*($E$14:$E$71=1)*(R$14:R$71="N/A")*$F$14:$F$71)))</f>
        <v/>
      </c>
      <c r="T49" s="22">
        <f>IF(R49="SI",S49,0)</f>
        <v/>
      </c>
      <c r="U49" s="21" t="n"/>
      <c r="V49" s="22">
        <f>IF(OR($E49=0,U$78=0),0,IF(AND(U49="N/A",$G49&lt;&gt;""),0,$F49+SUMPRODUCT(($G$14:$G$71=$A49)*($E$14:$E$71=1)*(U$14:U$71="N/A")*$F$14:$F$71)))</f>
        <v/>
      </c>
      <c r="W49" s="22">
        <f>IF(U49="SI",V49,0)</f>
        <v/>
      </c>
      <c r="X49" s="21" t="n"/>
      <c r="Y49" s="22">
        <f>IF(OR($E49=0,X$78=0),0,IF(AND(X49="N/A",$G49&lt;&gt;""),0,$F49+SUMPRODUCT(($G$14:$G$71=$A49)*($E$14:$E$71=1)*(X$14:X$71="N/A")*$F$14:$F$71)))</f>
        <v/>
      </c>
      <c r="Z49" s="22">
        <f>IF(X49="SI",Y49,0)</f>
        <v/>
      </c>
      <c r="AA49" s="22">
        <f>SUM(J49,M49,P49,S49,V49,Y49)</f>
        <v/>
      </c>
      <c r="AB49" s="22">
        <f>SUM(K49,N49,Q49,T49,W49,Z49)</f>
        <v/>
      </c>
      <c r="AC49" s="23">
        <f>IF(AA49=0,"",AB49/AA49)</f>
        <v/>
      </c>
      <c r="AD49" s="22">
        <f>CRITERIOS!Q37</f>
        <v/>
      </c>
      <c r="AE49" s="22">
        <f>IF(AND(E49=1,H49&lt;&gt;"X",((I49="N/A")+(L49="N/A")+(O49="N/A")+(R49="N/A")+(U49="N/A")+(X49="N/A"))&gt;0),"REVISAR","")</f>
        <v/>
      </c>
    </row>
    <row r="50">
      <c r="A50" s="24">
        <f>CRITERIOS!B38</f>
        <v/>
      </c>
      <c r="B50" s="24">
        <f>CRITERIOS!C38</f>
        <v/>
      </c>
      <c r="C50" s="25">
        <f>CRITERIOS!D38</f>
        <v/>
      </c>
      <c r="D50" s="24">
        <f>CRITERIOS!E38</f>
        <v/>
      </c>
      <c r="E50" s="24">
        <f>IFERROR(IF(AND(OR(CRITERIOS!F38="Todos",CRITERIOS!F38=$B$4),INDEX(CRITERIOS!H38:J38,MATCH($B$5,VARIABLES!$E$2:$E$4,0))=1),1,0),0)</f>
        <v/>
      </c>
      <c r="F50" s="24">
        <f>IFERROR(IF(E50=1,INDEX(CRITERIOS!K38:M38,MATCH($B$5,VARIABLES!$E$2:$E$4,0)),0),0)</f>
        <v/>
      </c>
      <c r="G50" s="24">
        <f>IF(CRITERIOS!N38="","",CRITERIOS!N38)</f>
        <v/>
      </c>
      <c r="H50" s="24">
        <f>IF(CRITERIOS!O38="","",CRITERIOS!O38)</f>
        <v/>
      </c>
      <c r="I50" s="21" t="n"/>
      <c r="J50" s="22">
        <f>IF(OR($E50=0,I$78=0),0,IF(AND(I50="N/A",$G50&lt;&gt;""),0,$F50+SUMPRODUCT(($G$14:$G$71=$A50)*($E$14:$E$71=1)*(I$14:I$71="N/A")*$F$14:$F$71)))</f>
        <v/>
      </c>
      <c r="K50" s="22">
        <f>IF(I50="SI",J50,0)</f>
        <v/>
      </c>
      <c r="L50" s="21" t="n"/>
      <c r="M50" s="22">
        <f>IF(OR($E50=0,L$78=0),0,IF(AND(L50="N/A",$G50&lt;&gt;""),0,$F50+SUMPRODUCT(($G$14:$G$71=$A50)*($E$14:$E$71=1)*(L$14:L$71="N/A")*$F$14:$F$71)))</f>
        <v/>
      </c>
      <c r="N50" s="22">
        <f>IF(L50="SI",M50,0)</f>
        <v/>
      </c>
      <c r="O50" s="21" t="n"/>
      <c r="P50" s="22">
        <f>IF(OR($E50=0,O$78=0),0,IF(AND(O50="N/A",$G50&lt;&gt;""),0,$F50+SUMPRODUCT(($G$14:$G$71=$A50)*($E$14:$E$71=1)*(O$14:O$71="N/A")*$F$14:$F$71)))</f>
        <v/>
      </c>
      <c r="Q50" s="22">
        <f>IF(O50="SI",P50,0)</f>
        <v/>
      </c>
      <c r="R50" s="21" t="n"/>
      <c r="S50" s="22">
        <f>IF(OR($E50=0,R$78=0),0,IF(AND(R50="N/A",$G50&lt;&gt;""),0,$F50+SUMPRODUCT(($G$14:$G$71=$A50)*($E$14:$E$71=1)*(R$14:R$71="N/A")*$F$14:$F$71)))</f>
        <v/>
      </c>
      <c r="T50" s="22">
        <f>IF(R50="SI",S50,0)</f>
        <v/>
      </c>
      <c r="U50" s="21" t="n"/>
      <c r="V50" s="22">
        <f>IF(OR($E50=0,U$78=0),0,IF(AND(U50="N/A",$G50&lt;&gt;""),0,$F50+SUMPRODUCT(($G$14:$G$71=$A50)*($E$14:$E$71=1)*(U$14:U$71="N/A")*$F$14:$F$71)))</f>
        <v/>
      </c>
      <c r="W50" s="22">
        <f>IF(U50="SI",V50,0)</f>
        <v/>
      </c>
      <c r="X50" s="21" t="n"/>
      <c r="Y50" s="22">
        <f>IF(OR($E50=0,X$78=0),0,IF(AND(X50="N/A",$G50&lt;&gt;""),0,$F50+SUMPRODUCT(($G$14:$G$71=$A50)*($E$14:$E$71=1)*(X$14:X$71="N/A")*$F$14:$F$71)))</f>
        <v/>
      </c>
      <c r="Z50" s="22">
        <f>IF(X50="SI",Y50,0)</f>
        <v/>
      </c>
      <c r="AA50" s="22">
        <f>SUM(J50,M50,P50,S50,V50,Y50)</f>
        <v/>
      </c>
      <c r="AB50" s="22">
        <f>SUM(K50,N50,Q50,T50,W50,Z50)</f>
        <v/>
      </c>
      <c r="AC50" s="23">
        <f>IF(AA50=0,"",AB50/AA50)</f>
        <v/>
      </c>
      <c r="AD50" s="22">
        <f>CRITERIOS!Q38</f>
        <v/>
      </c>
      <c r="AE50" s="22">
        <f>IF(AND(E50=1,H50&lt;&gt;"X",((I50="N/A")+(L50="N/A")+(O50="N/A")+(R50="N/A")+(U50="N/A")+(X50="N/A"))&gt;0),"REVISAR","")</f>
        <v/>
      </c>
    </row>
    <row r="51">
      <c r="A51" s="24">
        <f>CRITERIOS!B39</f>
        <v/>
      </c>
      <c r="B51" s="24">
        <f>CRITERIOS!C39</f>
        <v/>
      </c>
      <c r="C51" s="25">
        <f>CRITERIOS!D39</f>
        <v/>
      </c>
      <c r="D51" s="24">
        <f>CRITERIOS!E39</f>
        <v/>
      </c>
      <c r="E51" s="24">
        <f>IFERROR(IF(AND(OR(CRITERIOS!F39="Todos",CRITERIOS!F39=$B$4),INDEX(CRITERIOS!H39:J39,MATCH($B$5,VARIABLES!$E$2:$E$4,0))=1),1,0),0)</f>
        <v/>
      </c>
      <c r="F51" s="24">
        <f>IFERROR(IF(E51=1,INDEX(CRITERIOS!K39:M39,MATCH($B$5,VARIABLES!$E$2:$E$4,0)),0),0)</f>
        <v/>
      </c>
      <c r="G51" s="24">
        <f>IF(CRITERIOS!N39="","",CRITERIOS!N39)</f>
        <v/>
      </c>
      <c r="H51" s="24">
        <f>IF(CRITERIOS!O39="","",CRITERIOS!O39)</f>
        <v/>
      </c>
      <c r="I51" s="21" t="n"/>
      <c r="J51" s="22">
        <f>IF(OR($E51=0,I$78=0),0,IF(AND(I51="N/A",$G51&lt;&gt;""),0,$F51+SUMPRODUCT(($G$14:$G$71=$A51)*($E$14:$E$71=1)*(I$14:I$71="N/A")*$F$14:$F$71)))</f>
        <v/>
      </c>
      <c r="K51" s="22">
        <f>IF(I51="SI",J51,0)</f>
        <v/>
      </c>
      <c r="L51" s="21" t="n"/>
      <c r="M51" s="22">
        <f>IF(OR($E51=0,L$78=0),0,IF(AND(L51="N/A",$G51&lt;&gt;""),0,$F51+SUMPRODUCT(($G$14:$G$71=$A51)*($E$14:$E$71=1)*(L$14:L$71="N/A")*$F$14:$F$71)))</f>
        <v/>
      </c>
      <c r="N51" s="22">
        <f>IF(L51="SI",M51,0)</f>
        <v/>
      </c>
      <c r="O51" s="21" t="n"/>
      <c r="P51" s="22">
        <f>IF(OR($E51=0,O$78=0),0,IF(AND(O51="N/A",$G51&lt;&gt;""),0,$F51+SUMPRODUCT(($G$14:$G$71=$A51)*($E$14:$E$71=1)*(O$14:O$71="N/A")*$F$14:$F$71)))</f>
        <v/>
      </c>
      <c r="Q51" s="22">
        <f>IF(O51="SI",P51,0)</f>
        <v/>
      </c>
      <c r="R51" s="21" t="n"/>
      <c r="S51" s="22">
        <f>IF(OR($E51=0,R$78=0),0,IF(AND(R51="N/A",$G51&lt;&gt;""),0,$F51+SUMPRODUCT(($G$14:$G$71=$A51)*($E$14:$E$71=1)*(R$14:R$71="N/A")*$F$14:$F$71)))</f>
        <v/>
      </c>
      <c r="T51" s="22">
        <f>IF(R51="SI",S51,0)</f>
        <v/>
      </c>
      <c r="U51" s="21" t="n"/>
      <c r="V51" s="22">
        <f>IF(OR($E51=0,U$78=0),0,IF(AND(U51="N/A",$G51&lt;&gt;""),0,$F51+SUMPRODUCT(($G$14:$G$71=$A51)*($E$14:$E$71=1)*(U$14:U$71="N/A")*$F$14:$F$71)))</f>
        <v/>
      </c>
      <c r="W51" s="22">
        <f>IF(U51="SI",V51,0)</f>
        <v/>
      </c>
      <c r="X51" s="21" t="n"/>
      <c r="Y51" s="22">
        <f>IF(OR($E51=0,X$78=0),0,IF(AND(X51="N/A",$G51&lt;&gt;""),0,$F51+SUMPRODUCT(($G$14:$G$71=$A51)*($E$14:$E$71=1)*(X$14:X$71="N/A")*$F$14:$F$71)))</f>
        <v/>
      </c>
      <c r="Z51" s="22">
        <f>IF(X51="SI",Y51,0)</f>
        <v/>
      </c>
      <c r="AA51" s="22">
        <f>SUM(J51,M51,P51,S51,V51,Y51)</f>
        <v/>
      </c>
      <c r="AB51" s="22">
        <f>SUM(K51,N51,Q51,T51,W51,Z51)</f>
        <v/>
      </c>
      <c r="AC51" s="23">
        <f>IF(AA51=0,"",AB51/AA51)</f>
        <v/>
      </c>
      <c r="AD51" s="22">
        <f>CRITERIOS!Q39</f>
        <v/>
      </c>
      <c r="AE51" s="22">
        <f>IF(AND(E51=1,H51&lt;&gt;"X",((I51="N/A")+(L51="N/A")+(O51="N/A")+(R51="N/A")+(U51="N/A")+(X51="N/A"))&gt;0),"REVISAR","")</f>
        <v/>
      </c>
    </row>
    <row r="52">
      <c r="A52" s="24">
        <f>CRITERIOS!B40</f>
        <v/>
      </c>
      <c r="B52" s="24">
        <f>CRITERIOS!C40</f>
        <v/>
      </c>
      <c r="C52" s="25">
        <f>CRITERIOS!D40</f>
        <v/>
      </c>
      <c r="D52" s="24">
        <f>CRITERIOS!E40</f>
        <v/>
      </c>
      <c r="E52" s="24">
        <f>IFERROR(IF(AND(OR(CRITERIOS!F40="Todos",CRITERIOS!F40=$B$4),INDEX(CRITERIOS!H40:J40,MATCH($B$5,VARIABLES!$E$2:$E$4,0))=1),1,0),0)</f>
        <v/>
      </c>
      <c r="F52" s="24">
        <f>IFERROR(IF(E52=1,INDEX(CRITERIOS!K40:M40,MATCH($B$5,VARIABLES!$E$2:$E$4,0)),0),0)</f>
        <v/>
      </c>
      <c r="G52" s="24">
        <f>IF(CRITERIOS!N40="","",CRITERIOS!N40)</f>
        <v/>
      </c>
      <c r="H52" s="24">
        <f>IF(CRITERIOS!O40="","",CRITERIOS!O40)</f>
        <v/>
      </c>
      <c r="I52" s="21" t="n"/>
      <c r="J52" s="22">
        <f>IF(OR($E52=0,I$78=0),0,IF(AND(I52="N/A",$G52&lt;&gt;""),0,$F52+SUMPRODUCT(($G$14:$G$71=$A52)*($E$14:$E$71=1)*(I$14:I$71="N/A")*$F$14:$F$71)))</f>
        <v/>
      </c>
      <c r="K52" s="22">
        <f>IF(I52="SI",J52,0)</f>
        <v/>
      </c>
      <c r="L52" s="21" t="n"/>
      <c r="M52" s="22">
        <f>IF(OR($E52=0,L$78=0),0,IF(AND(L52="N/A",$G52&lt;&gt;""),0,$F52+SUMPRODUCT(($G$14:$G$71=$A52)*($E$14:$E$71=1)*(L$14:L$71="N/A")*$F$14:$F$71)))</f>
        <v/>
      </c>
      <c r="N52" s="22">
        <f>IF(L52="SI",M52,0)</f>
        <v/>
      </c>
      <c r="O52" s="21" t="n"/>
      <c r="P52" s="22">
        <f>IF(OR($E52=0,O$78=0),0,IF(AND(O52="N/A",$G52&lt;&gt;""),0,$F52+SUMPRODUCT(($G$14:$G$71=$A52)*($E$14:$E$71=1)*(O$14:O$71="N/A")*$F$14:$F$71)))</f>
        <v/>
      </c>
      <c r="Q52" s="22">
        <f>IF(O52="SI",P52,0)</f>
        <v/>
      </c>
      <c r="R52" s="21" t="n"/>
      <c r="S52" s="22">
        <f>IF(OR($E52=0,R$78=0),0,IF(AND(R52="N/A",$G52&lt;&gt;""),0,$F52+SUMPRODUCT(($G$14:$G$71=$A52)*($E$14:$E$71=1)*(R$14:R$71="N/A")*$F$14:$F$71)))</f>
        <v/>
      </c>
      <c r="T52" s="22">
        <f>IF(R52="SI",S52,0)</f>
        <v/>
      </c>
      <c r="U52" s="21" t="n"/>
      <c r="V52" s="22">
        <f>IF(OR($E52=0,U$78=0),0,IF(AND(U52="N/A",$G52&lt;&gt;""),0,$F52+SUMPRODUCT(($G$14:$G$71=$A52)*($E$14:$E$71=1)*(U$14:U$71="N/A")*$F$14:$F$71)))</f>
        <v/>
      </c>
      <c r="W52" s="22">
        <f>IF(U52="SI",V52,0)</f>
        <v/>
      </c>
      <c r="X52" s="21" t="n"/>
      <c r="Y52" s="22">
        <f>IF(OR($E52=0,X$78=0),0,IF(AND(X52="N/A",$G52&lt;&gt;""),0,$F52+SUMPRODUCT(($G$14:$G$71=$A52)*($E$14:$E$71=1)*(X$14:X$71="N/A")*$F$14:$F$71)))</f>
        <v/>
      </c>
      <c r="Z52" s="22">
        <f>IF(X52="SI",Y52,0)</f>
        <v/>
      </c>
      <c r="AA52" s="22">
        <f>SUM(J52,M52,P52,S52,V52,Y52)</f>
        <v/>
      </c>
      <c r="AB52" s="22">
        <f>SUM(K52,N52,Q52,T52,W52,Z52)</f>
        <v/>
      </c>
      <c r="AC52" s="23">
        <f>IF(AA52=0,"",AB52/AA52)</f>
        <v/>
      </c>
      <c r="AD52" s="22">
        <f>CRITERIOS!Q40</f>
        <v/>
      </c>
      <c r="AE52" s="22">
        <f>IF(AND(E52=1,H52&lt;&gt;"X",((I52="N/A")+(L52="N/A")+(O52="N/A")+(R52="N/A")+(U52="N/A")+(X52="N/A"))&gt;0),"REVISAR","")</f>
        <v/>
      </c>
    </row>
    <row r="53">
      <c r="A53" s="22">
        <f>CRITERIOS!B41</f>
        <v/>
      </c>
      <c r="B53" s="22">
        <f>CRITERIOS!C41</f>
        <v/>
      </c>
      <c r="C53" s="8">
        <f>CRITERIOS!D41</f>
        <v/>
      </c>
      <c r="D53" s="22">
        <f>CRITERIOS!E41</f>
        <v/>
      </c>
      <c r="E53" s="22">
        <f>IFERROR(IF(AND(OR(CRITERIOS!F41="Todos",CRITERIOS!F41=$B$4),INDEX(CRITERIOS!H41:J41,MATCH($B$5,VARIABLES!$E$2:$E$4,0))=1),1,0),0)</f>
        <v/>
      </c>
      <c r="F53" s="22">
        <f>IFERROR(IF(E53=1,INDEX(CRITERIOS!K41:M41,MATCH($B$5,VARIABLES!$E$2:$E$4,0)),0),0)</f>
        <v/>
      </c>
      <c r="G53" s="22">
        <f>IF(CRITERIOS!N41="","",CRITERIOS!N41)</f>
        <v/>
      </c>
      <c r="H53" s="22">
        <f>IF(CRITERIOS!O41="","",CRITERIOS!O41)</f>
        <v/>
      </c>
      <c r="I53" s="21" t="n"/>
      <c r="J53" s="22">
        <f>IF(OR($E53=0,I$78=0),0,IF(AND(I53="N/A",$G53&lt;&gt;""),0,$F53+SUMPRODUCT(($G$14:$G$71=$A53)*($E$14:$E$71=1)*(I$14:I$71="N/A")*$F$14:$F$71)))</f>
        <v/>
      </c>
      <c r="K53" s="22">
        <f>IF(I53="SI",J53,0)</f>
        <v/>
      </c>
      <c r="L53" s="21" t="n"/>
      <c r="M53" s="22">
        <f>IF(OR($E53=0,L$78=0),0,IF(AND(L53="N/A",$G53&lt;&gt;""),0,$F53+SUMPRODUCT(($G$14:$G$71=$A53)*($E$14:$E$71=1)*(L$14:L$71="N/A")*$F$14:$F$71)))</f>
        <v/>
      </c>
      <c r="N53" s="22">
        <f>IF(L53="SI",M53,0)</f>
        <v/>
      </c>
      <c r="O53" s="21" t="n"/>
      <c r="P53" s="22">
        <f>IF(OR($E53=0,O$78=0),0,IF(AND(O53="N/A",$G53&lt;&gt;""),0,$F53+SUMPRODUCT(($G$14:$G$71=$A53)*($E$14:$E$71=1)*(O$14:O$71="N/A")*$F$14:$F$71)))</f>
        <v/>
      </c>
      <c r="Q53" s="22">
        <f>IF(O53="SI",P53,0)</f>
        <v/>
      </c>
      <c r="R53" s="21" t="n"/>
      <c r="S53" s="22">
        <f>IF(OR($E53=0,R$78=0),0,IF(AND(R53="N/A",$G53&lt;&gt;""),0,$F53+SUMPRODUCT(($G$14:$G$71=$A53)*($E$14:$E$71=1)*(R$14:R$71="N/A")*$F$14:$F$71)))</f>
        <v/>
      </c>
      <c r="T53" s="22">
        <f>IF(R53="SI",S53,0)</f>
        <v/>
      </c>
      <c r="U53" s="21" t="n"/>
      <c r="V53" s="22">
        <f>IF(OR($E53=0,U$78=0),0,IF(AND(U53="N/A",$G53&lt;&gt;""),0,$F53+SUMPRODUCT(($G$14:$G$71=$A53)*($E$14:$E$71=1)*(U$14:U$71="N/A")*$F$14:$F$71)))</f>
        <v/>
      </c>
      <c r="W53" s="22">
        <f>IF(U53="SI",V53,0)</f>
        <v/>
      </c>
      <c r="X53" s="21" t="n"/>
      <c r="Y53" s="22">
        <f>IF(OR($E53=0,X$78=0),0,IF(AND(X53="N/A",$G53&lt;&gt;""),0,$F53+SUMPRODUCT(($G$14:$G$71=$A53)*($E$14:$E$71=1)*(X$14:X$71="N/A")*$F$14:$F$71)))</f>
        <v/>
      </c>
      <c r="Z53" s="22">
        <f>IF(X53="SI",Y53,0)</f>
        <v/>
      </c>
      <c r="AA53" s="22">
        <f>SUM(J53,M53,P53,S53,V53,Y53)</f>
        <v/>
      </c>
      <c r="AB53" s="22">
        <f>SUM(K53,N53,Q53,T53,W53,Z53)</f>
        <v/>
      </c>
      <c r="AC53" s="23">
        <f>IF(AA53=0,"",AB53/AA53)</f>
        <v/>
      </c>
      <c r="AD53" s="22">
        <f>CRITERIOS!Q41</f>
        <v/>
      </c>
      <c r="AE53" s="22">
        <f>IF(AND(E53=1,H53&lt;&gt;"X",((I53="N/A")+(L53="N/A")+(O53="N/A")+(R53="N/A")+(U53="N/A")+(X53="N/A"))&gt;0),"REVISAR","")</f>
        <v/>
      </c>
    </row>
    <row r="54">
      <c r="A54" s="22">
        <f>CRITERIOS!B42</f>
        <v/>
      </c>
      <c r="B54" s="22">
        <f>CRITERIOS!C42</f>
        <v/>
      </c>
      <c r="C54" s="8">
        <f>CRITERIOS!D42</f>
        <v/>
      </c>
      <c r="D54" s="22">
        <f>CRITERIOS!E42</f>
        <v/>
      </c>
      <c r="E54" s="22">
        <f>IFERROR(IF(AND(OR(CRITERIOS!F42="Todos",CRITERIOS!F42=$B$4),INDEX(CRITERIOS!H42:J42,MATCH($B$5,VARIABLES!$E$2:$E$4,0))=1),1,0),0)</f>
        <v/>
      </c>
      <c r="F54" s="22">
        <f>IFERROR(IF(E54=1,INDEX(CRITERIOS!K42:M42,MATCH($B$5,VARIABLES!$E$2:$E$4,0)),0),0)</f>
        <v/>
      </c>
      <c r="G54" s="22">
        <f>IF(CRITERIOS!N42="","",CRITERIOS!N42)</f>
        <v/>
      </c>
      <c r="H54" s="22">
        <f>IF(CRITERIOS!O42="","",CRITERIOS!O42)</f>
        <v/>
      </c>
      <c r="I54" s="21" t="n"/>
      <c r="J54" s="22">
        <f>IF(OR($E54=0,I$78=0),0,IF(AND(I54="N/A",$G54&lt;&gt;""),0,$F54+SUMPRODUCT(($G$14:$G$71=$A54)*($E$14:$E$71=1)*(I$14:I$71="N/A")*$F$14:$F$71)))</f>
        <v/>
      </c>
      <c r="K54" s="22">
        <f>IF(I54="SI",J54,0)</f>
        <v/>
      </c>
      <c r="L54" s="21" t="n"/>
      <c r="M54" s="22">
        <f>IF(OR($E54=0,L$78=0),0,IF(AND(L54="N/A",$G54&lt;&gt;""),0,$F54+SUMPRODUCT(($G$14:$G$71=$A54)*($E$14:$E$71=1)*(L$14:L$71="N/A")*$F$14:$F$71)))</f>
        <v/>
      </c>
      <c r="N54" s="22">
        <f>IF(L54="SI",M54,0)</f>
        <v/>
      </c>
      <c r="O54" s="21" t="n"/>
      <c r="P54" s="22">
        <f>IF(OR($E54=0,O$78=0),0,IF(AND(O54="N/A",$G54&lt;&gt;""),0,$F54+SUMPRODUCT(($G$14:$G$71=$A54)*($E$14:$E$71=1)*(O$14:O$71="N/A")*$F$14:$F$71)))</f>
        <v/>
      </c>
      <c r="Q54" s="22">
        <f>IF(O54="SI",P54,0)</f>
        <v/>
      </c>
      <c r="R54" s="21" t="n"/>
      <c r="S54" s="22">
        <f>IF(OR($E54=0,R$78=0),0,IF(AND(R54="N/A",$G54&lt;&gt;""),0,$F54+SUMPRODUCT(($G$14:$G$71=$A54)*($E$14:$E$71=1)*(R$14:R$71="N/A")*$F$14:$F$71)))</f>
        <v/>
      </c>
      <c r="T54" s="22">
        <f>IF(R54="SI",S54,0)</f>
        <v/>
      </c>
      <c r="U54" s="21" t="n"/>
      <c r="V54" s="22">
        <f>IF(OR($E54=0,U$78=0),0,IF(AND(U54="N/A",$G54&lt;&gt;""),0,$F54+SUMPRODUCT(($G$14:$G$71=$A54)*($E$14:$E$71=1)*(U$14:U$71="N/A")*$F$14:$F$71)))</f>
        <v/>
      </c>
      <c r="W54" s="22">
        <f>IF(U54="SI",V54,0)</f>
        <v/>
      </c>
      <c r="X54" s="21" t="n"/>
      <c r="Y54" s="22">
        <f>IF(OR($E54=0,X$78=0),0,IF(AND(X54="N/A",$G54&lt;&gt;""),0,$F54+SUMPRODUCT(($G$14:$G$71=$A54)*($E$14:$E$71=1)*(X$14:X$71="N/A")*$F$14:$F$71)))</f>
        <v/>
      </c>
      <c r="Z54" s="22">
        <f>IF(X54="SI",Y54,0)</f>
        <v/>
      </c>
      <c r="AA54" s="22">
        <f>SUM(J54,M54,P54,S54,V54,Y54)</f>
        <v/>
      </c>
      <c r="AB54" s="22">
        <f>SUM(K54,N54,Q54,T54,W54,Z54)</f>
        <v/>
      </c>
      <c r="AC54" s="23">
        <f>IF(AA54=0,"",AB54/AA54)</f>
        <v/>
      </c>
      <c r="AD54" s="22">
        <f>CRITERIOS!Q42</f>
        <v/>
      </c>
      <c r="AE54" s="22">
        <f>IF(AND(E54=1,H54&lt;&gt;"X",((I54="N/A")+(L54="N/A")+(O54="N/A")+(R54="N/A")+(U54="N/A")+(X54="N/A"))&gt;0),"REVISAR","")</f>
        <v/>
      </c>
    </row>
    <row r="55">
      <c r="A55" s="24">
        <f>CRITERIOS!B43</f>
        <v/>
      </c>
      <c r="B55" s="24">
        <f>CRITERIOS!C43</f>
        <v/>
      </c>
      <c r="C55" s="25">
        <f>CRITERIOS!D43</f>
        <v/>
      </c>
      <c r="D55" s="24">
        <f>CRITERIOS!E43</f>
        <v/>
      </c>
      <c r="E55" s="24">
        <f>IFERROR(IF(AND(OR(CRITERIOS!F43="Todos",CRITERIOS!F43=$B$4),INDEX(CRITERIOS!H43:J43,MATCH($B$5,VARIABLES!$E$2:$E$4,0))=1),1,0),0)</f>
        <v/>
      </c>
      <c r="F55" s="24">
        <f>IFERROR(IF(E55=1,INDEX(CRITERIOS!K43:M43,MATCH($B$5,VARIABLES!$E$2:$E$4,0)),0),0)</f>
        <v/>
      </c>
      <c r="G55" s="24">
        <f>IF(CRITERIOS!N43="","",CRITERIOS!N43)</f>
        <v/>
      </c>
      <c r="H55" s="24">
        <f>IF(CRITERIOS!O43="","",CRITERIOS!O43)</f>
        <v/>
      </c>
      <c r="I55" s="21" t="n"/>
      <c r="J55" s="22">
        <f>IF(OR($E55=0,I$78=0),0,IF(AND(I55="N/A",$G55&lt;&gt;""),0,$F55+SUMPRODUCT(($G$14:$G$71=$A55)*($E$14:$E$71=1)*(I$14:I$71="N/A")*$F$14:$F$71)))</f>
        <v/>
      </c>
      <c r="K55" s="22">
        <f>IF(I55="SI",J55,0)</f>
        <v/>
      </c>
      <c r="L55" s="21" t="n"/>
      <c r="M55" s="22">
        <f>IF(OR($E55=0,L$78=0),0,IF(AND(L55="N/A",$G55&lt;&gt;""),0,$F55+SUMPRODUCT(($G$14:$G$71=$A55)*($E$14:$E$71=1)*(L$14:L$71="N/A")*$F$14:$F$71)))</f>
        <v/>
      </c>
      <c r="N55" s="22">
        <f>IF(L55="SI",M55,0)</f>
        <v/>
      </c>
      <c r="O55" s="21" t="n"/>
      <c r="P55" s="22">
        <f>IF(OR($E55=0,O$78=0),0,IF(AND(O55="N/A",$G55&lt;&gt;""),0,$F55+SUMPRODUCT(($G$14:$G$71=$A55)*($E$14:$E$71=1)*(O$14:O$71="N/A")*$F$14:$F$71)))</f>
        <v/>
      </c>
      <c r="Q55" s="22">
        <f>IF(O55="SI",P55,0)</f>
        <v/>
      </c>
      <c r="R55" s="21" t="n"/>
      <c r="S55" s="22">
        <f>IF(OR($E55=0,R$78=0),0,IF(AND(R55="N/A",$G55&lt;&gt;""),0,$F55+SUMPRODUCT(($G$14:$G$71=$A55)*($E$14:$E$71=1)*(R$14:R$71="N/A")*$F$14:$F$71)))</f>
        <v/>
      </c>
      <c r="T55" s="22">
        <f>IF(R55="SI",S55,0)</f>
        <v/>
      </c>
      <c r="U55" s="21" t="n"/>
      <c r="V55" s="22">
        <f>IF(OR($E55=0,U$78=0),0,IF(AND(U55="N/A",$G55&lt;&gt;""),0,$F55+SUMPRODUCT(($G$14:$G$71=$A55)*($E$14:$E$71=1)*(U$14:U$71="N/A")*$F$14:$F$71)))</f>
        <v/>
      </c>
      <c r="W55" s="22">
        <f>IF(U55="SI",V55,0)</f>
        <v/>
      </c>
      <c r="X55" s="21" t="n"/>
      <c r="Y55" s="22">
        <f>IF(OR($E55=0,X$78=0),0,IF(AND(X55="N/A",$G55&lt;&gt;""),0,$F55+SUMPRODUCT(($G$14:$G$71=$A55)*($E$14:$E$71=1)*(X$14:X$71="N/A")*$F$14:$F$71)))</f>
        <v/>
      </c>
      <c r="Z55" s="22">
        <f>IF(X55="SI",Y55,0)</f>
        <v/>
      </c>
      <c r="AA55" s="22">
        <f>SUM(J55,M55,P55,S55,V55,Y55)</f>
        <v/>
      </c>
      <c r="AB55" s="22">
        <f>SUM(K55,N55,Q55,T55,W55,Z55)</f>
        <v/>
      </c>
      <c r="AC55" s="23">
        <f>IF(AA55=0,"",AB55/AA55)</f>
        <v/>
      </c>
      <c r="AD55" s="22">
        <f>CRITERIOS!Q43</f>
        <v/>
      </c>
      <c r="AE55" s="22">
        <f>IF(AND(E55=1,H55&lt;&gt;"X",((I55="N/A")+(L55="N/A")+(O55="N/A")+(R55="N/A")+(U55="N/A")+(X55="N/A"))&gt;0),"REVISAR","")</f>
        <v/>
      </c>
    </row>
    <row r="56">
      <c r="A56" s="24">
        <f>CRITERIOS!B44</f>
        <v/>
      </c>
      <c r="B56" s="24">
        <f>CRITERIOS!C44</f>
        <v/>
      </c>
      <c r="C56" s="25">
        <f>CRITERIOS!D44</f>
        <v/>
      </c>
      <c r="D56" s="24">
        <f>CRITERIOS!E44</f>
        <v/>
      </c>
      <c r="E56" s="24">
        <f>IFERROR(IF(AND(OR(CRITERIOS!F44="Todos",CRITERIOS!F44=$B$4),INDEX(CRITERIOS!H44:J44,MATCH($B$5,VARIABLES!$E$2:$E$4,0))=1),1,0),0)</f>
        <v/>
      </c>
      <c r="F56" s="24">
        <f>IFERROR(IF(E56=1,INDEX(CRITERIOS!K44:M44,MATCH($B$5,VARIABLES!$E$2:$E$4,0)),0),0)</f>
        <v/>
      </c>
      <c r="G56" s="24">
        <f>IF(CRITERIOS!N44="","",CRITERIOS!N44)</f>
        <v/>
      </c>
      <c r="H56" s="24">
        <f>IF(CRITERIOS!O44="","",CRITERIOS!O44)</f>
        <v/>
      </c>
      <c r="I56" s="21" t="n"/>
      <c r="J56" s="22">
        <f>IF(OR($E56=0,I$78=0),0,IF(AND(I56="N/A",$G56&lt;&gt;""),0,$F56+SUMPRODUCT(($G$14:$G$71=$A56)*($E$14:$E$71=1)*(I$14:I$71="N/A")*$F$14:$F$71)))</f>
        <v/>
      </c>
      <c r="K56" s="22">
        <f>IF(I56="SI",J56,0)</f>
        <v/>
      </c>
      <c r="L56" s="21" t="n"/>
      <c r="M56" s="22">
        <f>IF(OR($E56=0,L$78=0),0,IF(AND(L56="N/A",$G56&lt;&gt;""),0,$F56+SUMPRODUCT(($G$14:$G$71=$A56)*($E$14:$E$71=1)*(L$14:L$71="N/A")*$F$14:$F$71)))</f>
        <v/>
      </c>
      <c r="N56" s="22">
        <f>IF(L56="SI",M56,0)</f>
        <v/>
      </c>
      <c r="O56" s="21" t="n"/>
      <c r="P56" s="22">
        <f>IF(OR($E56=0,O$78=0),0,IF(AND(O56="N/A",$G56&lt;&gt;""),0,$F56+SUMPRODUCT(($G$14:$G$71=$A56)*($E$14:$E$71=1)*(O$14:O$71="N/A")*$F$14:$F$71)))</f>
        <v/>
      </c>
      <c r="Q56" s="22">
        <f>IF(O56="SI",P56,0)</f>
        <v/>
      </c>
      <c r="R56" s="21" t="n"/>
      <c r="S56" s="22">
        <f>IF(OR($E56=0,R$78=0),0,IF(AND(R56="N/A",$G56&lt;&gt;""),0,$F56+SUMPRODUCT(($G$14:$G$71=$A56)*($E$14:$E$71=1)*(R$14:R$71="N/A")*$F$14:$F$71)))</f>
        <v/>
      </c>
      <c r="T56" s="22">
        <f>IF(R56="SI",S56,0)</f>
        <v/>
      </c>
      <c r="U56" s="21" t="n"/>
      <c r="V56" s="22">
        <f>IF(OR($E56=0,U$78=0),0,IF(AND(U56="N/A",$G56&lt;&gt;""),0,$F56+SUMPRODUCT(($G$14:$G$71=$A56)*($E$14:$E$71=1)*(U$14:U$71="N/A")*$F$14:$F$71)))</f>
        <v/>
      </c>
      <c r="W56" s="22">
        <f>IF(U56="SI",V56,0)</f>
        <v/>
      </c>
      <c r="X56" s="21" t="n"/>
      <c r="Y56" s="22">
        <f>IF(OR($E56=0,X$78=0),0,IF(AND(X56="N/A",$G56&lt;&gt;""),0,$F56+SUMPRODUCT(($G$14:$G$71=$A56)*($E$14:$E$71=1)*(X$14:X$71="N/A")*$F$14:$F$71)))</f>
        <v/>
      </c>
      <c r="Z56" s="22">
        <f>IF(X56="SI",Y56,0)</f>
        <v/>
      </c>
      <c r="AA56" s="22">
        <f>SUM(J56,M56,P56,S56,V56,Y56)</f>
        <v/>
      </c>
      <c r="AB56" s="22">
        <f>SUM(K56,N56,Q56,T56,W56,Z56)</f>
        <v/>
      </c>
      <c r="AC56" s="23">
        <f>IF(AA56=0,"",AB56/AA56)</f>
        <v/>
      </c>
      <c r="AD56" s="22">
        <f>CRITERIOS!Q44</f>
        <v/>
      </c>
      <c r="AE56" s="22">
        <f>IF(AND(E56=1,H56&lt;&gt;"X",((I56="N/A")+(L56="N/A")+(O56="N/A")+(R56="N/A")+(U56="N/A")+(X56="N/A"))&gt;0),"REVISAR","")</f>
        <v/>
      </c>
    </row>
    <row r="57">
      <c r="A57" s="24">
        <f>CRITERIOS!B45</f>
        <v/>
      </c>
      <c r="B57" s="24">
        <f>CRITERIOS!C45</f>
        <v/>
      </c>
      <c r="C57" s="25">
        <f>CRITERIOS!D45</f>
        <v/>
      </c>
      <c r="D57" s="24">
        <f>CRITERIOS!E45</f>
        <v/>
      </c>
      <c r="E57" s="24">
        <f>IFERROR(IF(AND(OR(CRITERIOS!F45="Todos",CRITERIOS!F45=$B$4),INDEX(CRITERIOS!H45:J45,MATCH($B$5,VARIABLES!$E$2:$E$4,0))=1),1,0),0)</f>
        <v/>
      </c>
      <c r="F57" s="24">
        <f>IFERROR(IF(E57=1,INDEX(CRITERIOS!K45:M45,MATCH($B$5,VARIABLES!$E$2:$E$4,0)),0),0)</f>
        <v/>
      </c>
      <c r="G57" s="24">
        <f>IF(CRITERIOS!N45="","",CRITERIOS!N45)</f>
        <v/>
      </c>
      <c r="H57" s="24">
        <f>IF(CRITERIOS!O45="","",CRITERIOS!O45)</f>
        <v/>
      </c>
      <c r="I57" s="21" t="n"/>
      <c r="J57" s="22">
        <f>IF(OR($E57=0,I$78=0),0,IF(AND(I57="N/A",$G57&lt;&gt;""),0,$F57+SUMPRODUCT(($G$14:$G$71=$A57)*($E$14:$E$71=1)*(I$14:I$71="N/A")*$F$14:$F$71)))</f>
        <v/>
      </c>
      <c r="K57" s="22">
        <f>IF(I57="SI",J57,0)</f>
        <v/>
      </c>
      <c r="L57" s="21" t="n"/>
      <c r="M57" s="22">
        <f>IF(OR($E57=0,L$78=0),0,IF(AND(L57="N/A",$G57&lt;&gt;""),0,$F57+SUMPRODUCT(($G$14:$G$71=$A57)*($E$14:$E$71=1)*(L$14:L$71="N/A")*$F$14:$F$71)))</f>
        <v/>
      </c>
      <c r="N57" s="22">
        <f>IF(L57="SI",M57,0)</f>
        <v/>
      </c>
      <c r="O57" s="21" t="n"/>
      <c r="P57" s="22">
        <f>IF(OR($E57=0,O$78=0),0,IF(AND(O57="N/A",$G57&lt;&gt;""),0,$F57+SUMPRODUCT(($G$14:$G$71=$A57)*($E$14:$E$71=1)*(O$14:O$71="N/A")*$F$14:$F$71)))</f>
        <v/>
      </c>
      <c r="Q57" s="22">
        <f>IF(O57="SI",P57,0)</f>
        <v/>
      </c>
      <c r="R57" s="21" t="n"/>
      <c r="S57" s="22">
        <f>IF(OR($E57=0,R$78=0),0,IF(AND(R57="N/A",$G57&lt;&gt;""),0,$F57+SUMPRODUCT(($G$14:$G$71=$A57)*($E$14:$E$71=1)*(R$14:R$71="N/A")*$F$14:$F$71)))</f>
        <v/>
      </c>
      <c r="T57" s="22">
        <f>IF(R57="SI",S57,0)</f>
        <v/>
      </c>
      <c r="U57" s="21" t="n"/>
      <c r="V57" s="22">
        <f>IF(OR($E57=0,U$78=0),0,IF(AND(U57="N/A",$G57&lt;&gt;""),0,$F57+SUMPRODUCT(($G$14:$G$71=$A57)*($E$14:$E$71=1)*(U$14:U$71="N/A")*$F$14:$F$71)))</f>
        <v/>
      </c>
      <c r="W57" s="22">
        <f>IF(U57="SI",V57,0)</f>
        <v/>
      </c>
      <c r="X57" s="21" t="n"/>
      <c r="Y57" s="22">
        <f>IF(OR($E57=0,X$78=0),0,IF(AND(X57="N/A",$G57&lt;&gt;""),0,$F57+SUMPRODUCT(($G$14:$G$71=$A57)*($E$14:$E$71=1)*(X$14:X$71="N/A")*$F$14:$F$71)))</f>
        <v/>
      </c>
      <c r="Z57" s="22">
        <f>IF(X57="SI",Y57,0)</f>
        <v/>
      </c>
      <c r="AA57" s="22">
        <f>SUM(J57,M57,P57,S57,V57,Y57)</f>
        <v/>
      </c>
      <c r="AB57" s="22">
        <f>SUM(K57,N57,Q57,T57,W57,Z57)</f>
        <v/>
      </c>
      <c r="AC57" s="23">
        <f>IF(AA57=0,"",AB57/AA57)</f>
        <v/>
      </c>
      <c r="AD57" s="22">
        <f>CRITERIOS!Q45</f>
        <v/>
      </c>
      <c r="AE57" s="22">
        <f>IF(AND(E57=1,H57&lt;&gt;"X",((I57="N/A")+(L57="N/A")+(O57="N/A")+(R57="N/A")+(U57="N/A")+(X57="N/A"))&gt;0),"REVISAR","")</f>
        <v/>
      </c>
    </row>
    <row r="58">
      <c r="A58" s="24">
        <f>CRITERIOS!B46</f>
        <v/>
      </c>
      <c r="B58" s="24">
        <f>CRITERIOS!C46</f>
        <v/>
      </c>
      <c r="C58" s="25">
        <f>CRITERIOS!D46</f>
        <v/>
      </c>
      <c r="D58" s="24">
        <f>CRITERIOS!E46</f>
        <v/>
      </c>
      <c r="E58" s="24">
        <f>IFERROR(IF(AND(OR(CRITERIOS!F46="Todos",CRITERIOS!F46=$B$4),INDEX(CRITERIOS!H46:J46,MATCH($B$5,VARIABLES!$E$2:$E$4,0))=1),1,0),0)</f>
        <v/>
      </c>
      <c r="F58" s="24">
        <f>IFERROR(IF(E58=1,INDEX(CRITERIOS!K46:M46,MATCH($B$5,VARIABLES!$E$2:$E$4,0)),0),0)</f>
        <v/>
      </c>
      <c r="G58" s="24">
        <f>IF(CRITERIOS!N46="","",CRITERIOS!N46)</f>
        <v/>
      </c>
      <c r="H58" s="24">
        <f>IF(CRITERIOS!O46="","",CRITERIOS!O46)</f>
        <v/>
      </c>
      <c r="I58" s="21" t="n"/>
      <c r="J58" s="22">
        <f>IF(OR($E58=0,I$78=0),0,IF(AND(I58="N/A",$G58&lt;&gt;""),0,$F58+SUMPRODUCT(($G$14:$G$71=$A58)*($E$14:$E$71=1)*(I$14:I$71="N/A")*$F$14:$F$71)))</f>
        <v/>
      </c>
      <c r="K58" s="22">
        <f>IF(I58="SI",J58,0)</f>
        <v/>
      </c>
      <c r="L58" s="21" t="n"/>
      <c r="M58" s="22">
        <f>IF(OR($E58=0,L$78=0),0,IF(AND(L58="N/A",$G58&lt;&gt;""),0,$F58+SUMPRODUCT(($G$14:$G$71=$A58)*($E$14:$E$71=1)*(L$14:L$71="N/A")*$F$14:$F$71)))</f>
        <v/>
      </c>
      <c r="N58" s="22">
        <f>IF(L58="SI",M58,0)</f>
        <v/>
      </c>
      <c r="O58" s="21" t="n"/>
      <c r="P58" s="22">
        <f>IF(OR($E58=0,O$78=0),0,IF(AND(O58="N/A",$G58&lt;&gt;""),0,$F58+SUMPRODUCT(($G$14:$G$71=$A58)*($E$14:$E$71=1)*(O$14:O$71="N/A")*$F$14:$F$71)))</f>
        <v/>
      </c>
      <c r="Q58" s="22">
        <f>IF(O58="SI",P58,0)</f>
        <v/>
      </c>
      <c r="R58" s="21" t="n"/>
      <c r="S58" s="22">
        <f>IF(OR($E58=0,R$78=0),0,IF(AND(R58="N/A",$G58&lt;&gt;""),0,$F58+SUMPRODUCT(($G$14:$G$71=$A58)*($E$14:$E$71=1)*(R$14:R$71="N/A")*$F$14:$F$71)))</f>
        <v/>
      </c>
      <c r="T58" s="22">
        <f>IF(R58="SI",S58,0)</f>
        <v/>
      </c>
      <c r="U58" s="21" t="n"/>
      <c r="V58" s="22">
        <f>IF(OR($E58=0,U$78=0),0,IF(AND(U58="N/A",$G58&lt;&gt;""),0,$F58+SUMPRODUCT(($G$14:$G$71=$A58)*($E$14:$E$71=1)*(U$14:U$71="N/A")*$F$14:$F$71)))</f>
        <v/>
      </c>
      <c r="W58" s="22">
        <f>IF(U58="SI",V58,0)</f>
        <v/>
      </c>
      <c r="X58" s="21" t="n"/>
      <c r="Y58" s="22">
        <f>IF(OR($E58=0,X$78=0),0,IF(AND(X58="N/A",$G58&lt;&gt;""),0,$F58+SUMPRODUCT(($G$14:$G$71=$A58)*($E$14:$E$71=1)*(X$14:X$71="N/A")*$F$14:$F$71)))</f>
        <v/>
      </c>
      <c r="Z58" s="22">
        <f>IF(X58="SI",Y58,0)</f>
        <v/>
      </c>
      <c r="AA58" s="22">
        <f>SUM(J58,M58,P58,S58,V58,Y58)</f>
        <v/>
      </c>
      <c r="AB58" s="22">
        <f>SUM(K58,N58,Q58,T58,W58,Z58)</f>
        <v/>
      </c>
      <c r="AC58" s="23">
        <f>IF(AA58=0,"",AB58/AA58)</f>
        <v/>
      </c>
      <c r="AD58" s="22">
        <f>CRITERIOS!Q46</f>
        <v/>
      </c>
      <c r="AE58" s="22">
        <f>IF(AND(E58=1,H58&lt;&gt;"X",((I58="N/A")+(L58="N/A")+(O58="N/A")+(R58="N/A")+(U58="N/A")+(X58="N/A"))&gt;0),"REVISAR","")</f>
        <v/>
      </c>
    </row>
    <row r="59">
      <c r="A59" s="24">
        <f>CRITERIOS!B47</f>
        <v/>
      </c>
      <c r="B59" s="24">
        <f>CRITERIOS!C47</f>
        <v/>
      </c>
      <c r="C59" s="25">
        <f>CRITERIOS!D47</f>
        <v/>
      </c>
      <c r="D59" s="24">
        <f>CRITERIOS!E47</f>
        <v/>
      </c>
      <c r="E59" s="24">
        <f>IFERROR(IF(AND(OR(CRITERIOS!F47="Todos",CRITERIOS!F47=$B$4),INDEX(CRITERIOS!H47:J47,MATCH($B$5,VARIABLES!$E$2:$E$4,0))=1),1,0),0)</f>
        <v/>
      </c>
      <c r="F59" s="24">
        <f>IFERROR(IF(E59=1,INDEX(CRITERIOS!K47:M47,MATCH($B$5,VARIABLES!$E$2:$E$4,0)),0),0)</f>
        <v/>
      </c>
      <c r="G59" s="24">
        <f>IF(CRITERIOS!N47="","",CRITERIOS!N47)</f>
        <v/>
      </c>
      <c r="H59" s="24">
        <f>IF(CRITERIOS!O47="","",CRITERIOS!O47)</f>
        <v/>
      </c>
      <c r="I59" s="21" t="n"/>
      <c r="J59" s="22">
        <f>IF(OR($E59=0,I$78=0),0,IF(AND(I59="N/A",$G59&lt;&gt;""),0,$F59+SUMPRODUCT(($G$14:$G$71=$A59)*($E$14:$E$71=1)*(I$14:I$71="N/A")*$F$14:$F$71)))</f>
        <v/>
      </c>
      <c r="K59" s="22">
        <f>IF(I59="SI",J59,0)</f>
        <v/>
      </c>
      <c r="L59" s="21" t="n"/>
      <c r="M59" s="22">
        <f>IF(OR($E59=0,L$78=0),0,IF(AND(L59="N/A",$G59&lt;&gt;""),0,$F59+SUMPRODUCT(($G$14:$G$71=$A59)*($E$14:$E$71=1)*(L$14:L$71="N/A")*$F$14:$F$71)))</f>
        <v/>
      </c>
      <c r="N59" s="22">
        <f>IF(L59="SI",M59,0)</f>
        <v/>
      </c>
      <c r="O59" s="21" t="n"/>
      <c r="P59" s="22">
        <f>IF(OR($E59=0,O$78=0),0,IF(AND(O59="N/A",$G59&lt;&gt;""),0,$F59+SUMPRODUCT(($G$14:$G$71=$A59)*($E$14:$E$71=1)*(O$14:O$71="N/A")*$F$14:$F$71)))</f>
        <v/>
      </c>
      <c r="Q59" s="22">
        <f>IF(O59="SI",P59,0)</f>
        <v/>
      </c>
      <c r="R59" s="21" t="n"/>
      <c r="S59" s="22">
        <f>IF(OR($E59=0,R$78=0),0,IF(AND(R59="N/A",$G59&lt;&gt;""),0,$F59+SUMPRODUCT(($G$14:$G$71=$A59)*($E$14:$E$71=1)*(R$14:R$71="N/A")*$F$14:$F$71)))</f>
        <v/>
      </c>
      <c r="T59" s="22">
        <f>IF(R59="SI",S59,0)</f>
        <v/>
      </c>
      <c r="U59" s="21" t="n"/>
      <c r="V59" s="22">
        <f>IF(OR($E59=0,U$78=0),0,IF(AND(U59="N/A",$G59&lt;&gt;""),0,$F59+SUMPRODUCT(($G$14:$G$71=$A59)*($E$14:$E$71=1)*(U$14:U$71="N/A")*$F$14:$F$71)))</f>
        <v/>
      </c>
      <c r="W59" s="22">
        <f>IF(U59="SI",V59,0)</f>
        <v/>
      </c>
      <c r="X59" s="21" t="n"/>
      <c r="Y59" s="22">
        <f>IF(OR($E59=0,X$78=0),0,IF(AND(X59="N/A",$G59&lt;&gt;""),0,$F59+SUMPRODUCT(($G$14:$G$71=$A59)*($E$14:$E$71=1)*(X$14:X$71="N/A")*$F$14:$F$71)))</f>
        <v/>
      </c>
      <c r="Z59" s="22">
        <f>IF(X59="SI",Y59,0)</f>
        <v/>
      </c>
      <c r="AA59" s="22">
        <f>SUM(J59,M59,P59,S59,V59,Y59)</f>
        <v/>
      </c>
      <c r="AB59" s="22">
        <f>SUM(K59,N59,Q59,T59,W59,Z59)</f>
        <v/>
      </c>
      <c r="AC59" s="23">
        <f>IF(AA59=0,"",AB59/AA59)</f>
        <v/>
      </c>
      <c r="AD59" s="22">
        <f>CRITERIOS!Q47</f>
        <v/>
      </c>
      <c r="AE59" s="22">
        <f>IF(AND(E59=1,H59&lt;&gt;"X",((I59="N/A")+(L59="N/A")+(O59="N/A")+(R59="N/A")+(U59="N/A")+(X59="N/A"))&gt;0),"REVISAR","")</f>
        <v/>
      </c>
    </row>
    <row r="60">
      <c r="A60" s="24">
        <f>CRITERIOS!B48</f>
        <v/>
      </c>
      <c r="B60" s="24">
        <f>CRITERIOS!C48</f>
        <v/>
      </c>
      <c r="C60" s="25">
        <f>CRITERIOS!D48</f>
        <v/>
      </c>
      <c r="D60" s="24">
        <f>CRITERIOS!E48</f>
        <v/>
      </c>
      <c r="E60" s="24">
        <f>IFERROR(IF(AND(OR(CRITERIOS!F48="Todos",CRITERIOS!F48=$B$4),INDEX(CRITERIOS!H48:J48,MATCH($B$5,VARIABLES!$E$2:$E$4,0))=1),1,0),0)</f>
        <v/>
      </c>
      <c r="F60" s="24">
        <f>IFERROR(IF(E60=1,INDEX(CRITERIOS!K48:M48,MATCH($B$5,VARIABLES!$E$2:$E$4,0)),0),0)</f>
        <v/>
      </c>
      <c r="G60" s="24">
        <f>IF(CRITERIOS!N48="","",CRITERIOS!N48)</f>
        <v/>
      </c>
      <c r="H60" s="24">
        <f>IF(CRITERIOS!O48="","",CRITERIOS!O48)</f>
        <v/>
      </c>
      <c r="I60" s="21" t="n"/>
      <c r="J60" s="22">
        <f>IF(OR($E60=0,I$78=0),0,IF(AND(I60="N/A",$G60&lt;&gt;""),0,$F60+SUMPRODUCT(($G$14:$G$71=$A60)*($E$14:$E$71=1)*(I$14:I$71="N/A")*$F$14:$F$71)))</f>
        <v/>
      </c>
      <c r="K60" s="22">
        <f>IF(I60="SI",J60,0)</f>
        <v/>
      </c>
      <c r="L60" s="21" t="n"/>
      <c r="M60" s="22">
        <f>IF(OR($E60=0,L$78=0),0,IF(AND(L60="N/A",$G60&lt;&gt;""),0,$F60+SUMPRODUCT(($G$14:$G$71=$A60)*($E$14:$E$71=1)*(L$14:L$71="N/A")*$F$14:$F$71)))</f>
        <v/>
      </c>
      <c r="N60" s="22">
        <f>IF(L60="SI",M60,0)</f>
        <v/>
      </c>
      <c r="O60" s="21" t="n"/>
      <c r="P60" s="22">
        <f>IF(OR($E60=0,O$78=0),0,IF(AND(O60="N/A",$G60&lt;&gt;""),0,$F60+SUMPRODUCT(($G$14:$G$71=$A60)*($E$14:$E$71=1)*(O$14:O$71="N/A")*$F$14:$F$71)))</f>
        <v/>
      </c>
      <c r="Q60" s="22">
        <f>IF(O60="SI",P60,0)</f>
        <v/>
      </c>
      <c r="R60" s="21" t="n"/>
      <c r="S60" s="22">
        <f>IF(OR($E60=0,R$78=0),0,IF(AND(R60="N/A",$G60&lt;&gt;""),0,$F60+SUMPRODUCT(($G$14:$G$71=$A60)*($E$14:$E$71=1)*(R$14:R$71="N/A")*$F$14:$F$71)))</f>
        <v/>
      </c>
      <c r="T60" s="22">
        <f>IF(R60="SI",S60,0)</f>
        <v/>
      </c>
      <c r="U60" s="21" t="n"/>
      <c r="V60" s="22">
        <f>IF(OR($E60=0,U$78=0),0,IF(AND(U60="N/A",$G60&lt;&gt;""),0,$F60+SUMPRODUCT(($G$14:$G$71=$A60)*($E$14:$E$71=1)*(U$14:U$71="N/A")*$F$14:$F$71)))</f>
        <v/>
      </c>
      <c r="W60" s="22">
        <f>IF(U60="SI",V60,0)</f>
        <v/>
      </c>
      <c r="X60" s="21" t="n"/>
      <c r="Y60" s="22">
        <f>IF(OR($E60=0,X$78=0),0,IF(AND(X60="N/A",$G60&lt;&gt;""),0,$F60+SUMPRODUCT(($G$14:$G$71=$A60)*($E$14:$E$71=1)*(X$14:X$71="N/A")*$F$14:$F$71)))</f>
        <v/>
      </c>
      <c r="Z60" s="22">
        <f>IF(X60="SI",Y60,0)</f>
        <v/>
      </c>
      <c r="AA60" s="22">
        <f>SUM(J60,M60,P60,S60,V60,Y60)</f>
        <v/>
      </c>
      <c r="AB60" s="22">
        <f>SUM(K60,N60,Q60,T60,W60,Z60)</f>
        <v/>
      </c>
      <c r="AC60" s="23">
        <f>IF(AA60=0,"",AB60/AA60)</f>
        <v/>
      </c>
      <c r="AD60" s="22">
        <f>CRITERIOS!Q48</f>
        <v/>
      </c>
      <c r="AE60" s="22">
        <f>IF(AND(E60=1,H60&lt;&gt;"X",((I60="N/A")+(L60="N/A")+(O60="N/A")+(R60="N/A")+(U60="N/A")+(X60="N/A"))&gt;0),"REVISAR","")</f>
        <v/>
      </c>
    </row>
    <row r="61">
      <c r="A61" s="22">
        <f>CRITERIOS!B49</f>
        <v/>
      </c>
      <c r="B61" s="22">
        <f>CRITERIOS!C49</f>
        <v/>
      </c>
      <c r="C61" s="8">
        <f>CRITERIOS!D49</f>
        <v/>
      </c>
      <c r="D61" s="22">
        <f>CRITERIOS!E49</f>
        <v/>
      </c>
      <c r="E61" s="22">
        <f>IFERROR(IF(AND(OR(CRITERIOS!F49="Todos",CRITERIOS!F49=$B$4),INDEX(CRITERIOS!H49:J49,MATCH($B$5,VARIABLES!$E$2:$E$4,0))=1),1,0),0)</f>
        <v/>
      </c>
      <c r="F61" s="22">
        <f>IFERROR(IF(E61=1,INDEX(CRITERIOS!K49:M49,MATCH($B$5,VARIABLES!$E$2:$E$4,0)),0),0)</f>
        <v/>
      </c>
      <c r="G61" s="22">
        <f>IF(CRITERIOS!N49="","",CRITERIOS!N49)</f>
        <v/>
      </c>
      <c r="H61" s="22">
        <f>IF(CRITERIOS!O49="","",CRITERIOS!O49)</f>
        <v/>
      </c>
      <c r="I61" s="21" t="n"/>
      <c r="J61" s="22">
        <f>IF(OR($E61=0,I$78=0),0,IF(AND(I61="N/A",$G61&lt;&gt;""),0,$F61+SUMPRODUCT(($G$14:$G$71=$A61)*($E$14:$E$71=1)*(I$14:I$71="N/A")*$F$14:$F$71)))</f>
        <v/>
      </c>
      <c r="K61" s="22">
        <f>IF(I61="SI",J61,0)</f>
        <v/>
      </c>
      <c r="L61" s="21" t="n"/>
      <c r="M61" s="22">
        <f>IF(OR($E61=0,L$78=0),0,IF(AND(L61="N/A",$G61&lt;&gt;""),0,$F61+SUMPRODUCT(($G$14:$G$71=$A61)*($E$14:$E$71=1)*(L$14:L$71="N/A")*$F$14:$F$71)))</f>
        <v/>
      </c>
      <c r="N61" s="22">
        <f>IF(L61="SI",M61,0)</f>
        <v/>
      </c>
      <c r="O61" s="21" t="n"/>
      <c r="P61" s="22">
        <f>IF(OR($E61=0,O$78=0),0,IF(AND(O61="N/A",$G61&lt;&gt;""),0,$F61+SUMPRODUCT(($G$14:$G$71=$A61)*($E$14:$E$71=1)*(O$14:O$71="N/A")*$F$14:$F$71)))</f>
        <v/>
      </c>
      <c r="Q61" s="22">
        <f>IF(O61="SI",P61,0)</f>
        <v/>
      </c>
      <c r="R61" s="21" t="n"/>
      <c r="S61" s="22">
        <f>IF(OR($E61=0,R$78=0),0,IF(AND(R61="N/A",$G61&lt;&gt;""),0,$F61+SUMPRODUCT(($G$14:$G$71=$A61)*($E$14:$E$71=1)*(R$14:R$71="N/A")*$F$14:$F$71)))</f>
        <v/>
      </c>
      <c r="T61" s="22">
        <f>IF(R61="SI",S61,0)</f>
        <v/>
      </c>
      <c r="U61" s="21" t="n"/>
      <c r="V61" s="22">
        <f>IF(OR($E61=0,U$78=0),0,IF(AND(U61="N/A",$G61&lt;&gt;""),0,$F61+SUMPRODUCT(($G$14:$G$71=$A61)*($E$14:$E$71=1)*(U$14:U$71="N/A")*$F$14:$F$71)))</f>
        <v/>
      </c>
      <c r="W61" s="22">
        <f>IF(U61="SI",V61,0)</f>
        <v/>
      </c>
      <c r="X61" s="21" t="n"/>
      <c r="Y61" s="22">
        <f>IF(OR($E61=0,X$78=0),0,IF(AND(X61="N/A",$G61&lt;&gt;""),0,$F61+SUMPRODUCT(($G$14:$G$71=$A61)*($E$14:$E$71=1)*(X$14:X$71="N/A")*$F$14:$F$71)))</f>
        <v/>
      </c>
      <c r="Z61" s="22">
        <f>IF(X61="SI",Y61,0)</f>
        <v/>
      </c>
      <c r="AA61" s="22">
        <f>SUM(J61,M61,P61,S61,V61,Y61)</f>
        <v/>
      </c>
      <c r="AB61" s="22">
        <f>SUM(K61,N61,Q61,T61,W61,Z61)</f>
        <v/>
      </c>
      <c r="AC61" s="23">
        <f>IF(AA61=0,"",AB61/AA61)</f>
        <v/>
      </c>
      <c r="AD61" s="22">
        <f>CRITERIOS!Q49</f>
        <v/>
      </c>
      <c r="AE61" s="22">
        <f>IF(AND(E61=1,H61&lt;&gt;"X",((I61="N/A")+(L61="N/A")+(O61="N/A")+(R61="N/A")+(U61="N/A")+(X61="N/A"))&gt;0),"REVISAR","")</f>
        <v/>
      </c>
    </row>
    <row r="62">
      <c r="A62" s="24">
        <f>CRITERIOS!B50</f>
        <v/>
      </c>
      <c r="B62" s="24">
        <f>CRITERIOS!C50</f>
        <v/>
      </c>
      <c r="C62" s="25">
        <f>CRITERIOS!D50</f>
        <v/>
      </c>
      <c r="D62" s="24">
        <f>CRITERIOS!E50</f>
        <v/>
      </c>
      <c r="E62" s="24">
        <f>IFERROR(IF(AND(OR(CRITERIOS!F50="Todos",CRITERIOS!F50=$B$4),INDEX(CRITERIOS!H50:J50,MATCH($B$5,VARIABLES!$E$2:$E$4,0))=1),1,0),0)</f>
        <v/>
      </c>
      <c r="F62" s="24">
        <f>IFERROR(IF(E62=1,INDEX(CRITERIOS!K50:M50,MATCH($B$5,VARIABLES!$E$2:$E$4,0)),0),0)</f>
        <v/>
      </c>
      <c r="G62" s="24">
        <f>IF(CRITERIOS!N50="","",CRITERIOS!N50)</f>
        <v/>
      </c>
      <c r="H62" s="24">
        <f>IF(CRITERIOS!O50="","",CRITERIOS!O50)</f>
        <v/>
      </c>
      <c r="I62" s="21" t="n"/>
      <c r="J62" s="22">
        <f>IF(OR($E62=0,I$78=0),0,IF(AND(I62="N/A",$G62&lt;&gt;""),0,$F62+SUMPRODUCT(($G$14:$G$71=$A62)*($E$14:$E$71=1)*(I$14:I$71="N/A")*$F$14:$F$71)))</f>
        <v/>
      </c>
      <c r="K62" s="22">
        <f>IF(I62="SI",J62,0)</f>
        <v/>
      </c>
      <c r="L62" s="21" t="n"/>
      <c r="M62" s="22">
        <f>IF(OR($E62=0,L$78=0),0,IF(AND(L62="N/A",$G62&lt;&gt;""),0,$F62+SUMPRODUCT(($G$14:$G$71=$A62)*($E$14:$E$71=1)*(L$14:L$71="N/A")*$F$14:$F$71)))</f>
        <v/>
      </c>
      <c r="N62" s="22">
        <f>IF(L62="SI",M62,0)</f>
        <v/>
      </c>
      <c r="O62" s="21" t="n"/>
      <c r="P62" s="22">
        <f>IF(OR($E62=0,O$78=0),0,IF(AND(O62="N/A",$G62&lt;&gt;""),0,$F62+SUMPRODUCT(($G$14:$G$71=$A62)*($E$14:$E$71=1)*(O$14:O$71="N/A")*$F$14:$F$71)))</f>
        <v/>
      </c>
      <c r="Q62" s="22">
        <f>IF(O62="SI",P62,0)</f>
        <v/>
      </c>
      <c r="R62" s="21" t="n"/>
      <c r="S62" s="22">
        <f>IF(OR($E62=0,R$78=0),0,IF(AND(R62="N/A",$G62&lt;&gt;""),0,$F62+SUMPRODUCT(($G$14:$G$71=$A62)*($E$14:$E$71=1)*(R$14:R$71="N/A")*$F$14:$F$71)))</f>
        <v/>
      </c>
      <c r="T62" s="22">
        <f>IF(R62="SI",S62,0)</f>
        <v/>
      </c>
      <c r="U62" s="21" t="n"/>
      <c r="V62" s="22">
        <f>IF(OR($E62=0,U$78=0),0,IF(AND(U62="N/A",$G62&lt;&gt;""),0,$F62+SUMPRODUCT(($G$14:$G$71=$A62)*($E$14:$E$71=1)*(U$14:U$71="N/A")*$F$14:$F$71)))</f>
        <v/>
      </c>
      <c r="W62" s="22">
        <f>IF(U62="SI",V62,0)</f>
        <v/>
      </c>
      <c r="X62" s="21" t="n"/>
      <c r="Y62" s="22">
        <f>IF(OR($E62=0,X$78=0),0,IF(AND(X62="N/A",$G62&lt;&gt;""),0,$F62+SUMPRODUCT(($G$14:$G$71=$A62)*($E$14:$E$71=1)*(X$14:X$71="N/A")*$F$14:$F$71)))</f>
        <v/>
      </c>
      <c r="Z62" s="22">
        <f>IF(X62="SI",Y62,0)</f>
        <v/>
      </c>
      <c r="AA62" s="22">
        <f>SUM(J62,M62,P62,S62,V62,Y62)</f>
        <v/>
      </c>
      <c r="AB62" s="22">
        <f>SUM(K62,N62,Q62,T62,W62,Z62)</f>
        <v/>
      </c>
      <c r="AC62" s="23">
        <f>IF(AA62=0,"",AB62/AA62)</f>
        <v/>
      </c>
      <c r="AD62" s="22">
        <f>CRITERIOS!Q50</f>
        <v/>
      </c>
      <c r="AE62" s="22">
        <f>IF(AND(E62=1,H62&lt;&gt;"X",((I62="N/A")+(L62="N/A")+(O62="N/A")+(R62="N/A")+(U62="N/A")+(X62="N/A"))&gt;0),"REVISAR","")</f>
        <v/>
      </c>
    </row>
    <row r="63">
      <c r="A63" s="24">
        <f>CRITERIOS!B51</f>
        <v/>
      </c>
      <c r="B63" s="24">
        <f>CRITERIOS!C51</f>
        <v/>
      </c>
      <c r="C63" s="25">
        <f>CRITERIOS!D51</f>
        <v/>
      </c>
      <c r="D63" s="24">
        <f>CRITERIOS!E51</f>
        <v/>
      </c>
      <c r="E63" s="24">
        <f>IFERROR(IF(AND(OR(CRITERIOS!F51="Todos",CRITERIOS!F51=$B$4),INDEX(CRITERIOS!H51:J51,MATCH($B$5,VARIABLES!$E$2:$E$4,0))=1),1,0),0)</f>
        <v/>
      </c>
      <c r="F63" s="24">
        <f>IFERROR(IF(E63=1,INDEX(CRITERIOS!K51:M51,MATCH($B$5,VARIABLES!$E$2:$E$4,0)),0),0)</f>
        <v/>
      </c>
      <c r="G63" s="24">
        <f>IF(CRITERIOS!N51="","",CRITERIOS!N51)</f>
        <v/>
      </c>
      <c r="H63" s="24">
        <f>IF(CRITERIOS!O51="","",CRITERIOS!O51)</f>
        <v/>
      </c>
      <c r="I63" s="21" t="n"/>
      <c r="J63" s="22">
        <f>IF(OR($E63=0,I$78=0),0,IF(AND(I63="N/A",$G63&lt;&gt;""),0,$F63+SUMPRODUCT(($G$14:$G$71=$A63)*($E$14:$E$71=1)*(I$14:I$71="N/A")*$F$14:$F$71)))</f>
        <v/>
      </c>
      <c r="K63" s="22">
        <f>IF(I63="SI",J63,0)</f>
        <v/>
      </c>
      <c r="L63" s="21" t="n"/>
      <c r="M63" s="22">
        <f>IF(OR($E63=0,L$78=0),0,IF(AND(L63="N/A",$G63&lt;&gt;""),0,$F63+SUMPRODUCT(($G$14:$G$71=$A63)*($E$14:$E$71=1)*(L$14:L$71="N/A")*$F$14:$F$71)))</f>
        <v/>
      </c>
      <c r="N63" s="22">
        <f>IF(L63="SI",M63,0)</f>
        <v/>
      </c>
      <c r="O63" s="21" t="n"/>
      <c r="P63" s="22">
        <f>IF(OR($E63=0,O$78=0),0,IF(AND(O63="N/A",$G63&lt;&gt;""),0,$F63+SUMPRODUCT(($G$14:$G$71=$A63)*($E$14:$E$71=1)*(O$14:O$71="N/A")*$F$14:$F$71)))</f>
        <v/>
      </c>
      <c r="Q63" s="22">
        <f>IF(O63="SI",P63,0)</f>
        <v/>
      </c>
      <c r="R63" s="21" t="n"/>
      <c r="S63" s="22">
        <f>IF(OR($E63=0,R$78=0),0,IF(AND(R63="N/A",$G63&lt;&gt;""),0,$F63+SUMPRODUCT(($G$14:$G$71=$A63)*($E$14:$E$71=1)*(R$14:R$71="N/A")*$F$14:$F$71)))</f>
        <v/>
      </c>
      <c r="T63" s="22">
        <f>IF(R63="SI",S63,0)</f>
        <v/>
      </c>
      <c r="U63" s="21" t="n"/>
      <c r="V63" s="22">
        <f>IF(OR($E63=0,U$78=0),0,IF(AND(U63="N/A",$G63&lt;&gt;""),0,$F63+SUMPRODUCT(($G$14:$G$71=$A63)*($E$14:$E$71=1)*(U$14:U$71="N/A")*$F$14:$F$71)))</f>
        <v/>
      </c>
      <c r="W63" s="22">
        <f>IF(U63="SI",V63,0)</f>
        <v/>
      </c>
      <c r="X63" s="21" t="n"/>
      <c r="Y63" s="22">
        <f>IF(OR($E63=0,X$78=0),0,IF(AND(X63="N/A",$G63&lt;&gt;""),0,$F63+SUMPRODUCT(($G$14:$G$71=$A63)*($E$14:$E$71=1)*(X$14:X$71="N/A")*$F$14:$F$71)))</f>
        <v/>
      </c>
      <c r="Z63" s="22">
        <f>IF(X63="SI",Y63,0)</f>
        <v/>
      </c>
      <c r="AA63" s="22">
        <f>SUM(J63,M63,P63,S63,V63,Y63)</f>
        <v/>
      </c>
      <c r="AB63" s="22">
        <f>SUM(K63,N63,Q63,T63,W63,Z63)</f>
        <v/>
      </c>
      <c r="AC63" s="23">
        <f>IF(AA63=0,"",AB63/AA63)</f>
        <v/>
      </c>
      <c r="AD63" s="22">
        <f>CRITERIOS!Q51</f>
        <v/>
      </c>
      <c r="AE63" s="22">
        <f>IF(AND(E63=1,H63&lt;&gt;"X",((I63="N/A")+(L63="N/A")+(O63="N/A")+(R63="N/A")+(U63="N/A")+(X63="N/A"))&gt;0),"REVISAR","")</f>
        <v/>
      </c>
    </row>
    <row r="64">
      <c r="A64" s="22">
        <f>CRITERIOS!B52</f>
        <v/>
      </c>
      <c r="B64" s="22">
        <f>CRITERIOS!C52</f>
        <v/>
      </c>
      <c r="C64" s="8">
        <f>CRITERIOS!D52</f>
        <v/>
      </c>
      <c r="D64" s="22">
        <f>CRITERIOS!E52</f>
        <v/>
      </c>
      <c r="E64" s="22">
        <f>IFERROR(IF(AND(OR(CRITERIOS!F52="Todos",CRITERIOS!F52=$B$4),INDEX(CRITERIOS!H52:J52,MATCH($B$5,VARIABLES!$E$2:$E$4,0))=1),1,0),0)</f>
        <v/>
      </c>
      <c r="F64" s="22">
        <f>IFERROR(IF(E64=1,INDEX(CRITERIOS!K52:M52,MATCH($B$5,VARIABLES!$E$2:$E$4,0)),0),0)</f>
        <v/>
      </c>
      <c r="G64" s="22">
        <f>IF(CRITERIOS!N52="","",CRITERIOS!N52)</f>
        <v/>
      </c>
      <c r="H64" s="22">
        <f>IF(CRITERIOS!O52="","",CRITERIOS!O52)</f>
        <v/>
      </c>
      <c r="I64" s="21" t="n"/>
      <c r="J64" s="22">
        <f>IF(OR($E64=0,I$78=0),0,IF(AND(I64="N/A",$G64&lt;&gt;""),0,$F64+SUMPRODUCT(($G$14:$G$71=$A64)*($E$14:$E$71=1)*(I$14:I$71="N/A")*$F$14:$F$71)))</f>
        <v/>
      </c>
      <c r="K64" s="22">
        <f>IF(I64="SI",J64,0)</f>
        <v/>
      </c>
      <c r="L64" s="21" t="n"/>
      <c r="M64" s="22">
        <f>IF(OR($E64=0,L$78=0),0,IF(AND(L64="N/A",$G64&lt;&gt;""),0,$F64+SUMPRODUCT(($G$14:$G$71=$A64)*($E$14:$E$71=1)*(L$14:L$71="N/A")*$F$14:$F$71)))</f>
        <v/>
      </c>
      <c r="N64" s="22">
        <f>IF(L64="SI",M64,0)</f>
        <v/>
      </c>
      <c r="O64" s="21" t="n"/>
      <c r="P64" s="22">
        <f>IF(OR($E64=0,O$78=0),0,IF(AND(O64="N/A",$G64&lt;&gt;""),0,$F64+SUMPRODUCT(($G$14:$G$71=$A64)*($E$14:$E$71=1)*(O$14:O$71="N/A")*$F$14:$F$71)))</f>
        <v/>
      </c>
      <c r="Q64" s="22">
        <f>IF(O64="SI",P64,0)</f>
        <v/>
      </c>
      <c r="R64" s="21" t="n"/>
      <c r="S64" s="22">
        <f>IF(OR($E64=0,R$78=0),0,IF(AND(R64="N/A",$G64&lt;&gt;""),0,$F64+SUMPRODUCT(($G$14:$G$71=$A64)*($E$14:$E$71=1)*(R$14:R$71="N/A")*$F$14:$F$71)))</f>
        <v/>
      </c>
      <c r="T64" s="22">
        <f>IF(R64="SI",S64,0)</f>
        <v/>
      </c>
      <c r="U64" s="21" t="n"/>
      <c r="V64" s="22">
        <f>IF(OR($E64=0,U$78=0),0,IF(AND(U64="N/A",$G64&lt;&gt;""),0,$F64+SUMPRODUCT(($G$14:$G$71=$A64)*($E$14:$E$71=1)*(U$14:U$71="N/A")*$F$14:$F$71)))</f>
        <v/>
      </c>
      <c r="W64" s="22">
        <f>IF(U64="SI",V64,0)</f>
        <v/>
      </c>
      <c r="X64" s="21" t="n"/>
      <c r="Y64" s="22">
        <f>IF(OR($E64=0,X$78=0),0,IF(AND(X64="N/A",$G64&lt;&gt;""),0,$F64+SUMPRODUCT(($G$14:$G$71=$A64)*($E$14:$E$71=1)*(X$14:X$71="N/A")*$F$14:$F$71)))</f>
        <v/>
      </c>
      <c r="Z64" s="22">
        <f>IF(X64="SI",Y64,0)</f>
        <v/>
      </c>
      <c r="AA64" s="22">
        <f>SUM(J64,M64,P64,S64,V64,Y64)</f>
        <v/>
      </c>
      <c r="AB64" s="22">
        <f>SUM(K64,N64,Q64,T64,W64,Z64)</f>
        <v/>
      </c>
      <c r="AC64" s="23">
        <f>IF(AA64=0,"",AB64/AA64)</f>
        <v/>
      </c>
      <c r="AD64" s="22">
        <f>CRITERIOS!Q52</f>
        <v/>
      </c>
      <c r="AE64" s="22">
        <f>IF(AND(E64=1,H64&lt;&gt;"X",((I64="N/A")+(L64="N/A")+(O64="N/A")+(R64="N/A")+(U64="N/A")+(X64="N/A"))&gt;0),"REVISAR","")</f>
        <v/>
      </c>
    </row>
    <row r="65">
      <c r="A65" s="24">
        <f>CRITERIOS!B53</f>
        <v/>
      </c>
      <c r="B65" s="24">
        <f>CRITERIOS!C53</f>
        <v/>
      </c>
      <c r="C65" s="25">
        <f>CRITERIOS!D53</f>
        <v/>
      </c>
      <c r="D65" s="24">
        <f>CRITERIOS!E53</f>
        <v/>
      </c>
      <c r="E65" s="24">
        <f>IFERROR(IF(AND(OR(CRITERIOS!F53="Todos",CRITERIOS!F53=$B$4),INDEX(CRITERIOS!H53:J53,MATCH($B$5,VARIABLES!$E$2:$E$4,0))=1),1,0),0)</f>
        <v/>
      </c>
      <c r="F65" s="24">
        <f>IFERROR(IF(E65=1,INDEX(CRITERIOS!K53:M53,MATCH($B$5,VARIABLES!$E$2:$E$4,0)),0),0)</f>
        <v/>
      </c>
      <c r="G65" s="24">
        <f>IF(CRITERIOS!N53="","",CRITERIOS!N53)</f>
        <v/>
      </c>
      <c r="H65" s="24">
        <f>IF(CRITERIOS!O53="","",CRITERIOS!O53)</f>
        <v/>
      </c>
      <c r="I65" s="21" t="n"/>
      <c r="J65" s="22">
        <f>IF(OR($E65=0,I$78=0),0,IF(AND(I65="N/A",$G65&lt;&gt;""),0,$F65+SUMPRODUCT(($G$14:$G$71=$A65)*($E$14:$E$71=1)*(I$14:I$71="N/A")*$F$14:$F$71)))</f>
        <v/>
      </c>
      <c r="K65" s="22">
        <f>IF(I65="SI",J65,0)</f>
        <v/>
      </c>
      <c r="L65" s="21" t="n"/>
      <c r="M65" s="22">
        <f>IF(OR($E65=0,L$78=0),0,IF(AND(L65="N/A",$G65&lt;&gt;""),0,$F65+SUMPRODUCT(($G$14:$G$71=$A65)*($E$14:$E$71=1)*(L$14:L$71="N/A")*$F$14:$F$71)))</f>
        <v/>
      </c>
      <c r="N65" s="22">
        <f>IF(L65="SI",M65,0)</f>
        <v/>
      </c>
      <c r="O65" s="21" t="n"/>
      <c r="P65" s="22">
        <f>IF(OR($E65=0,O$78=0),0,IF(AND(O65="N/A",$G65&lt;&gt;""),0,$F65+SUMPRODUCT(($G$14:$G$71=$A65)*($E$14:$E$71=1)*(O$14:O$71="N/A")*$F$14:$F$71)))</f>
        <v/>
      </c>
      <c r="Q65" s="22">
        <f>IF(O65="SI",P65,0)</f>
        <v/>
      </c>
      <c r="R65" s="21" t="n"/>
      <c r="S65" s="22">
        <f>IF(OR($E65=0,R$78=0),0,IF(AND(R65="N/A",$G65&lt;&gt;""),0,$F65+SUMPRODUCT(($G$14:$G$71=$A65)*($E$14:$E$71=1)*(R$14:R$71="N/A")*$F$14:$F$71)))</f>
        <v/>
      </c>
      <c r="T65" s="22">
        <f>IF(R65="SI",S65,0)</f>
        <v/>
      </c>
      <c r="U65" s="21" t="n"/>
      <c r="V65" s="22">
        <f>IF(OR($E65=0,U$78=0),0,IF(AND(U65="N/A",$G65&lt;&gt;""),0,$F65+SUMPRODUCT(($G$14:$G$71=$A65)*($E$14:$E$71=1)*(U$14:U$71="N/A")*$F$14:$F$71)))</f>
        <v/>
      </c>
      <c r="W65" s="22">
        <f>IF(U65="SI",V65,0)</f>
        <v/>
      </c>
      <c r="X65" s="21" t="n"/>
      <c r="Y65" s="22">
        <f>IF(OR($E65=0,X$78=0),0,IF(AND(X65="N/A",$G65&lt;&gt;""),0,$F65+SUMPRODUCT(($G$14:$G$71=$A65)*($E$14:$E$71=1)*(X$14:X$71="N/A")*$F$14:$F$71)))</f>
        <v/>
      </c>
      <c r="Z65" s="22">
        <f>IF(X65="SI",Y65,0)</f>
        <v/>
      </c>
      <c r="AA65" s="22">
        <f>SUM(J65,M65,P65,S65,V65,Y65)</f>
        <v/>
      </c>
      <c r="AB65" s="22">
        <f>SUM(K65,N65,Q65,T65,W65,Z65)</f>
        <v/>
      </c>
      <c r="AC65" s="23">
        <f>IF(AA65=0,"",AB65/AA65)</f>
        <v/>
      </c>
      <c r="AD65" s="22">
        <f>CRITERIOS!Q53</f>
        <v/>
      </c>
      <c r="AE65" s="22">
        <f>IF(AND(E65=1,H65&lt;&gt;"X",((I65="N/A")+(L65="N/A")+(O65="N/A")+(R65="N/A")+(U65="N/A")+(X65="N/A"))&gt;0),"REVISAR","")</f>
        <v/>
      </c>
    </row>
    <row r="66">
      <c r="A66" s="24">
        <f>CRITERIOS!B54</f>
        <v/>
      </c>
      <c r="B66" s="24">
        <f>CRITERIOS!C54</f>
        <v/>
      </c>
      <c r="C66" s="25">
        <f>CRITERIOS!D54</f>
        <v/>
      </c>
      <c r="D66" s="24">
        <f>CRITERIOS!E54</f>
        <v/>
      </c>
      <c r="E66" s="24">
        <f>IFERROR(IF(AND(OR(CRITERIOS!F54="Todos",CRITERIOS!F54=$B$4),INDEX(CRITERIOS!H54:J54,MATCH($B$5,VARIABLES!$E$2:$E$4,0))=1),1,0),0)</f>
        <v/>
      </c>
      <c r="F66" s="24">
        <f>IFERROR(IF(E66=1,INDEX(CRITERIOS!K54:M54,MATCH($B$5,VARIABLES!$E$2:$E$4,0)),0),0)</f>
        <v/>
      </c>
      <c r="G66" s="24">
        <f>IF(CRITERIOS!N54="","",CRITERIOS!N54)</f>
        <v/>
      </c>
      <c r="H66" s="24">
        <f>IF(CRITERIOS!O54="","",CRITERIOS!O54)</f>
        <v/>
      </c>
      <c r="I66" s="21" t="n"/>
      <c r="J66" s="22">
        <f>IF(OR($E66=0,I$78=0),0,IF(AND(I66="N/A",$G66&lt;&gt;""),0,$F66+SUMPRODUCT(($G$14:$G$71=$A66)*($E$14:$E$71=1)*(I$14:I$71="N/A")*$F$14:$F$71)))</f>
        <v/>
      </c>
      <c r="K66" s="22">
        <f>IF(I66="SI",J66,0)</f>
        <v/>
      </c>
      <c r="L66" s="21" t="n"/>
      <c r="M66" s="22">
        <f>IF(OR($E66=0,L$78=0),0,IF(AND(L66="N/A",$G66&lt;&gt;""),0,$F66+SUMPRODUCT(($G$14:$G$71=$A66)*($E$14:$E$71=1)*(L$14:L$71="N/A")*$F$14:$F$71)))</f>
        <v/>
      </c>
      <c r="N66" s="22">
        <f>IF(L66="SI",M66,0)</f>
        <v/>
      </c>
      <c r="O66" s="21" t="n"/>
      <c r="P66" s="22">
        <f>IF(OR($E66=0,O$78=0),0,IF(AND(O66="N/A",$G66&lt;&gt;""),0,$F66+SUMPRODUCT(($G$14:$G$71=$A66)*($E$14:$E$71=1)*(O$14:O$71="N/A")*$F$14:$F$71)))</f>
        <v/>
      </c>
      <c r="Q66" s="22">
        <f>IF(O66="SI",P66,0)</f>
        <v/>
      </c>
      <c r="R66" s="21" t="n"/>
      <c r="S66" s="22">
        <f>IF(OR($E66=0,R$78=0),0,IF(AND(R66="N/A",$G66&lt;&gt;""),0,$F66+SUMPRODUCT(($G$14:$G$71=$A66)*($E$14:$E$71=1)*(R$14:R$71="N/A")*$F$14:$F$71)))</f>
        <v/>
      </c>
      <c r="T66" s="22">
        <f>IF(R66="SI",S66,0)</f>
        <v/>
      </c>
      <c r="U66" s="21" t="n"/>
      <c r="V66" s="22">
        <f>IF(OR($E66=0,U$78=0),0,IF(AND(U66="N/A",$G66&lt;&gt;""),0,$F66+SUMPRODUCT(($G$14:$G$71=$A66)*($E$14:$E$71=1)*(U$14:U$71="N/A")*$F$14:$F$71)))</f>
        <v/>
      </c>
      <c r="W66" s="22">
        <f>IF(U66="SI",V66,0)</f>
        <v/>
      </c>
      <c r="X66" s="21" t="n"/>
      <c r="Y66" s="22">
        <f>IF(OR($E66=0,X$78=0),0,IF(AND(X66="N/A",$G66&lt;&gt;""),0,$F66+SUMPRODUCT(($G$14:$G$71=$A66)*($E$14:$E$71=1)*(X$14:X$71="N/A")*$F$14:$F$71)))</f>
        <v/>
      </c>
      <c r="Z66" s="22">
        <f>IF(X66="SI",Y66,0)</f>
        <v/>
      </c>
      <c r="AA66" s="22">
        <f>SUM(J66,M66,P66,S66,V66,Y66)</f>
        <v/>
      </c>
      <c r="AB66" s="22">
        <f>SUM(K66,N66,Q66,T66,W66,Z66)</f>
        <v/>
      </c>
      <c r="AC66" s="23">
        <f>IF(AA66=0,"",AB66/AA66)</f>
        <v/>
      </c>
      <c r="AD66" s="22">
        <f>CRITERIOS!Q54</f>
        <v/>
      </c>
      <c r="AE66" s="22">
        <f>IF(AND(E66=1,H66&lt;&gt;"X",((I66="N/A")+(L66="N/A")+(O66="N/A")+(R66="N/A")+(U66="N/A")+(X66="N/A"))&gt;0),"REVISAR","")</f>
        <v/>
      </c>
    </row>
    <row r="67">
      <c r="A67" s="24">
        <f>CRITERIOS!B55</f>
        <v/>
      </c>
      <c r="B67" s="24">
        <f>CRITERIOS!C55</f>
        <v/>
      </c>
      <c r="C67" s="25">
        <f>CRITERIOS!D55</f>
        <v/>
      </c>
      <c r="D67" s="24">
        <f>CRITERIOS!E55</f>
        <v/>
      </c>
      <c r="E67" s="24">
        <f>IFERROR(IF(AND(OR(CRITERIOS!F55="Todos",CRITERIOS!F55=$B$4),INDEX(CRITERIOS!H55:J55,MATCH($B$5,VARIABLES!$E$2:$E$4,0))=1),1,0),0)</f>
        <v/>
      </c>
      <c r="F67" s="24">
        <f>IFERROR(IF(E67=1,INDEX(CRITERIOS!K55:M55,MATCH($B$5,VARIABLES!$E$2:$E$4,0)),0),0)</f>
        <v/>
      </c>
      <c r="G67" s="24">
        <f>IF(CRITERIOS!N55="","",CRITERIOS!N55)</f>
        <v/>
      </c>
      <c r="H67" s="24">
        <f>IF(CRITERIOS!O55="","",CRITERIOS!O55)</f>
        <v/>
      </c>
      <c r="I67" s="21" t="n"/>
      <c r="J67" s="22">
        <f>IF(OR($E67=0,I$78=0),0,IF(AND(I67="N/A",$G67&lt;&gt;""),0,$F67+SUMPRODUCT(($G$14:$G$71=$A67)*($E$14:$E$71=1)*(I$14:I$71="N/A")*$F$14:$F$71)))</f>
        <v/>
      </c>
      <c r="K67" s="22">
        <f>IF(I67="SI",J67,0)</f>
        <v/>
      </c>
      <c r="L67" s="21" t="n"/>
      <c r="M67" s="22">
        <f>IF(OR($E67=0,L$78=0),0,IF(AND(L67="N/A",$G67&lt;&gt;""),0,$F67+SUMPRODUCT(($G$14:$G$71=$A67)*($E$14:$E$71=1)*(L$14:L$71="N/A")*$F$14:$F$71)))</f>
        <v/>
      </c>
      <c r="N67" s="22">
        <f>IF(L67="SI",M67,0)</f>
        <v/>
      </c>
      <c r="O67" s="21" t="n"/>
      <c r="P67" s="22">
        <f>IF(OR($E67=0,O$78=0),0,IF(AND(O67="N/A",$G67&lt;&gt;""),0,$F67+SUMPRODUCT(($G$14:$G$71=$A67)*($E$14:$E$71=1)*(O$14:O$71="N/A")*$F$14:$F$71)))</f>
        <v/>
      </c>
      <c r="Q67" s="22">
        <f>IF(O67="SI",P67,0)</f>
        <v/>
      </c>
      <c r="R67" s="21" t="n"/>
      <c r="S67" s="22">
        <f>IF(OR($E67=0,R$78=0),0,IF(AND(R67="N/A",$G67&lt;&gt;""),0,$F67+SUMPRODUCT(($G$14:$G$71=$A67)*($E$14:$E$71=1)*(R$14:R$71="N/A")*$F$14:$F$71)))</f>
        <v/>
      </c>
      <c r="T67" s="22">
        <f>IF(R67="SI",S67,0)</f>
        <v/>
      </c>
      <c r="U67" s="21" t="n"/>
      <c r="V67" s="22">
        <f>IF(OR($E67=0,U$78=0),0,IF(AND(U67="N/A",$G67&lt;&gt;""),0,$F67+SUMPRODUCT(($G$14:$G$71=$A67)*($E$14:$E$71=1)*(U$14:U$71="N/A")*$F$14:$F$71)))</f>
        <v/>
      </c>
      <c r="W67" s="22">
        <f>IF(U67="SI",V67,0)</f>
        <v/>
      </c>
      <c r="X67" s="21" t="n"/>
      <c r="Y67" s="22">
        <f>IF(OR($E67=0,X$78=0),0,IF(AND(X67="N/A",$G67&lt;&gt;""),0,$F67+SUMPRODUCT(($G$14:$G$71=$A67)*($E$14:$E$71=1)*(X$14:X$71="N/A")*$F$14:$F$71)))</f>
        <v/>
      </c>
      <c r="Z67" s="22">
        <f>IF(X67="SI",Y67,0)</f>
        <v/>
      </c>
      <c r="AA67" s="22">
        <f>SUM(J67,M67,P67,S67,V67,Y67)</f>
        <v/>
      </c>
      <c r="AB67" s="22">
        <f>SUM(K67,N67,Q67,T67,W67,Z67)</f>
        <v/>
      </c>
      <c r="AC67" s="23">
        <f>IF(AA67=0,"",AB67/AA67)</f>
        <v/>
      </c>
      <c r="AD67" s="22">
        <f>CRITERIOS!Q55</f>
        <v/>
      </c>
      <c r="AE67" s="22">
        <f>IF(AND(E67=1,H67&lt;&gt;"X",((I67="N/A")+(L67="N/A")+(O67="N/A")+(R67="N/A")+(U67="N/A")+(X67="N/A"))&gt;0),"REVISAR","")</f>
        <v/>
      </c>
    </row>
    <row r="68">
      <c r="A68" s="24">
        <f>CRITERIOS!B56</f>
        <v/>
      </c>
      <c r="B68" s="24">
        <f>CRITERIOS!C56</f>
        <v/>
      </c>
      <c r="C68" s="25">
        <f>CRITERIOS!D56</f>
        <v/>
      </c>
      <c r="D68" s="24">
        <f>CRITERIOS!E56</f>
        <v/>
      </c>
      <c r="E68" s="24">
        <f>IFERROR(IF(AND(OR(CRITERIOS!F56="Todos",CRITERIOS!F56=$B$4),INDEX(CRITERIOS!H56:J56,MATCH($B$5,VARIABLES!$E$2:$E$4,0))=1),1,0),0)</f>
        <v/>
      </c>
      <c r="F68" s="24">
        <f>IFERROR(IF(E68=1,INDEX(CRITERIOS!K56:M56,MATCH($B$5,VARIABLES!$E$2:$E$4,0)),0),0)</f>
        <v/>
      </c>
      <c r="G68" s="24">
        <f>IF(CRITERIOS!N56="","",CRITERIOS!N56)</f>
        <v/>
      </c>
      <c r="H68" s="24">
        <f>IF(CRITERIOS!O56="","",CRITERIOS!O56)</f>
        <v/>
      </c>
      <c r="I68" s="21" t="n"/>
      <c r="J68" s="22">
        <f>IF(OR($E68=0,I$78=0),0,IF(AND(I68="N/A",$G68&lt;&gt;""),0,$F68+SUMPRODUCT(($G$14:$G$71=$A68)*($E$14:$E$71=1)*(I$14:I$71="N/A")*$F$14:$F$71)))</f>
        <v/>
      </c>
      <c r="K68" s="22">
        <f>IF(I68="SI",J68,0)</f>
        <v/>
      </c>
      <c r="L68" s="21" t="n"/>
      <c r="M68" s="22">
        <f>IF(OR($E68=0,L$78=0),0,IF(AND(L68="N/A",$G68&lt;&gt;""),0,$F68+SUMPRODUCT(($G$14:$G$71=$A68)*($E$14:$E$71=1)*(L$14:L$71="N/A")*$F$14:$F$71)))</f>
        <v/>
      </c>
      <c r="N68" s="22">
        <f>IF(L68="SI",M68,0)</f>
        <v/>
      </c>
      <c r="O68" s="21" t="n"/>
      <c r="P68" s="22">
        <f>IF(OR($E68=0,O$78=0),0,IF(AND(O68="N/A",$G68&lt;&gt;""),0,$F68+SUMPRODUCT(($G$14:$G$71=$A68)*($E$14:$E$71=1)*(O$14:O$71="N/A")*$F$14:$F$71)))</f>
        <v/>
      </c>
      <c r="Q68" s="22">
        <f>IF(O68="SI",P68,0)</f>
        <v/>
      </c>
      <c r="R68" s="21" t="n"/>
      <c r="S68" s="22">
        <f>IF(OR($E68=0,R$78=0),0,IF(AND(R68="N/A",$G68&lt;&gt;""),0,$F68+SUMPRODUCT(($G$14:$G$71=$A68)*($E$14:$E$71=1)*(R$14:R$71="N/A")*$F$14:$F$71)))</f>
        <v/>
      </c>
      <c r="T68" s="22">
        <f>IF(R68="SI",S68,0)</f>
        <v/>
      </c>
      <c r="U68" s="21" t="n"/>
      <c r="V68" s="22">
        <f>IF(OR($E68=0,U$78=0),0,IF(AND(U68="N/A",$G68&lt;&gt;""),0,$F68+SUMPRODUCT(($G$14:$G$71=$A68)*($E$14:$E$71=1)*(U$14:U$71="N/A")*$F$14:$F$71)))</f>
        <v/>
      </c>
      <c r="W68" s="22">
        <f>IF(U68="SI",V68,0)</f>
        <v/>
      </c>
      <c r="X68" s="21" t="n"/>
      <c r="Y68" s="22">
        <f>IF(OR($E68=0,X$78=0),0,IF(AND(X68="N/A",$G68&lt;&gt;""),0,$F68+SUMPRODUCT(($G$14:$G$71=$A68)*($E$14:$E$71=1)*(X$14:X$71="N/A")*$F$14:$F$71)))</f>
        <v/>
      </c>
      <c r="Z68" s="22">
        <f>IF(X68="SI",Y68,0)</f>
        <v/>
      </c>
      <c r="AA68" s="22">
        <f>SUM(J68,M68,P68,S68,V68,Y68)</f>
        <v/>
      </c>
      <c r="AB68" s="22">
        <f>SUM(K68,N68,Q68,T68,W68,Z68)</f>
        <v/>
      </c>
      <c r="AC68" s="23">
        <f>IF(AA68=0,"",AB68/AA68)</f>
        <v/>
      </c>
      <c r="AD68" s="22">
        <f>CRITERIOS!Q56</f>
        <v/>
      </c>
      <c r="AE68" s="22">
        <f>IF(AND(E68=1,H68&lt;&gt;"X",((I68="N/A")+(L68="N/A")+(O68="N/A")+(R68="N/A")+(U68="N/A")+(X68="N/A"))&gt;0),"REVISAR","")</f>
        <v/>
      </c>
    </row>
    <row r="69">
      <c r="A69" s="22">
        <f>CRITERIOS!B57</f>
        <v/>
      </c>
      <c r="B69" s="22">
        <f>CRITERIOS!C57</f>
        <v/>
      </c>
      <c r="C69" s="8">
        <f>CRITERIOS!D57</f>
        <v/>
      </c>
      <c r="D69" s="22">
        <f>CRITERIOS!E57</f>
        <v/>
      </c>
      <c r="E69" s="22">
        <f>IFERROR(IF(AND(OR(CRITERIOS!F57="Todos",CRITERIOS!F57=$B$4),INDEX(CRITERIOS!H57:J57,MATCH($B$5,VARIABLES!$E$2:$E$4,0))=1),1,0),0)</f>
        <v/>
      </c>
      <c r="F69" s="22">
        <f>IFERROR(IF(E69=1,INDEX(CRITERIOS!K57:M57,MATCH($B$5,VARIABLES!$E$2:$E$4,0)),0),0)</f>
        <v/>
      </c>
      <c r="G69" s="22">
        <f>IF(CRITERIOS!N57="","",CRITERIOS!N57)</f>
        <v/>
      </c>
      <c r="H69" s="22">
        <f>IF(CRITERIOS!O57="","",CRITERIOS!O57)</f>
        <v/>
      </c>
      <c r="I69" s="21" t="n"/>
      <c r="J69" s="22">
        <f>IF(OR($E69=0,I$78=0),0,IF(AND(I69="N/A",$G69&lt;&gt;""),0,$F69+SUMPRODUCT(($G$14:$G$71=$A69)*($E$14:$E$71=1)*(I$14:I$71="N/A")*$F$14:$F$71)))</f>
        <v/>
      </c>
      <c r="K69" s="22">
        <f>IF(I69="SI",J69,0)</f>
        <v/>
      </c>
      <c r="L69" s="21" t="n"/>
      <c r="M69" s="22">
        <f>IF(OR($E69=0,L$78=0),0,IF(AND(L69="N/A",$G69&lt;&gt;""),0,$F69+SUMPRODUCT(($G$14:$G$71=$A69)*($E$14:$E$71=1)*(L$14:L$71="N/A")*$F$14:$F$71)))</f>
        <v/>
      </c>
      <c r="N69" s="22">
        <f>IF(L69="SI",M69,0)</f>
        <v/>
      </c>
      <c r="O69" s="21" t="n"/>
      <c r="P69" s="22">
        <f>IF(OR($E69=0,O$78=0),0,IF(AND(O69="N/A",$G69&lt;&gt;""),0,$F69+SUMPRODUCT(($G$14:$G$71=$A69)*($E$14:$E$71=1)*(O$14:O$71="N/A")*$F$14:$F$71)))</f>
        <v/>
      </c>
      <c r="Q69" s="22">
        <f>IF(O69="SI",P69,0)</f>
        <v/>
      </c>
      <c r="R69" s="21" t="n"/>
      <c r="S69" s="22">
        <f>IF(OR($E69=0,R$78=0),0,IF(AND(R69="N/A",$G69&lt;&gt;""),0,$F69+SUMPRODUCT(($G$14:$G$71=$A69)*($E$14:$E$71=1)*(R$14:R$71="N/A")*$F$14:$F$71)))</f>
        <v/>
      </c>
      <c r="T69" s="22">
        <f>IF(R69="SI",S69,0)</f>
        <v/>
      </c>
      <c r="U69" s="21" t="n"/>
      <c r="V69" s="22">
        <f>IF(OR($E69=0,U$78=0),0,IF(AND(U69="N/A",$G69&lt;&gt;""),0,$F69+SUMPRODUCT(($G$14:$G$71=$A69)*($E$14:$E$71=1)*(U$14:U$71="N/A")*$F$14:$F$71)))</f>
        <v/>
      </c>
      <c r="W69" s="22">
        <f>IF(U69="SI",V69,0)</f>
        <v/>
      </c>
      <c r="X69" s="21" t="n"/>
      <c r="Y69" s="22">
        <f>IF(OR($E69=0,X$78=0),0,IF(AND(X69="N/A",$G69&lt;&gt;""),0,$F69+SUMPRODUCT(($G$14:$G$71=$A69)*($E$14:$E$71=1)*(X$14:X$71="N/A")*$F$14:$F$71)))</f>
        <v/>
      </c>
      <c r="Z69" s="22">
        <f>IF(X69="SI",Y69,0)</f>
        <v/>
      </c>
      <c r="AA69" s="22">
        <f>SUM(J69,M69,P69,S69,V69,Y69)</f>
        <v/>
      </c>
      <c r="AB69" s="22">
        <f>SUM(K69,N69,Q69,T69,W69,Z69)</f>
        <v/>
      </c>
      <c r="AC69" s="23">
        <f>IF(AA69=0,"",AB69/AA69)</f>
        <v/>
      </c>
      <c r="AD69" s="22">
        <f>CRITERIOS!Q57</f>
        <v/>
      </c>
      <c r="AE69" s="22">
        <f>IF(AND(E69=1,H69&lt;&gt;"X",((I69="N/A")+(L69="N/A")+(O69="N/A")+(R69="N/A")+(U69="N/A")+(X69="N/A"))&gt;0),"REVISAR","")</f>
        <v/>
      </c>
    </row>
    <row r="70">
      <c r="A70" s="22">
        <f>CRITERIOS!B58</f>
        <v/>
      </c>
      <c r="B70" s="22">
        <f>CRITERIOS!C58</f>
        <v/>
      </c>
      <c r="C70" s="8">
        <f>CRITERIOS!D58</f>
        <v/>
      </c>
      <c r="D70" s="22">
        <f>CRITERIOS!E58</f>
        <v/>
      </c>
      <c r="E70" s="22">
        <f>IFERROR(IF(AND(OR(CRITERIOS!F58="Todos",CRITERIOS!F58=$B$4),INDEX(CRITERIOS!H58:J58,MATCH($B$5,VARIABLES!$E$2:$E$4,0))=1),1,0),0)</f>
        <v/>
      </c>
      <c r="F70" s="22">
        <f>IFERROR(IF(E70=1,INDEX(CRITERIOS!K58:M58,MATCH($B$5,VARIABLES!$E$2:$E$4,0)),0),0)</f>
        <v/>
      </c>
      <c r="G70" s="22">
        <f>IF(CRITERIOS!N58="","",CRITERIOS!N58)</f>
        <v/>
      </c>
      <c r="H70" s="22">
        <f>IF(CRITERIOS!O58="","",CRITERIOS!O58)</f>
        <v/>
      </c>
      <c r="I70" s="21" t="n"/>
      <c r="J70" s="22">
        <f>IF(OR($E70=0,I$78=0),0,IF(AND(I70="N/A",$G70&lt;&gt;""),0,$F70+SUMPRODUCT(($G$14:$G$71=$A70)*($E$14:$E$71=1)*(I$14:I$71="N/A")*$F$14:$F$71)))</f>
        <v/>
      </c>
      <c r="K70" s="22">
        <f>IF(I70="SI",J70,0)</f>
        <v/>
      </c>
      <c r="L70" s="21" t="n"/>
      <c r="M70" s="22">
        <f>IF(OR($E70=0,L$78=0),0,IF(AND(L70="N/A",$G70&lt;&gt;""),0,$F70+SUMPRODUCT(($G$14:$G$71=$A70)*($E$14:$E$71=1)*(L$14:L$71="N/A")*$F$14:$F$71)))</f>
        <v/>
      </c>
      <c r="N70" s="22">
        <f>IF(L70="SI",M70,0)</f>
        <v/>
      </c>
      <c r="O70" s="21" t="n"/>
      <c r="P70" s="22">
        <f>IF(OR($E70=0,O$78=0),0,IF(AND(O70="N/A",$G70&lt;&gt;""),0,$F70+SUMPRODUCT(($G$14:$G$71=$A70)*($E$14:$E$71=1)*(O$14:O$71="N/A")*$F$14:$F$71)))</f>
        <v/>
      </c>
      <c r="Q70" s="22">
        <f>IF(O70="SI",P70,0)</f>
        <v/>
      </c>
      <c r="R70" s="21" t="n"/>
      <c r="S70" s="22">
        <f>IF(OR($E70=0,R$78=0),0,IF(AND(R70="N/A",$G70&lt;&gt;""),0,$F70+SUMPRODUCT(($G$14:$G$71=$A70)*($E$14:$E$71=1)*(R$14:R$71="N/A")*$F$14:$F$71)))</f>
        <v/>
      </c>
      <c r="T70" s="22">
        <f>IF(R70="SI",S70,0)</f>
        <v/>
      </c>
      <c r="U70" s="21" t="n"/>
      <c r="V70" s="22">
        <f>IF(OR($E70=0,U$78=0),0,IF(AND(U70="N/A",$G70&lt;&gt;""),0,$F70+SUMPRODUCT(($G$14:$G$71=$A70)*($E$14:$E$71=1)*(U$14:U$71="N/A")*$F$14:$F$71)))</f>
        <v/>
      </c>
      <c r="W70" s="22">
        <f>IF(U70="SI",V70,0)</f>
        <v/>
      </c>
      <c r="X70" s="21" t="n"/>
      <c r="Y70" s="22">
        <f>IF(OR($E70=0,X$78=0),0,IF(AND(X70="N/A",$G70&lt;&gt;""),0,$F70+SUMPRODUCT(($G$14:$G$71=$A70)*($E$14:$E$71=1)*(X$14:X$71="N/A")*$F$14:$F$71)))</f>
        <v/>
      </c>
      <c r="Z70" s="22">
        <f>IF(X70="SI",Y70,0)</f>
        <v/>
      </c>
      <c r="AA70" s="22">
        <f>SUM(J70,M70,P70,S70,V70,Y70)</f>
        <v/>
      </c>
      <c r="AB70" s="22">
        <f>SUM(K70,N70,Q70,T70,W70,Z70)</f>
        <v/>
      </c>
      <c r="AC70" s="23">
        <f>IF(AA70=0,"",AB70/AA70)</f>
        <v/>
      </c>
      <c r="AD70" s="22">
        <f>CRITERIOS!Q58</f>
        <v/>
      </c>
      <c r="AE70" s="22">
        <f>IF(AND(E70=1,H70&lt;&gt;"X",((I70="N/A")+(L70="N/A")+(O70="N/A")+(R70="N/A")+(U70="N/A")+(X70="N/A"))&gt;0),"REVISAR","")</f>
        <v/>
      </c>
    </row>
    <row r="71">
      <c r="A71" s="24">
        <f>CRITERIOS!B59</f>
        <v/>
      </c>
      <c r="B71" s="24">
        <f>CRITERIOS!C59</f>
        <v/>
      </c>
      <c r="C71" s="25">
        <f>CRITERIOS!D59</f>
        <v/>
      </c>
      <c r="D71" s="24">
        <f>CRITERIOS!E59</f>
        <v/>
      </c>
      <c r="E71" s="24">
        <f>IFERROR(IF(AND(OR(CRITERIOS!F59="Todos",CRITERIOS!F59=$B$4),INDEX(CRITERIOS!H59:J59,MATCH($B$5,VARIABLES!$E$2:$E$4,0))=1),1,0),0)</f>
        <v/>
      </c>
      <c r="F71" s="24">
        <f>IFERROR(IF(E71=1,INDEX(CRITERIOS!K59:M59,MATCH($B$5,VARIABLES!$E$2:$E$4,0)),0),0)</f>
        <v/>
      </c>
      <c r="G71" s="24">
        <f>IF(CRITERIOS!N59="","",CRITERIOS!N59)</f>
        <v/>
      </c>
      <c r="H71" s="24">
        <f>IF(CRITERIOS!O59="","",CRITERIOS!O59)</f>
        <v/>
      </c>
      <c r="I71" s="21" t="n"/>
      <c r="J71" s="22">
        <f>IF(OR($E71=0,I$78=0),0,IF(AND(I71="N/A",$G71&lt;&gt;""),0,$F71+SUMPRODUCT(($G$14:$G$71=$A71)*($E$14:$E$71=1)*(I$14:I$71="N/A")*$F$14:$F$71)))</f>
        <v/>
      </c>
      <c r="K71" s="22">
        <f>IF(I71="SI",J71,0)</f>
        <v/>
      </c>
      <c r="L71" s="21" t="n"/>
      <c r="M71" s="22">
        <f>IF(OR($E71=0,L$78=0),0,IF(AND(L71="N/A",$G71&lt;&gt;""),0,$F71+SUMPRODUCT(($G$14:$G$71=$A71)*($E$14:$E$71=1)*(L$14:L$71="N/A")*$F$14:$F$71)))</f>
        <v/>
      </c>
      <c r="N71" s="22">
        <f>IF(L71="SI",M71,0)</f>
        <v/>
      </c>
      <c r="O71" s="21" t="n"/>
      <c r="P71" s="22">
        <f>IF(OR($E71=0,O$78=0),0,IF(AND(O71="N/A",$G71&lt;&gt;""),0,$F71+SUMPRODUCT(($G$14:$G$71=$A71)*($E$14:$E$71=1)*(O$14:O$71="N/A")*$F$14:$F$71)))</f>
        <v/>
      </c>
      <c r="Q71" s="22">
        <f>IF(O71="SI",P71,0)</f>
        <v/>
      </c>
      <c r="R71" s="21" t="n"/>
      <c r="S71" s="22">
        <f>IF(OR($E71=0,R$78=0),0,IF(AND(R71="N/A",$G71&lt;&gt;""),0,$F71+SUMPRODUCT(($G$14:$G$71=$A71)*($E$14:$E$71=1)*(R$14:R$71="N/A")*$F$14:$F$71)))</f>
        <v/>
      </c>
      <c r="T71" s="22">
        <f>IF(R71="SI",S71,0)</f>
        <v/>
      </c>
      <c r="U71" s="21" t="n"/>
      <c r="V71" s="22">
        <f>IF(OR($E71=0,U$78=0),0,IF(AND(U71="N/A",$G71&lt;&gt;""),0,$F71+SUMPRODUCT(($G$14:$G$71=$A71)*($E$14:$E$71=1)*(U$14:U$71="N/A")*$F$14:$F$71)))</f>
        <v/>
      </c>
      <c r="W71" s="22">
        <f>IF(U71="SI",V71,0)</f>
        <v/>
      </c>
      <c r="X71" s="21" t="n"/>
      <c r="Y71" s="22">
        <f>IF(OR($E71=0,X$78=0),0,IF(AND(X71="N/A",$G71&lt;&gt;""),0,$F71+SUMPRODUCT(($G$14:$G$71=$A71)*($E$14:$E$71=1)*(X$14:X$71="N/A")*$F$14:$F$71)))</f>
        <v/>
      </c>
      <c r="Z71" s="22">
        <f>IF(X71="SI",Y71,0)</f>
        <v/>
      </c>
      <c r="AA71" s="22">
        <f>SUM(J71,M71,P71,S71,V71,Y71)</f>
        <v/>
      </c>
      <c r="AB71" s="22">
        <f>SUM(K71,N71,Q71,T71,W71,Z71)</f>
        <v/>
      </c>
      <c r="AC71" s="23">
        <f>IF(AA71=0,"",AB71/AA71)</f>
        <v/>
      </c>
      <c r="AD71" s="22">
        <f>CRITERIOS!Q59</f>
        <v/>
      </c>
      <c r="AE71" s="22">
        <f>IF(AND(E71=1,H71&lt;&gt;"X",((I71="N/A")+(L71="N/A")+(O71="N/A")+(R71="N/A")+(U71="N/A")+(X71="N/A"))&gt;0),"REVISAR","")</f>
        <v/>
      </c>
    </row>
    <row r="73">
      <c r="C73" s="4" t="inlineStr">
        <is>
          <t>Puntaje de la conversación (/100)</t>
        </is>
      </c>
      <c r="K73" s="26">
        <f>IF(I78=1,SUM(K14:K71),"")</f>
        <v/>
      </c>
      <c r="N73" s="26">
        <f>IF(L78=1,SUM(N14:N71),"")</f>
        <v/>
      </c>
      <c r="Q73" s="26">
        <f>IF(O78=1,SUM(Q14:Q71),"")</f>
        <v/>
      </c>
      <c r="T73" s="26">
        <f>IF(R78=1,SUM(T14:T71),"")</f>
        <v/>
      </c>
      <c r="W73" s="26">
        <f>IF(U78=1,SUM(W14:W71),"")</f>
        <v/>
      </c>
      <c r="Z73" s="26">
        <f>IF(X78=1,SUM(Z14:Z71),"")</f>
        <v/>
      </c>
    </row>
    <row r="74">
      <c r="C74" s="4" t="inlineStr">
        <is>
          <t>Fase I: HD con NO (1 = reprueba)</t>
        </is>
      </c>
      <c r="I74">
        <f>IF(I78=1,IF(COUNTIFS($D$14:$D$71,"Control HD",I14:I71,"NO")&gt;0,1,0),0)</f>
        <v/>
      </c>
      <c r="L74">
        <f>IF(L78=1,IF(COUNTIFS($D$14:$D$71,"Control HD",L14:L71,"NO")&gt;0,1,0),0)</f>
        <v/>
      </c>
      <c r="O74">
        <f>IF(O78=1,IF(COUNTIFS($D$14:$D$71,"Control HD",O14:O71,"NO")&gt;0,1,0),0)</f>
        <v/>
      </c>
      <c r="R74">
        <f>IF(R78=1,IF(COUNTIFS($D$14:$D$71,"Control HD",R14:R71,"NO")&gt;0,1,0),0)</f>
        <v/>
      </c>
      <c r="U74">
        <f>IF(U78=1,IF(COUNTIFS($D$14:$D$71,"Control HD",U14:U71,"NO")&gt;0,1,0),0)</f>
        <v/>
      </c>
      <c r="X74">
        <f>IF(X78=1,IF(COUNTIFS($D$14:$D$71,"Control HD",X14:X71,"NO")&gt;0,1,0),0)</f>
        <v/>
      </c>
    </row>
    <row r="75">
      <c r="C75" s="4" t="inlineStr">
        <is>
          <t>ECU con error (1 = sí)</t>
        </is>
      </c>
      <c r="I75">
        <f>IF(I78=1,IF(COUNTIFS($D$14:$D$71,"ECU",I14:I71,"NO")&gt;0,1,0),0)</f>
        <v/>
      </c>
      <c r="L75">
        <f>IF(L78=1,IF(COUNTIFS($D$14:$D$71,"ECU",L14:L71,"NO")&gt;0,1,0),0)</f>
        <v/>
      </c>
      <c r="O75">
        <f>IF(O78=1,IF(COUNTIFS($D$14:$D$71,"ECU",O14:O71,"NO")&gt;0,1,0),0)</f>
        <v/>
      </c>
      <c r="R75">
        <f>IF(R78=1,IF(COUNTIFS($D$14:$D$71,"ECU",R14:R71,"NO")&gt;0,1,0),0)</f>
        <v/>
      </c>
      <c r="U75">
        <f>IF(U78=1,IF(COUNTIFS($D$14:$D$71,"ECU",U14:U71,"NO")&gt;0,1,0),0)</f>
        <v/>
      </c>
      <c r="X75">
        <f>IF(X78=1,IF(COUNTIFS($D$14:$D$71,"ECU",X14:X71,"NO")&gt;0,1,0),0)</f>
        <v/>
      </c>
    </row>
    <row r="76">
      <c r="C76" s="4" t="inlineStr">
        <is>
          <t>ECN con error (1 = sí)</t>
        </is>
      </c>
      <c r="I76">
        <f>IF(I78=1,IF(COUNTIFS($D$14:$D$71,"ECN",I14:I71,"NO")&gt;0,1,0),0)</f>
        <v/>
      </c>
      <c r="L76">
        <f>IF(L78=1,IF(COUNTIFS($D$14:$D$71,"ECN",L14:L71,"NO")&gt;0,1,0),0)</f>
        <v/>
      </c>
      <c r="O76">
        <f>IF(O78=1,IF(COUNTIFS($D$14:$D$71,"ECN",O14:O71,"NO")&gt;0,1,0),0)</f>
        <v/>
      </c>
      <c r="R76">
        <f>IF(R78=1,IF(COUNTIFS($D$14:$D$71,"ECN",R14:R71,"NO")&gt;0,1,0),0)</f>
        <v/>
      </c>
      <c r="U76">
        <f>IF(U78=1,IF(COUNTIFS($D$14:$D$71,"ECN",U14:U71,"NO")&gt;0,1,0),0)</f>
        <v/>
      </c>
      <c r="X76">
        <f>IF(X78=1,IF(COUNTIFS($D$14:$D$71,"ECN",X14:X71,"NO")&gt;0,1,0),0)</f>
        <v/>
      </c>
    </row>
    <row r="77">
      <c r="C77" s="4" t="inlineStr">
        <is>
          <t>ECC con error (1 = sí)</t>
        </is>
      </c>
      <c r="I77">
        <f>IF(I78=1,IF(COUNTIFS($D$14:$D$71,"ECC",I14:I71,"NO")&gt;0,1,0),0)</f>
        <v/>
      </c>
      <c r="L77">
        <f>IF(L78=1,IF(COUNTIFS($D$14:$D$71,"ECC",L14:L71,"NO")&gt;0,1,0),0)</f>
        <v/>
      </c>
      <c r="O77">
        <f>IF(O78=1,IF(COUNTIFS($D$14:$D$71,"ECC",O14:O71,"NO")&gt;0,1,0),0)</f>
        <v/>
      </c>
      <c r="R77">
        <f>IF(R78=1,IF(COUNTIFS($D$14:$D$71,"ECC",R14:R71,"NO")&gt;0,1,0),0)</f>
        <v/>
      </c>
      <c r="U77">
        <f>IF(U78=1,IF(COUNTIFS($D$14:$D$71,"ECC",U14:U71,"NO")&gt;0,1,0),0)</f>
        <v/>
      </c>
      <c r="X77">
        <f>IF(X78=1,IF(COUNTIFS($D$14:$D$71,"ECC",X14:X71,"NO")&gt;0,1,0),0)</f>
        <v/>
      </c>
    </row>
    <row r="78">
      <c r="C78" s="4" t="inlineStr">
        <is>
          <t>Conversación evaluada (1 = sí)</t>
        </is>
      </c>
      <c r="I78">
        <f>IF(COUNTA(I14:I71)&gt;0,1,0)</f>
        <v/>
      </c>
      <c r="L78">
        <f>IF(COUNTA(L14:L71)&gt;0,1,0)</f>
        <v/>
      </c>
      <c r="O78">
        <f>IF(COUNTA(O14:O71)&gt;0,1,0)</f>
        <v/>
      </c>
      <c r="R78">
        <f>IF(COUNTA(R14:R71)&gt;0,1,0)</f>
        <v/>
      </c>
      <c r="U78">
        <f>IF(COUNTA(U14:U71)&gt;0,1,0)</f>
        <v/>
      </c>
      <c r="X78">
        <f>IF(COUNTA(X14:X71)&gt;0,1,0)</f>
        <v/>
      </c>
    </row>
    <row r="79">
      <c r="C79" s="4" t="inlineStr">
        <is>
          <t>Casillas aplicables sin diligenciar</t>
        </is>
      </c>
      <c r="I79">
        <f>IF(I78=1,SUMPRODUCT(($E$14:$E$71=1)*(I14:I71="")),0)</f>
        <v/>
      </c>
      <c r="L79">
        <f>IF(L78=1,SUMPRODUCT(($E$14:$E$71=1)*(L14:L71="")),0)</f>
        <v/>
      </c>
      <c r="O79">
        <f>IF(O78=1,SUMPRODUCT(($E$14:$E$71=1)*(O14:O71="")),0)</f>
        <v/>
      </c>
      <c r="R79">
        <f>IF(R78=1,SUMPRODUCT(($E$14:$E$71=1)*(R14:R71="")),0)</f>
        <v/>
      </c>
      <c r="U79">
        <f>IF(U78=1,SUMPRODUCT(($E$14:$E$71=1)*(U14:U71="")),0)</f>
        <v/>
      </c>
      <c r="X79">
        <f>IF(X78=1,SUMPRODUCT(($E$14:$E$71=1)*(X14:X71="")),0)</f>
        <v/>
      </c>
    </row>
  </sheetData>
  <mergeCells count="18">
    <mergeCell ref="X10:Z10"/>
    <mergeCell ref="I11:K11"/>
    <mergeCell ref="X11:Z11"/>
    <mergeCell ref="I10:K10"/>
    <mergeCell ref="L11:N11"/>
    <mergeCell ref="L10:N10"/>
    <mergeCell ref="R11:T11"/>
    <mergeCell ref="R10:T10"/>
    <mergeCell ref="X9:Z9"/>
    <mergeCell ref="U10:W10"/>
    <mergeCell ref="I9:K9"/>
    <mergeCell ref="O9:Q9"/>
    <mergeCell ref="L9:N9"/>
    <mergeCell ref="R9:T9"/>
    <mergeCell ref="U9:W9"/>
    <mergeCell ref="U11:W11"/>
    <mergeCell ref="O10:Q10"/>
    <mergeCell ref="O11:Q11"/>
  </mergeCells>
  <dataValidations count="5">
    <dataValidation sqref="I14:I71 L14:L71 O14:O71 R14:R71 U14:U71 X14:X71" showDropDown="0" showInputMessage="0" showErrorMessage="0" allowBlank="1" type="list">
      <formula1>"SI,NO,N/A"</formula1>
    </dataValidation>
    <dataValidation sqref="B4" showDropDown="0" showInputMessage="0" showErrorMessage="0" allowBlank="1" type="list">
      <formula1>VARIABLES!$D$2:$D$5</formula1>
    </dataValidation>
    <dataValidation sqref="B5" showDropDown="0" showInputMessage="0" showErrorMessage="0" allowBlank="1" type="list">
      <formula1>VARIABLES!$E$2:$E$4</formula1>
    </dataValidation>
    <dataValidation sqref="I11 L11 O11 R11 U11 X11" showDropDown="0" showInputMessage="0" showErrorMessage="0" allowBlank="1" type="list">
      <formula1>VARIABLES!$B$2:$B$3</formula1>
    </dataValidation>
    <dataValidation sqref="B6" showDropDown="0" showInputMessage="0" showErrorMessage="0" allowBlank="1" type="list">
      <formula1>VARIABLES!$C$2:$C$13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11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3" t="inlineStr">
        <is>
          <t>RESUMEN · % de cumplimiento por criterio y asesor</t>
        </is>
      </c>
    </row>
    <row r="5" ht="45" customHeight="1">
      <c r="A5" s="6" t="inlineStr">
        <is>
          <t>Código</t>
        </is>
      </c>
      <c r="B5" s="6" t="inlineStr">
        <is>
          <t>Criterio</t>
        </is>
      </c>
      <c r="C5" s="6" t="inlineStr">
        <is>
          <t>PROMEDIO</t>
        </is>
      </c>
      <c r="D5" s="6">
        <f>IF('ASESOR 01'!B3="","ASESOR 01",'ASESOR 01'!B3)</f>
        <v/>
      </c>
      <c r="E5" s="6">
        <f>IF('ASESOR 02'!B3="","ASESOR 02",'ASESOR 02'!B3)</f>
        <v/>
      </c>
      <c r="F5" s="6">
        <f>IF('ASESOR 03'!B3="","ASESOR 03",'ASESOR 03'!B3)</f>
        <v/>
      </c>
      <c r="G5" s="6">
        <f>IF('ASESOR 04'!B3="","ASESOR 04",'ASESOR 04'!B3)</f>
        <v/>
      </c>
      <c r="H5" s="6">
        <f>IF('ASESOR 05'!B3="","ASESOR 05",'ASESOR 05'!B3)</f>
        <v/>
      </c>
      <c r="I5" s="6">
        <f>IF('ASESOR 06'!B3="","ASESOR 06",'ASESOR 06'!B3)</f>
        <v/>
      </c>
      <c r="J5" s="6">
        <f>IF('ASESOR 07'!B3="","ASESOR 07",'ASESOR 07'!B3)</f>
        <v/>
      </c>
      <c r="K5" s="6">
        <f>IF('ASESOR 08'!B3="","ASESOR 08",'ASESOR 08'!B3)</f>
        <v/>
      </c>
      <c r="L5" s="6">
        <f>IF('ASESOR 09'!B3="","ASESOR 09",'ASESOR 09'!B3)</f>
        <v/>
      </c>
      <c r="M5" s="6">
        <f>IF('ASESOR 10'!B3="","ASESOR 10",'ASESOR 10'!B3)</f>
        <v/>
      </c>
      <c r="N5" s="6">
        <f>IF('ASESOR 11'!B3="","ASESOR 11",'ASESOR 11'!B3)</f>
        <v/>
      </c>
      <c r="O5" s="6">
        <f>IF('ASESOR 12'!B3="","ASESOR 12",'ASESOR 12'!B3)</f>
        <v/>
      </c>
      <c r="P5" s="6">
        <f>IF('ASESOR 13'!B3="","ASESOR 13",'ASESOR 13'!B3)</f>
        <v/>
      </c>
    </row>
    <row r="6">
      <c r="A6" s="10">
        <f>CRITERIOS!B2</f>
        <v/>
      </c>
      <c r="B6" s="8">
        <f>CRITERIOS!D2</f>
        <v/>
      </c>
      <c r="C6" s="15">
        <f>IFERROR(AVERAGE(D6:P6),"")</f>
        <v/>
      </c>
      <c r="D6" s="15">
        <f>'ASESOR 01'!AC14</f>
        <v/>
      </c>
      <c r="E6" s="15">
        <f>'ASESOR 02'!AC14</f>
        <v/>
      </c>
      <c r="F6" s="15">
        <f>'ASESOR 03'!AC14</f>
        <v/>
      </c>
      <c r="G6" s="15">
        <f>'ASESOR 04'!AC14</f>
        <v/>
      </c>
      <c r="H6" s="15">
        <f>'ASESOR 05'!AC14</f>
        <v/>
      </c>
      <c r="I6" s="15">
        <f>'ASESOR 06'!AC14</f>
        <v/>
      </c>
      <c r="J6" s="15">
        <f>'ASESOR 07'!AC14</f>
        <v/>
      </c>
      <c r="K6" s="15">
        <f>'ASESOR 08'!AC14</f>
        <v/>
      </c>
      <c r="L6" s="15">
        <f>'ASESOR 09'!AC14</f>
        <v/>
      </c>
      <c r="M6" s="15">
        <f>'ASESOR 10'!AC14</f>
        <v/>
      </c>
      <c r="N6" s="15">
        <f>'ASESOR 11'!AC14</f>
        <v/>
      </c>
      <c r="O6" s="15">
        <f>'ASESOR 12'!AC14</f>
        <v/>
      </c>
      <c r="P6" s="15">
        <f>'ASESOR 13'!AC14</f>
        <v/>
      </c>
      <c r="Q6" s="10" t="n"/>
    </row>
    <row r="7">
      <c r="A7" s="10">
        <f>CRITERIOS!B3</f>
        <v/>
      </c>
      <c r="B7" s="8">
        <f>CRITERIOS!D3</f>
        <v/>
      </c>
      <c r="C7" s="15">
        <f>IFERROR(AVERAGE(D7:P7),"")</f>
        <v/>
      </c>
      <c r="D7" s="15">
        <f>'ASESOR 01'!AC15</f>
        <v/>
      </c>
      <c r="E7" s="15">
        <f>'ASESOR 02'!AC15</f>
        <v/>
      </c>
      <c r="F7" s="15">
        <f>'ASESOR 03'!AC15</f>
        <v/>
      </c>
      <c r="G7" s="15">
        <f>'ASESOR 04'!AC15</f>
        <v/>
      </c>
      <c r="H7" s="15">
        <f>'ASESOR 05'!AC15</f>
        <v/>
      </c>
      <c r="I7" s="15">
        <f>'ASESOR 06'!AC15</f>
        <v/>
      </c>
      <c r="J7" s="15">
        <f>'ASESOR 07'!AC15</f>
        <v/>
      </c>
      <c r="K7" s="15">
        <f>'ASESOR 08'!AC15</f>
        <v/>
      </c>
      <c r="L7" s="15">
        <f>'ASESOR 09'!AC15</f>
        <v/>
      </c>
      <c r="M7" s="15">
        <f>'ASESOR 10'!AC15</f>
        <v/>
      </c>
      <c r="N7" s="15">
        <f>'ASESOR 11'!AC15</f>
        <v/>
      </c>
      <c r="O7" s="15">
        <f>'ASESOR 12'!AC15</f>
        <v/>
      </c>
      <c r="P7" s="15">
        <f>'ASESOR 13'!AC15</f>
        <v/>
      </c>
      <c r="Q7" s="10" t="n"/>
    </row>
    <row r="8">
      <c r="A8" s="10">
        <f>CRITERIOS!B4</f>
        <v/>
      </c>
      <c r="B8" s="8">
        <f>CRITERIOS!D4</f>
        <v/>
      </c>
      <c r="C8" s="15">
        <f>IFERROR(AVERAGE(D8:P8),"")</f>
        <v/>
      </c>
      <c r="D8" s="15">
        <f>'ASESOR 01'!AC16</f>
        <v/>
      </c>
      <c r="E8" s="15">
        <f>'ASESOR 02'!AC16</f>
        <v/>
      </c>
      <c r="F8" s="15">
        <f>'ASESOR 03'!AC16</f>
        <v/>
      </c>
      <c r="G8" s="15">
        <f>'ASESOR 04'!AC16</f>
        <v/>
      </c>
      <c r="H8" s="15">
        <f>'ASESOR 05'!AC16</f>
        <v/>
      </c>
      <c r="I8" s="15">
        <f>'ASESOR 06'!AC16</f>
        <v/>
      </c>
      <c r="J8" s="15">
        <f>'ASESOR 07'!AC16</f>
        <v/>
      </c>
      <c r="K8" s="15">
        <f>'ASESOR 08'!AC16</f>
        <v/>
      </c>
      <c r="L8" s="15">
        <f>'ASESOR 09'!AC16</f>
        <v/>
      </c>
      <c r="M8" s="15">
        <f>'ASESOR 10'!AC16</f>
        <v/>
      </c>
      <c r="N8" s="15">
        <f>'ASESOR 11'!AC16</f>
        <v/>
      </c>
      <c r="O8" s="15">
        <f>'ASESOR 12'!AC16</f>
        <v/>
      </c>
      <c r="P8" s="15">
        <f>'ASESOR 13'!AC16</f>
        <v/>
      </c>
      <c r="Q8" s="10" t="n"/>
    </row>
    <row r="9">
      <c r="A9" s="10">
        <f>CRITERIOS!B5</f>
        <v/>
      </c>
      <c r="B9" s="8">
        <f>CRITERIOS!D5</f>
        <v/>
      </c>
      <c r="C9" s="15">
        <f>IFERROR(AVERAGE(D9:P9),"")</f>
        <v/>
      </c>
      <c r="D9" s="15">
        <f>'ASESOR 01'!AC17</f>
        <v/>
      </c>
      <c r="E9" s="15">
        <f>'ASESOR 02'!AC17</f>
        <v/>
      </c>
      <c r="F9" s="15">
        <f>'ASESOR 03'!AC17</f>
        <v/>
      </c>
      <c r="G9" s="15">
        <f>'ASESOR 04'!AC17</f>
        <v/>
      </c>
      <c r="H9" s="15">
        <f>'ASESOR 05'!AC17</f>
        <v/>
      </c>
      <c r="I9" s="15">
        <f>'ASESOR 06'!AC17</f>
        <v/>
      </c>
      <c r="J9" s="15">
        <f>'ASESOR 07'!AC17</f>
        <v/>
      </c>
      <c r="K9" s="15">
        <f>'ASESOR 08'!AC17</f>
        <v/>
      </c>
      <c r="L9" s="15">
        <f>'ASESOR 09'!AC17</f>
        <v/>
      </c>
      <c r="M9" s="15">
        <f>'ASESOR 10'!AC17</f>
        <v/>
      </c>
      <c r="N9" s="15">
        <f>'ASESOR 11'!AC17</f>
        <v/>
      </c>
      <c r="O9" s="15">
        <f>'ASESOR 12'!AC17</f>
        <v/>
      </c>
      <c r="P9" s="15">
        <f>'ASESOR 13'!AC17</f>
        <v/>
      </c>
      <c r="Q9" s="10" t="n"/>
    </row>
    <row r="10">
      <c r="A10" s="10">
        <f>CRITERIOS!B6</f>
        <v/>
      </c>
      <c r="B10" s="8">
        <f>CRITERIOS!D6</f>
        <v/>
      </c>
      <c r="C10" s="15">
        <f>IFERROR(AVERAGE(D10:P10),"")</f>
        <v/>
      </c>
      <c r="D10" s="15">
        <f>'ASESOR 01'!AC18</f>
        <v/>
      </c>
      <c r="E10" s="15">
        <f>'ASESOR 02'!AC18</f>
        <v/>
      </c>
      <c r="F10" s="15">
        <f>'ASESOR 03'!AC18</f>
        <v/>
      </c>
      <c r="G10" s="15">
        <f>'ASESOR 04'!AC18</f>
        <v/>
      </c>
      <c r="H10" s="15">
        <f>'ASESOR 05'!AC18</f>
        <v/>
      </c>
      <c r="I10" s="15">
        <f>'ASESOR 06'!AC18</f>
        <v/>
      </c>
      <c r="J10" s="15">
        <f>'ASESOR 07'!AC18</f>
        <v/>
      </c>
      <c r="K10" s="15">
        <f>'ASESOR 08'!AC18</f>
        <v/>
      </c>
      <c r="L10" s="15">
        <f>'ASESOR 09'!AC18</f>
        <v/>
      </c>
      <c r="M10" s="15">
        <f>'ASESOR 10'!AC18</f>
        <v/>
      </c>
      <c r="N10" s="15">
        <f>'ASESOR 11'!AC18</f>
        <v/>
      </c>
      <c r="O10" s="15">
        <f>'ASESOR 12'!AC18</f>
        <v/>
      </c>
      <c r="P10" s="15">
        <f>'ASESOR 13'!AC18</f>
        <v/>
      </c>
      <c r="Q10" s="10" t="n"/>
    </row>
    <row r="11">
      <c r="A11" s="10">
        <f>CRITERIOS!B7</f>
        <v/>
      </c>
      <c r="B11" s="8">
        <f>CRITERIOS!D7</f>
        <v/>
      </c>
      <c r="C11" s="15">
        <f>IFERROR(AVERAGE(D11:P11),"")</f>
        <v/>
      </c>
      <c r="D11" s="15">
        <f>'ASESOR 01'!AC19</f>
        <v/>
      </c>
      <c r="E11" s="15">
        <f>'ASESOR 02'!AC19</f>
        <v/>
      </c>
      <c r="F11" s="15">
        <f>'ASESOR 03'!AC19</f>
        <v/>
      </c>
      <c r="G11" s="15">
        <f>'ASESOR 04'!AC19</f>
        <v/>
      </c>
      <c r="H11" s="15">
        <f>'ASESOR 05'!AC19</f>
        <v/>
      </c>
      <c r="I11" s="15">
        <f>'ASESOR 06'!AC19</f>
        <v/>
      </c>
      <c r="J11" s="15">
        <f>'ASESOR 07'!AC19</f>
        <v/>
      </c>
      <c r="K11" s="15">
        <f>'ASESOR 08'!AC19</f>
        <v/>
      </c>
      <c r="L11" s="15">
        <f>'ASESOR 09'!AC19</f>
        <v/>
      </c>
      <c r="M11" s="15">
        <f>'ASESOR 10'!AC19</f>
        <v/>
      </c>
      <c r="N11" s="15">
        <f>'ASESOR 11'!AC19</f>
        <v/>
      </c>
      <c r="O11" s="15">
        <f>'ASESOR 12'!AC19</f>
        <v/>
      </c>
      <c r="P11" s="15">
        <f>'ASESOR 13'!AC19</f>
        <v/>
      </c>
      <c r="Q11" s="10" t="n"/>
    </row>
    <row r="12">
      <c r="A12" s="10">
        <f>CRITERIOS!B8</f>
        <v/>
      </c>
      <c r="B12" s="8">
        <f>CRITERIOS!D8</f>
        <v/>
      </c>
      <c r="C12" s="15">
        <f>IFERROR(AVERAGE(D12:P12),"")</f>
        <v/>
      </c>
      <c r="D12" s="15">
        <f>'ASESOR 01'!AC20</f>
        <v/>
      </c>
      <c r="E12" s="15">
        <f>'ASESOR 02'!AC20</f>
        <v/>
      </c>
      <c r="F12" s="15">
        <f>'ASESOR 03'!AC20</f>
        <v/>
      </c>
      <c r="G12" s="15">
        <f>'ASESOR 04'!AC20</f>
        <v/>
      </c>
      <c r="H12" s="15">
        <f>'ASESOR 05'!AC20</f>
        <v/>
      </c>
      <c r="I12" s="15">
        <f>'ASESOR 06'!AC20</f>
        <v/>
      </c>
      <c r="J12" s="15">
        <f>'ASESOR 07'!AC20</f>
        <v/>
      </c>
      <c r="K12" s="15">
        <f>'ASESOR 08'!AC20</f>
        <v/>
      </c>
      <c r="L12" s="15">
        <f>'ASESOR 09'!AC20</f>
        <v/>
      </c>
      <c r="M12" s="15">
        <f>'ASESOR 10'!AC20</f>
        <v/>
      </c>
      <c r="N12" s="15">
        <f>'ASESOR 11'!AC20</f>
        <v/>
      </c>
      <c r="O12" s="15">
        <f>'ASESOR 12'!AC20</f>
        <v/>
      </c>
      <c r="P12" s="15">
        <f>'ASESOR 13'!AC20</f>
        <v/>
      </c>
      <c r="Q12" s="10" t="n"/>
    </row>
    <row r="13">
      <c r="A13" s="10">
        <f>CRITERIOS!B9</f>
        <v/>
      </c>
      <c r="B13" s="8">
        <f>CRITERIOS!D9</f>
        <v/>
      </c>
      <c r="C13" s="15">
        <f>IFERROR(AVERAGE(D13:P13),"")</f>
        <v/>
      </c>
      <c r="D13" s="15">
        <f>'ASESOR 01'!AC21</f>
        <v/>
      </c>
      <c r="E13" s="15">
        <f>'ASESOR 02'!AC21</f>
        <v/>
      </c>
      <c r="F13" s="15">
        <f>'ASESOR 03'!AC21</f>
        <v/>
      </c>
      <c r="G13" s="15">
        <f>'ASESOR 04'!AC21</f>
        <v/>
      </c>
      <c r="H13" s="15">
        <f>'ASESOR 05'!AC21</f>
        <v/>
      </c>
      <c r="I13" s="15">
        <f>'ASESOR 06'!AC21</f>
        <v/>
      </c>
      <c r="J13" s="15">
        <f>'ASESOR 07'!AC21</f>
        <v/>
      </c>
      <c r="K13" s="15">
        <f>'ASESOR 08'!AC21</f>
        <v/>
      </c>
      <c r="L13" s="15">
        <f>'ASESOR 09'!AC21</f>
        <v/>
      </c>
      <c r="M13" s="15">
        <f>'ASESOR 10'!AC21</f>
        <v/>
      </c>
      <c r="N13" s="15">
        <f>'ASESOR 11'!AC21</f>
        <v/>
      </c>
      <c r="O13" s="15">
        <f>'ASESOR 12'!AC21</f>
        <v/>
      </c>
      <c r="P13" s="15">
        <f>'ASESOR 13'!AC21</f>
        <v/>
      </c>
      <c r="Q13" s="10" t="n"/>
    </row>
    <row r="14">
      <c r="A14" s="10">
        <f>CRITERIOS!B10</f>
        <v/>
      </c>
      <c r="B14" s="8">
        <f>CRITERIOS!D10</f>
        <v/>
      </c>
      <c r="C14" s="15">
        <f>IFERROR(AVERAGE(D14:P14),"")</f>
        <v/>
      </c>
      <c r="D14" s="15">
        <f>'ASESOR 01'!AC22</f>
        <v/>
      </c>
      <c r="E14" s="15">
        <f>'ASESOR 02'!AC22</f>
        <v/>
      </c>
      <c r="F14" s="15">
        <f>'ASESOR 03'!AC22</f>
        <v/>
      </c>
      <c r="G14" s="15">
        <f>'ASESOR 04'!AC22</f>
        <v/>
      </c>
      <c r="H14" s="15">
        <f>'ASESOR 05'!AC22</f>
        <v/>
      </c>
      <c r="I14" s="15">
        <f>'ASESOR 06'!AC22</f>
        <v/>
      </c>
      <c r="J14" s="15">
        <f>'ASESOR 07'!AC22</f>
        <v/>
      </c>
      <c r="K14" s="15">
        <f>'ASESOR 08'!AC22</f>
        <v/>
      </c>
      <c r="L14" s="15">
        <f>'ASESOR 09'!AC22</f>
        <v/>
      </c>
      <c r="M14" s="15">
        <f>'ASESOR 10'!AC22</f>
        <v/>
      </c>
      <c r="N14" s="15">
        <f>'ASESOR 11'!AC22</f>
        <v/>
      </c>
      <c r="O14" s="15">
        <f>'ASESOR 12'!AC22</f>
        <v/>
      </c>
      <c r="P14" s="15">
        <f>'ASESOR 13'!AC22</f>
        <v/>
      </c>
      <c r="Q14" s="10" t="n"/>
    </row>
    <row r="15">
      <c r="A15" s="10">
        <f>CRITERIOS!B11</f>
        <v/>
      </c>
      <c r="B15" s="8">
        <f>CRITERIOS!D11</f>
        <v/>
      </c>
      <c r="C15" s="15">
        <f>IFERROR(AVERAGE(D15:P15),"")</f>
        <v/>
      </c>
      <c r="D15" s="15">
        <f>'ASESOR 01'!AC23</f>
        <v/>
      </c>
      <c r="E15" s="15">
        <f>'ASESOR 02'!AC23</f>
        <v/>
      </c>
      <c r="F15" s="15">
        <f>'ASESOR 03'!AC23</f>
        <v/>
      </c>
      <c r="G15" s="15">
        <f>'ASESOR 04'!AC23</f>
        <v/>
      </c>
      <c r="H15" s="15">
        <f>'ASESOR 05'!AC23</f>
        <v/>
      </c>
      <c r="I15" s="15">
        <f>'ASESOR 06'!AC23</f>
        <v/>
      </c>
      <c r="J15" s="15">
        <f>'ASESOR 07'!AC23</f>
        <v/>
      </c>
      <c r="K15" s="15">
        <f>'ASESOR 08'!AC23</f>
        <v/>
      </c>
      <c r="L15" s="15">
        <f>'ASESOR 09'!AC23</f>
        <v/>
      </c>
      <c r="M15" s="15">
        <f>'ASESOR 10'!AC23</f>
        <v/>
      </c>
      <c r="N15" s="15">
        <f>'ASESOR 11'!AC23</f>
        <v/>
      </c>
      <c r="O15" s="15">
        <f>'ASESOR 12'!AC23</f>
        <v/>
      </c>
      <c r="P15" s="15">
        <f>'ASESOR 13'!AC23</f>
        <v/>
      </c>
      <c r="Q15" s="10" t="n"/>
    </row>
    <row r="16">
      <c r="A16" s="10">
        <f>CRITERIOS!B12</f>
        <v/>
      </c>
      <c r="B16" s="8">
        <f>CRITERIOS!D12</f>
        <v/>
      </c>
      <c r="C16" s="15">
        <f>IFERROR(AVERAGE(D16:P16),"")</f>
        <v/>
      </c>
      <c r="D16" s="15">
        <f>'ASESOR 01'!AC24</f>
        <v/>
      </c>
      <c r="E16" s="15">
        <f>'ASESOR 02'!AC24</f>
        <v/>
      </c>
      <c r="F16" s="15">
        <f>'ASESOR 03'!AC24</f>
        <v/>
      </c>
      <c r="G16" s="15">
        <f>'ASESOR 04'!AC24</f>
        <v/>
      </c>
      <c r="H16" s="15">
        <f>'ASESOR 05'!AC24</f>
        <v/>
      </c>
      <c r="I16" s="15">
        <f>'ASESOR 06'!AC24</f>
        <v/>
      </c>
      <c r="J16" s="15">
        <f>'ASESOR 07'!AC24</f>
        <v/>
      </c>
      <c r="K16" s="15">
        <f>'ASESOR 08'!AC24</f>
        <v/>
      </c>
      <c r="L16" s="15">
        <f>'ASESOR 09'!AC24</f>
        <v/>
      </c>
      <c r="M16" s="15">
        <f>'ASESOR 10'!AC24</f>
        <v/>
      </c>
      <c r="N16" s="15">
        <f>'ASESOR 11'!AC24</f>
        <v/>
      </c>
      <c r="O16" s="15">
        <f>'ASESOR 12'!AC24</f>
        <v/>
      </c>
      <c r="P16" s="15">
        <f>'ASESOR 13'!AC24</f>
        <v/>
      </c>
      <c r="Q16" s="10" t="n"/>
    </row>
    <row r="17">
      <c r="A17" s="10">
        <f>CRITERIOS!B13</f>
        <v/>
      </c>
      <c r="B17" s="8">
        <f>CRITERIOS!D13</f>
        <v/>
      </c>
      <c r="C17" s="15">
        <f>IFERROR(AVERAGE(D17:P17),"")</f>
        <v/>
      </c>
      <c r="D17" s="15">
        <f>'ASESOR 01'!AC25</f>
        <v/>
      </c>
      <c r="E17" s="15">
        <f>'ASESOR 02'!AC25</f>
        <v/>
      </c>
      <c r="F17" s="15">
        <f>'ASESOR 03'!AC25</f>
        <v/>
      </c>
      <c r="G17" s="15">
        <f>'ASESOR 04'!AC25</f>
        <v/>
      </c>
      <c r="H17" s="15">
        <f>'ASESOR 05'!AC25</f>
        <v/>
      </c>
      <c r="I17" s="15">
        <f>'ASESOR 06'!AC25</f>
        <v/>
      </c>
      <c r="J17" s="15">
        <f>'ASESOR 07'!AC25</f>
        <v/>
      </c>
      <c r="K17" s="15">
        <f>'ASESOR 08'!AC25</f>
        <v/>
      </c>
      <c r="L17" s="15">
        <f>'ASESOR 09'!AC25</f>
        <v/>
      </c>
      <c r="M17" s="15">
        <f>'ASESOR 10'!AC25</f>
        <v/>
      </c>
      <c r="N17" s="15">
        <f>'ASESOR 11'!AC25</f>
        <v/>
      </c>
      <c r="O17" s="15">
        <f>'ASESOR 12'!AC25</f>
        <v/>
      </c>
      <c r="P17" s="15">
        <f>'ASESOR 13'!AC25</f>
        <v/>
      </c>
      <c r="Q17" s="10" t="n"/>
    </row>
    <row r="18">
      <c r="A18" s="10">
        <f>CRITERIOS!B14</f>
        <v/>
      </c>
      <c r="B18" s="8">
        <f>CRITERIOS!D14</f>
        <v/>
      </c>
      <c r="C18" s="15">
        <f>IFERROR(AVERAGE(D18:P18),"")</f>
        <v/>
      </c>
      <c r="D18" s="15">
        <f>'ASESOR 01'!AC26</f>
        <v/>
      </c>
      <c r="E18" s="15">
        <f>'ASESOR 02'!AC26</f>
        <v/>
      </c>
      <c r="F18" s="15">
        <f>'ASESOR 03'!AC26</f>
        <v/>
      </c>
      <c r="G18" s="15">
        <f>'ASESOR 04'!AC26</f>
        <v/>
      </c>
      <c r="H18" s="15">
        <f>'ASESOR 05'!AC26</f>
        <v/>
      </c>
      <c r="I18" s="15">
        <f>'ASESOR 06'!AC26</f>
        <v/>
      </c>
      <c r="J18" s="15">
        <f>'ASESOR 07'!AC26</f>
        <v/>
      </c>
      <c r="K18" s="15">
        <f>'ASESOR 08'!AC26</f>
        <v/>
      </c>
      <c r="L18" s="15">
        <f>'ASESOR 09'!AC26</f>
        <v/>
      </c>
      <c r="M18" s="15">
        <f>'ASESOR 10'!AC26</f>
        <v/>
      </c>
      <c r="N18" s="15">
        <f>'ASESOR 11'!AC26</f>
        <v/>
      </c>
      <c r="O18" s="15">
        <f>'ASESOR 12'!AC26</f>
        <v/>
      </c>
      <c r="P18" s="15">
        <f>'ASESOR 13'!AC26</f>
        <v/>
      </c>
      <c r="Q18" s="10" t="n"/>
    </row>
    <row r="19">
      <c r="A19" s="10">
        <f>CRITERIOS!B15</f>
        <v/>
      </c>
      <c r="B19" s="8">
        <f>CRITERIOS!D15</f>
        <v/>
      </c>
      <c r="C19" s="15">
        <f>IFERROR(AVERAGE(D19:P19),"")</f>
        <v/>
      </c>
      <c r="D19" s="15">
        <f>'ASESOR 01'!AC27</f>
        <v/>
      </c>
      <c r="E19" s="15">
        <f>'ASESOR 02'!AC27</f>
        <v/>
      </c>
      <c r="F19" s="15">
        <f>'ASESOR 03'!AC27</f>
        <v/>
      </c>
      <c r="G19" s="15">
        <f>'ASESOR 04'!AC27</f>
        <v/>
      </c>
      <c r="H19" s="15">
        <f>'ASESOR 05'!AC27</f>
        <v/>
      </c>
      <c r="I19" s="15">
        <f>'ASESOR 06'!AC27</f>
        <v/>
      </c>
      <c r="J19" s="15">
        <f>'ASESOR 07'!AC27</f>
        <v/>
      </c>
      <c r="K19" s="15">
        <f>'ASESOR 08'!AC27</f>
        <v/>
      </c>
      <c r="L19" s="15">
        <f>'ASESOR 09'!AC27</f>
        <v/>
      </c>
      <c r="M19" s="15">
        <f>'ASESOR 10'!AC27</f>
        <v/>
      </c>
      <c r="N19" s="15">
        <f>'ASESOR 11'!AC27</f>
        <v/>
      </c>
      <c r="O19" s="15">
        <f>'ASESOR 12'!AC27</f>
        <v/>
      </c>
      <c r="P19" s="15">
        <f>'ASESOR 13'!AC27</f>
        <v/>
      </c>
      <c r="Q19" s="10" t="n"/>
    </row>
    <row r="20">
      <c r="A20" s="10">
        <f>CRITERIOS!B16</f>
        <v/>
      </c>
      <c r="B20" s="8">
        <f>CRITERIOS!D16</f>
        <v/>
      </c>
      <c r="C20" s="15">
        <f>IFERROR(AVERAGE(D20:P20),"")</f>
        <v/>
      </c>
      <c r="D20" s="15">
        <f>'ASESOR 01'!AC28</f>
        <v/>
      </c>
      <c r="E20" s="15">
        <f>'ASESOR 02'!AC28</f>
        <v/>
      </c>
      <c r="F20" s="15">
        <f>'ASESOR 03'!AC28</f>
        <v/>
      </c>
      <c r="G20" s="15">
        <f>'ASESOR 04'!AC28</f>
        <v/>
      </c>
      <c r="H20" s="15">
        <f>'ASESOR 05'!AC28</f>
        <v/>
      </c>
      <c r="I20" s="15">
        <f>'ASESOR 06'!AC28</f>
        <v/>
      </c>
      <c r="J20" s="15">
        <f>'ASESOR 07'!AC28</f>
        <v/>
      </c>
      <c r="K20" s="15">
        <f>'ASESOR 08'!AC28</f>
        <v/>
      </c>
      <c r="L20" s="15">
        <f>'ASESOR 09'!AC28</f>
        <v/>
      </c>
      <c r="M20" s="15">
        <f>'ASESOR 10'!AC28</f>
        <v/>
      </c>
      <c r="N20" s="15">
        <f>'ASESOR 11'!AC28</f>
        <v/>
      </c>
      <c r="O20" s="15">
        <f>'ASESOR 12'!AC28</f>
        <v/>
      </c>
      <c r="P20" s="15">
        <f>'ASESOR 13'!AC28</f>
        <v/>
      </c>
      <c r="Q20" s="10" t="n"/>
    </row>
    <row r="21">
      <c r="A21" s="10">
        <f>CRITERIOS!B17</f>
        <v/>
      </c>
      <c r="B21" s="8">
        <f>CRITERIOS!D17</f>
        <v/>
      </c>
      <c r="C21" s="15">
        <f>IFERROR(AVERAGE(D21:P21),"")</f>
        <v/>
      </c>
      <c r="D21" s="15">
        <f>'ASESOR 01'!AC29</f>
        <v/>
      </c>
      <c r="E21" s="15">
        <f>'ASESOR 02'!AC29</f>
        <v/>
      </c>
      <c r="F21" s="15">
        <f>'ASESOR 03'!AC29</f>
        <v/>
      </c>
      <c r="G21" s="15">
        <f>'ASESOR 04'!AC29</f>
        <v/>
      </c>
      <c r="H21" s="15">
        <f>'ASESOR 05'!AC29</f>
        <v/>
      </c>
      <c r="I21" s="15">
        <f>'ASESOR 06'!AC29</f>
        <v/>
      </c>
      <c r="J21" s="15">
        <f>'ASESOR 07'!AC29</f>
        <v/>
      </c>
      <c r="K21" s="15">
        <f>'ASESOR 08'!AC29</f>
        <v/>
      </c>
      <c r="L21" s="15">
        <f>'ASESOR 09'!AC29</f>
        <v/>
      </c>
      <c r="M21" s="15">
        <f>'ASESOR 10'!AC29</f>
        <v/>
      </c>
      <c r="N21" s="15">
        <f>'ASESOR 11'!AC29</f>
        <v/>
      </c>
      <c r="O21" s="15">
        <f>'ASESOR 12'!AC29</f>
        <v/>
      </c>
      <c r="P21" s="15">
        <f>'ASESOR 13'!AC29</f>
        <v/>
      </c>
      <c r="Q21" s="10" t="n"/>
    </row>
    <row r="22">
      <c r="A22" s="10">
        <f>CRITERIOS!B18</f>
        <v/>
      </c>
      <c r="B22" s="8">
        <f>CRITERIOS!D18</f>
        <v/>
      </c>
      <c r="C22" s="15">
        <f>IFERROR(AVERAGE(D22:P22),"")</f>
        <v/>
      </c>
      <c r="D22" s="15">
        <f>'ASESOR 01'!AC30</f>
        <v/>
      </c>
      <c r="E22" s="15">
        <f>'ASESOR 02'!AC30</f>
        <v/>
      </c>
      <c r="F22" s="15">
        <f>'ASESOR 03'!AC30</f>
        <v/>
      </c>
      <c r="G22" s="15">
        <f>'ASESOR 04'!AC30</f>
        <v/>
      </c>
      <c r="H22" s="15">
        <f>'ASESOR 05'!AC30</f>
        <v/>
      </c>
      <c r="I22" s="15">
        <f>'ASESOR 06'!AC30</f>
        <v/>
      </c>
      <c r="J22" s="15">
        <f>'ASESOR 07'!AC30</f>
        <v/>
      </c>
      <c r="K22" s="15">
        <f>'ASESOR 08'!AC30</f>
        <v/>
      </c>
      <c r="L22" s="15">
        <f>'ASESOR 09'!AC30</f>
        <v/>
      </c>
      <c r="M22" s="15">
        <f>'ASESOR 10'!AC30</f>
        <v/>
      </c>
      <c r="N22" s="15">
        <f>'ASESOR 11'!AC30</f>
        <v/>
      </c>
      <c r="O22" s="15">
        <f>'ASESOR 12'!AC30</f>
        <v/>
      </c>
      <c r="P22" s="15">
        <f>'ASESOR 13'!AC30</f>
        <v/>
      </c>
      <c r="Q22" s="10" t="n"/>
    </row>
    <row r="23">
      <c r="A23" s="10">
        <f>CRITERIOS!B19</f>
        <v/>
      </c>
      <c r="B23" s="8">
        <f>CRITERIOS!D19</f>
        <v/>
      </c>
      <c r="C23" s="15">
        <f>IFERROR(AVERAGE(D23:P23),"")</f>
        <v/>
      </c>
      <c r="D23" s="15">
        <f>'ASESOR 01'!AC31</f>
        <v/>
      </c>
      <c r="E23" s="15">
        <f>'ASESOR 02'!AC31</f>
        <v/>
      </c>
      <c r="F23" s="15">
        <f>'ASESOR 03'!AC31</f>
        <v/>
      </c>
      <c r="G23" s="15">
        <f>'ASESOR 04'!AC31</f>
        <v/>
      </c>
      <c r="H23" s="15">
        <f>'ASESOR 05'!AC31</f>
        <v/>
      </c>
      <c r="I23" s="15">
        <f>'ASESOR 06'!AC31</f>
        <v/>
      </c>
      <c r="J23" s="15">
        <f>'ASESOR 07'!AC31</f>
        <v/>
      </c>
      <c r="K23" s="15">
        <f>'ASESOR 08'!AC31</f>
        <v/>
      </c>
      <c r="L23" s="15">
        <f>'ASESOR 09'!AC31</f>
        <v/>
      </c>
      <c r="M23" s="15">
        <f>'ASESOR 10'!AC31</f>
        <v/>
      </c>
      <c r="N23" s="15">
        <f>'ASESOR 11'!AC31</f>
        <v/>
      </c>
      <c r="O23" s="15">
        <f>'ASESOR 12'!AC31</f>
        <v/>
      </c>
      <c r="P23" s="15">
        <f>'ASESOR 13'!AC31</f>
        <v/>
      </c>
      <c r="Q23" s="10" t="n"/>
    </row>
    <row r="24">
      <c r="A24" s="10">
        <f>CRITERIOS!B20</f>
        <v/>
      </c>
      <c r="B24" s="8">
        <f>CRITERIOS!D20</f>
        <v/>
      </c>
      <c r="C24" s="15">
        <f>IFERROR(AVERAGE(D24:P24),"")</f>
        <v/>
      </c>
      <c r="D24" s="15">
        <f>'ASESOR 01'!AC32</f>
        <v/>
      </c>
      <c r="E24" s="15">
        <f>'ASESOR 02'!AC32</f>
        <v/>
      </c>
      <c r="F24" s="15">
        <f>'ASESOR 03'!AC32</f>
        <v/>
      </c>
      <c r="G24" s="15">
        <f>'ASESOR 04'!AC32</f>
        <v/>
      </c>
      <c r="H24" s="15">
        <f>'ASESOR 05'!AC32</f>
        <v/>
      </c>
      <c r="I24" s="15">
        <f>'ASESOR 06'!AC32</f>
        <v/>
      </c>
      <c r="J24" s="15">
        <f>'ASESOR 07'!AC32</f>
        <v/>
      </c>
      <c r="K24" s="15">
        <f>'ASESOR 08'!AC32</f>
        <v/>
      </c>
      <c r="L24" s="15">
        <f>'ASESOR 09'!AC32</f>
        <v/>
      </c>
      <c r="M24" s="15">
        <f>'ASESOR 10'!AC32</f>
        <v/>
      </c>
      <c r="N24" s="15">
        <f>'ASESOR 11'!AC32</f>
        <v/>
      </c>
      <c r="O24" s="15">
        <f>'ASESOR 12'!AC32</f>
        <v/>
      </c>
      <c r="P24" s="15">
        <f>'ASESOR 13'!AC32</f>
        <v/>
      </c>
      <c r="Q24" s="10" t="n"/>
    </row>
    <row r="25">
      <c r="A25" s="10">
        <f>CRITERIOS!B21</f>
        <v/>
      </c>
      <c r="B25" s="8">
        <f>CRITERIOS!D21</f>
        <v/>
      </c>
      <c r="C25" s="15">
        <f>IFERROR(AVERAGE(D25:P25),"")</f>
        <v/>
      </c>
      <c r="D25" s="15">
        <f>'ASESOR 01'!AC33</f>
        <v/>
      </c>
      <c r="E25" s="15">
        <f>'ASESOR 02'!AC33</f>
        <v/>
      </c>
      <c r="F25" s="15">
        <f>'ASESOR 03'!AC33</f>
        <v/>
      </c>
      <c r="G25" s="15">
        <f>'ASESOR 04'!AC33</f>
        <v/>
      </c>
      <c r="H25" s="15">
        <f>'ASESOR 05'!AC33</f>
        <v/>
      </c>
      <c r="I25" s="15">
        <f>'ASESOR 06'!AC33</f>
        <v/>
      </c>
      <c r="J25" s="15">
        <f>'ASESOR 07'!AC33</f>
        <v/>
      </c>
      <c r="K25" s="15">
        <f>'ASESOR 08'!AC33</f>
        <v/>
      </c>
      <c r="L25" s="15">
        <f>'ASESOR 09'!AC33</f>
        <v/>
      </c>
      <c r="M25" s="15">
        <f>'ASESOR 10'!AC33</f>
        <v/>
      </c>
      <c r="N25" s="15">
        <f>'ASESOR 11'!AC33</f>
        <v/>
      </c>
      <c r="O25" s="15">
        <f>'ASESOR 12'!AC33</f>
        <v/>
      </c>
      <c r="P25" s="15">
        <f>'ASESOR 13'!AC33</f>
        <v/>
      </c>
      <c r="Q25" s="10" t="n"/>
    </row>
    <row r="26">
      <c r="A26" s="10">
        <f>CRITERIOS!B22</f>
        <v/>
      </c>
      <c r="B26" s="8">
        <f>CRITERIOS!D22</f>
        <v/>
      </c>
      <c r="C26" s="15">
        <f>IFERROR(AVERAGE(D26:P26),"")</f>
        <v/>
      </c>
      <c r="D26" s="15">
        <f>'ASESOR 01'!AC34</f>
        <v/>
      </c>
      <c r="E26" s="15">
        <f>'ASESOR 02'!AC34</f>
        <v/>
      </c>
      <c r="F26" s="15">
        <f>'ASESOR 03'!AC34</f>
        <v/>
      </c>
      <c r="G26" s="15">
        <f>'ASESOR 04'!AC34</f>
        <v/>
      </c>
      <c r="H26" s="15">
        <f>'ASESOR 05'!AC34</f>
        <v/>
      </c>
      <c r="I26" s="15">
        <f>'ASESOR 06'!AC34</f>
        <v/>
      </c>
      <c r="J26" s="15">
        <f>'ASESOR 07'!AC34</f>
        <v/>
      </c>
      <c r="K26" s="15">
        <f>'ASESOR 08'!AC34</f>
        <v/>
      </c>
      <c r="L26" s="15">
        <f>'ASESOR 09'!AC34</f>
        <v/>
      </c>
      <c r="M26" s="15">
        <f>'ASESOR 10'!AC34</f>
        <v/>
      </c>
      <c r="N26" s="15">
        <f>'ASESOR 11'!AC34</f>
        <v/>
      </c>
      <c r="O26" s="15">
        <f>'ASESOR 12'!AC34</f>
        <v/>
      </c>
      <c r="P26" s="15">
        <f>'ASESOR 13'!AC34</f>
        <v/>
      </c>
      <c r="Q26" s="10" t="n"/>
    </row>
    <row r="27">
      <c r="A27" s="10">
        <f>CRITERIOS!B23</f>
        <v/>
      </c>
      <c r="B27" s="8">
        <f>CRITERIOS!D23</f>
        <v/>
      </c>
      <c r="C27" s="15">
        <f>IFERROR(AVERAGE(D27:P27),"")</f>
        <v/>
      </c>
      <c r="D27" s="15">
        <f>'ASESOR 01'!AC35</f>
        <v/>
      </c>
      <c r="E27" s="15">
        <f>'ASESOR 02'!AC35</f>
        <v/>
      </c>
      <c r="F27" s="15">
        <f>'ASESOR 03'!AC35</f>
        <v/>
      </c>
      <c r="G27" s="15">
        <f>'ASESOR 04'!AC35</f>
        <v/>
      </c>
      <c r="H27" s="15">
        <f>'ASESOR 05'!AC35</f>
        <v/>
      </c>
      <c r="I27" s="15">
        <f>'ASESOR 06'!AC35</f>
        <v/>
      </c>
      <c r="J27" s="15">
        <f>'ASESOR 07'!AC35</f>
        <v/>
      </c>
      <c r="K27" s="15">
        <f>'ASESOR 08'!AC35</f>
        <v/>
      </c>
      <c r="L27" s="15">
        <f>'ASESOR 09'!AC35</f>
        <v/>
      </c>
      <c r="M27" s="15">
        <f>'ASESOR 10'!AC35</f>
        <v/>
      </c>
      <c r="N27" s="15">
        <f>'ASESOR 11'!AC35</f>
        <v/>
      </c>
      <c r="O27" s="15">
        <f>'ASESOR 12'!AC35</f>
        <v/>
      </c>
      <c r="P27" s="15">
        <f>'ASESOR 13'!AC35</f>
        <v/>
      </c>
      <c r="Q27" s="10" t="n"/>
    </row>
    <row r="28">
      <c r="A28" s="10">
        <f>CRITERIOS!B24</f>
        <v/>
      </c>
      <c r="B28" s="8">
        <f>CRITERIOS!D24</f>
        <v/>
      </c>
      <c r="C28" s="15">
        <f>IFERROR(AVERAGE(D28:P28),"")</f>
        <v/>
      </c>
      <c r="D28" s="15">
        <f>'ASESOR 01'!AC36</f>
        <v/>
      </c>
      <c r="E28" s="15">
        <f>'ASESOR 02'!AC36</f>
        <v/>
      </c>
      <c r="F28" s="15">
        <f>'ASESOR 03'!AC36</f>
        <v/>
      </c>
      <c r="G28" s="15">
        <f>'ASESOR 04'!AC36</f>
        <v/>
      </c>
      <c r="H28" s="15">
        <f>'ASESOR 05'!AC36</f>
        <v/>
      </c>
      <c r="I28" s="15">
        <f>'ASESOR 06'!AC36</f>
        <v/>
      </c>
      <c r="J28" s="15">
        <f>'ASESOR 07'!AC36</f>
        <v/>
      </c>
      <c r="K28" s="15">
        <f>'ASESOR 08'!AC36</f>
        <v/>
      </c>
      <c r="L28" s="15">
        <f>'ASESOR 09'!AC36</f>
        <v/>
      </c>
      <c r="M28" s="15">
        <f>'ASESOR 10'!AC36</f>
        <v/>
      </c>
      <c r="N28" s="15">
        <f>'ASESOR 11'!AC36</f>
        <v/>
      </c>
      <c r="O28" s="15">
        <f>'ASESOR 12'!AC36</f>
        <v/>
      </c>
      <c r="P28" s="15">
        <f>'ASESOR 13'!AC36</f>
        <v/>
      </c>
      <c r="Q28" s="10" t="n"/>
    </row>
    <row r="29">
      <c r="A29" s="10">
        <f>CRITERIOS!B25</f>
        <v/>
      </c>
      <c r="B29" s="8">
        <f>CRITERIOS!D25</f>
        <v/>
      </c>
      <c r="C29" s="15">
        <f>IFERROR(AVERAGE(D29:P29),"")</f>
        <v/>
      </c>
      <c r="D29" s="15">
        <f>'ASESOR 01'!AC37</f>
        <v/>
      </c>
      <c r="E29" s="15">
        <f>'ASESOR 02'!AC37</f>
        <v/>
      </c>
      <c r="F29" s="15">
        <f>'ASESOR 03'!AC37</f>
        <v/>
      </c>
      <c r="G29" s="15">
        <f>'ASESOR 04'!AC37</f>
        <v/>
      </c>
      <c r="H29" s="15">
        <f>'ASESOR 05'!AC37</f>
        <v/>
      </c>
      <c r="I29" s="15">
        <f>'ASESOR 06'!AC37</f>
        <v/>
      </c>
      <c r="J29" s="15">
        <f>'ASESOR 07'!AC37</f>
        <v/>
      </c>
      <c r="K29" s="15">
        <f>'ASESOR 08'!AC37</f>
        <v/>
      </c>
      <c r="L29" s="15">
        <f>'ASESOR 09'!AC37</f>
        <v/>
      </c>
      <c r="M29" s="15">
        <f>'ASESOR 10'!AC37</f>
        <v/>
      </c>
      <c r="N29" s="15">
        <f>'ASESOR 11'!AC37</f>
        <v/>
      </c>
      <c r="O29" s="15">
        <f>'ASESOR 12'!AC37</f>
        <v/>
      </c>
      <c r="P29" s="15">
        <f>'ASESOR 13'!AC37</f>
        <v/>
      </c>
      <c r="Q29" s="10" t="n"/>
    </row>
    <row r="30">
      <c r="A30" s="10">
        <f>CRITERIOS!B26</f>
        <v/>
      </c>
      <c r="B30" s="8">
        <f>CRITERIOS!D26</f>
        <v/>
      </c>
      <c r="C30" s="15">
        <f>IFERROR(AVERAGE(D30:P30),"")</f>
        <v/>
      </c>
      <c r="D30" s="15">
        <f>'ASESOR 01'!AC38</f>
        <v/>
      </c>
      <c r="E30" s="15">
        <f>'ASESOR 02'!AC38</f>
        <v/>
      </c>
      <c r="F30" s="15">
        <f>'ASESOR 03'!AC38</f>
        <v/>
      </c>
      <c r="G30" s="15">
        <f>'ASESOR 04'!AC38</f>
        <v/>
      </c>
      <c r="H30" s="15">
        <f>'ASESOR 05'!AC38</f>
        <v/>
      </c>
      <c r="I30" s="15">
        <f>'ASESOR 06'!AC38</f>
        <v/>
      </c>
      <c r="J30" s="15">
        <f>'ASESOR 07'!AC38</f>
        <v/>
      </c>
      <c r="K30" s="15">
        <f>'ASESOR 08'!AC38</f>
        <v/>
      </c>
      <c r="L30" s="15">
        <f>'ASESOR 09'!AC38</f>
        <v/>
      </c>
      <c r="M30" s="15">
        <f>'ASESOR 10'!AC38</f>
        <v/>
      </c>
      <c r="N30" s="15">
        <f>'ASESOR 11'!AC38</f>
        <v/>
      </c>
      <c r="O30" s="15">
        <f>'ASESOR 12'!AC38</f>
        <v/>
      </c>
      <c r="P30" s="15">
        <f>'ASESOR 13'!AC38</f>
        <v/>
      </c>
      <c r="Q30" s="10" t="n"/>
    </row>
    <row r="31">
      <c r="A31" s="10">
        <f>CRITERIOS!B27</f>
        <v/>
      </c>
      <c r="B31" s="8">
        <f>CRITERIOS!D27</f>
        <v/>
      </c>
      <c r="C31" s="15">
        <f>IFERROR(AVERAGE(D31:P31),"")</f>
        <v/>
      </c>
      <c r="D31" s="15">
        <f>'ASESOR 01'!AC39</f>
        <v/>
      </c>
      <c r="E31" s="15">
        <f>'ASESOR 02'!AC39</f>
        <v/>
      </c>
      <c r="F31" s="15">
        <f>'ASESOR 03'!AC39</f>
        <v/>
      </c>
      <c r="G31" s="15">
        <f>'ASESOR 04'!AC39</f>
        <v/>
      </c>
      <c r="H31" s="15">
        <f>'ASESOR 05'!AC39</f>
        <v/>
      </c>
      <c r="I31" s="15">
        <f>'ASESOR 06'!AC39</f>
        <v/>
      </c>
      <c r="J31" s="15">
        <f>'ASESOR 07'!AC39</f>
        <v/>
      </c>
      <c r="K31" s="15">
        <f>'ASESOR 08'!AC39</f>
        <v/>
      </c>
      <c r="L31" s="15">
        <f>'ASESOR 09'!AC39</f>
        <v/>
      </c>
      <c r="M31" s="15">
        <f>'ASESOR 10'!AC39</f>
        <v/>
      </c>
      <c r="N31" s="15">
        <f>'ASESOR 11'!AC39</f>
        <v/>
      </c>
      <c r="O31" s="15">
        <f>'ASESOR 12'!AC39</f>
        <v/>
      </c>
      <c r="P31" s="15">
        <f>'ASESOR 13'!AC39</f>
        <v/>
      </c>
      <c r="Q31" s="10" t="n"/>
    </row>
    <row r="32">
      <c r="A32" s="10">
        <f>CRITERIOS!B28</f>
        <v/>
      </c>
      <c r="B32" s="8">
        <f>CRITERIOS!D28</f>
        <v/>
      </c>
      <c r="C32" s="15">
        <f>IFERROR(AVERAGE(D32:P32),"")</f>
        <v/>
      </c>
      <c r="D32" s="15">
        <f>'ASESOR 01'!AC40</f>
        <v/>
      </c>
      <c r="E32" s="15">
        <f>'ASESOR 02'!AC40</f>
        <v/>
      </c>
      <c r="F32" s="15">
        <f>'ASESOR 03'!AC40</f>
        <v/>
      </c>
      <c r="G32" s="15">
        <f>'ASESOR 04'!AC40</f>
        <v/>
      </c>
      <c r="H32" s="15">
        <f>'ASESOR 05'!AC40</f>
        <v/>
      </c>
      <c r="I32" s="15">
        <f>'ASESOR 06'!AC40</f>
        <v/>
      </c>
      <c r="J32" s="15">
        <f>'ASESOR 07'!AC40</f>
        <v/>
      </c>
      <c r="K32" s="15">
        <f>'ASESOR 08'!AC40</f>
        <v/>
      </c>
      <c r="L32" s="15">
        <f>'ASESOR 09'!AC40</f>
        <v/>
      </c>
      <c r="M32" s="15">
        <f>'ASESOR 10'!AC40</f>
        <v/>
      </c>
      <c r="N32" s="15">
        <f>'ASESOR 11'!AC40</f>
        <v/>
      </c>
      <c r="O32" s="15">
        <f>'ASESOR 12'!AC40</f>
        <v/>
      </c>
      <c r="P32" s="15">
        <f>'ASESOR 13'!AC40</f>
        <v/>
      </c>
      <c r="Q32" s="10" t="n"/>
    </row>
    <row r="33">
      <c r="A33" s="10">
        <f>CRITERIOS!B29</f>
        <v/>
      </c>
      <c r="B33" s="8">
        <f>CRITERIOS!D29</f>
        <v/>
      </c>
      <c r="C33" s="15">
        <f>IFERROR(AVERAGE(D33:P33),"")</f>
        <v/>
      </c>
      <c r="D33" s="15">
        <f>'ASESOR 01'!AC41</f>
        <v/>
      </c>
      <c r="E33" s="15">
        <f>'ASESOR 02'!AC41</f>
        <v/>
      </c>
      <c r="F33" s="15">
        <f>'ASESOR 03'!AC41</f>
        <v/>
      </c>
      <c r="G33" s="15">
        <f>'ASESOR 04'!AC41</f>
        <v/>
      </c>
      <c r="H33" s="15">
        <f>'ASESOR 05'!AC41</f>
        <v/>
      </c>
      <c r="I33" s="15">
        <f>'ASESOR 06'!AC41</f>
        <v/>
      </c>
      <c r="J33" s="15">
        <f>'ASESOR 07'!AC41</f>
        <v/>
      </c>
      <c r="K33" s="15">
        <f>'ASESOR 08'!AC41</f>
        <v/>
      </c>
      <c r="L33" s="15">
        <f>'ASESOR 09'!AC41</f>
        <v/>
      </c>
      <c r="M33" s="15">
        <f>'ASESOR 10'!AC41</f>
        <v/>
      </c>
      <c r="N33" s="15">
        <f>'ASESOR 11'!AC41</f>
        <v/>
      </c>
      <c r="O33" s="15">
        <f>'ASESOR 12'!AC41</f>
        <v/>
      </c>
      <c r="P33" s="15">
        <f>'ASESOR 13'!AC41</f>
        <v/>
      </c>
      <c r="Q33" s="10" t="n"/>
    </row>
    <row r="34">
      <c r="A34" s="10">
        <f>CRITERIOS!B30</f>
        <v/>
      </c>
      <c r="B34" s="8">
        <f>CRITERIOS!D30</f>
        <v/>
      </c>
      <c r="C34" s="15">
        <f>IFERROR(AVERAGE(D34:P34),"")</f>
        <v/>
      </c>
      <c r="D34" s="15">
        <f>'ASESOR 01'!AC42</f>
        <v/>
      </c>
      <c r="E34" s="15">
        <f>'ASESOR 02'!AC42</f>
        <v/>
      </c>
      <c r="F34" s="15">
        <f>'ASESOR 03'!AC42</f>
        <v/>
      </c>
      <c r="G34" s="15">
        <f>'ASESOR 04'!AC42</f>
        <v/>
      </c>
      <c r="H34" s="15">
        <f>'ASESOR 05'!AC42</f>
        <v/>
      </c>
      <c r="I34" s="15">
        <f>'ASESOR 06'!AC42</f>
        <v/>
      </c>
      <c r="J34" s="15">
        <f>'ASESOR 07'!AC42</f>
        <v/>
      </c>
      <c r="K34" s="15">
        <f>'ASESOR 08'!AC42</f>
        <v/>
      </c>
      <c r="L34" s="15">
        <f>'ASESOR 09'!AC42</f>
        <v/>
      </c>
      <c r="M34" s="15">
        <f>'ASESOR 10'!AC42</f>
        <v/>
      </c>
      <c r="N34" s="15">
        <f>'ASESOR 11'!AC42</f>
        <v/>
      </c>
      <c r="O34" s="15">
        <f>'ASESOR 12'!AC42</f>
        <v/>
      </c>
      <c r="P34" s="15">
        <f>'ASESOR 13'!AC42</f>
        <v/>
      </c>
      <c r="Q34" s="10" t="n"/>
    </row>
    <row r="35">
      <c r="A35" s="10">
        <f>CRITERIOS!B31</f>
        <v/>
      </c>
      <c r="B35" s="8">
        <f>CRITERIOS!D31</f>
        <v/>
      </c>
      <c r="C35" s="15">
        <f>IFERROR(AVERAGE(D35:P35),"")</f>
        <v/>
      </c>
      <c r="D35" s="15">
        <f>'ASESOR 01'!AC43</f>
        <v/>
      </c>
      <c r="E35" s="15">
        <f>'ASESOR 02'!AC43</f>
        <v/>
      </c>
      <c r="F35" s="15">
        <f>'ASESOR 03'!AC43</f>
        <v/>
      </c>
      <c r="G35" s="15">
        <f>'ASESOR 04'!AC43</f>
        <v/>
      </c>
      <c r="H35" s="15">
        <f>'ASESOR 05'!AC43</f>
        <v/>
      </c>
      <c r="I35" s="15">
        <f>'ASESOR 06'!AC43</f>
        <v/>
      </c>
      <c r="J35" s="15">
        <f>'ASESOR 07'!AC43</f>
        <v/>
      </c>
      <c r="K35" s="15">
        <f>'ASESOR 08'!AC43</f>
        <v/>
      </c>
      <c r="L35" s="15">
        <f>'ASESOR 09'!AC43</f>
        <v/>
      </c>
      <c r="M35" s="15">
        <f>'ASESOR 10'!AC43</f>
        <v/>
      </c>
      <c r="N35" s="15">
        <f>'ASESOR 11'!AC43</f>
        <v/>
      </c>
      <c r="O35" s="15">
        <f>'ASESOR 12'!AC43</f>
        <v/>
      </c>
      <c r="P35" s="15">
        <f>'ASESOR 13'!AC43</f>
        <v/>
      </c>
      <c r="Q35" s="10" t="n"/>
    </row>
    <row r="36">
      <c r="A36" s="10">
        <f>CRITERIOS!B32</f>
        <v/>
      </c>
      <c r="B36" s="8">
        <f>CRITERIOS!D32</f>
        <v/>
      </c>
      <c r="C36" s="15">
        <f>IFERROR(AVERAGE(D36:P36),"")</f>
        <v/>
      </c>
      <c r="D36" s="15">
        <f>'ASESOR 01'!AC44</f>
        <v/>
      </c>
      <c r="E36" s="15">
        <f>'ASESOR 02'!AC44</f>
        <v/>
      </c>
      <c r="F36" s="15">
        <f>'ASESOR 03'!AC44</f>
        <v/>
      </c>
      <c r="G36" s="15">
        <f>'ASESOR 04'!AC44</f>
        <v/>
      </c>
      <c r="H36" s="15">
        <f>'ASESOR 05'!AC44</f>
        <v/>
      </c>
      <c r="I36" s="15">
        <f>'ASESOR 06'!AC44</f>
        <v/>
      </c>
      <c r="J36" s="15">
        <f>'ASESOR 07'!AC44</f>
        <v/>
      </c>
      <c r="K36" s="15">
        <f>'ASESOR 08'!AC44</f>
        <v/>
      </c>
      <c r="L36" s="15">
        <f>'ASESOR 09'!AC44</f>
        <v/>
      </c>
      <c r="M36" s="15">
        <f>'ASESOR 10'!AC44</f>
        <v/>
      </c>
      <c r="N36" s="15">
        <f>'ASESOR 11'!AC44</f>
        <v/>
      </c>
      <c r="O36" s="15">
        <f>'ASESOR 12'!AC44</f>
        <v/>
      </c>
      <c r="P36" s="15">
        <f>'ASESOR 13'!AC44</f>
        <v/>
      </c>
      <c r="Q36" s="10" t="n"/>
    </row>
    <row r="37">
      <c r="A37" s="10">
        <f>CRITERIOS!B33</f>
        <v/>
      </c>
      <c r="B37" s="8">
        <f>CRITERIOS!D33</f>
        <v/>
      </c>
      <c r="C37" s="15">
        <f>IFERROR(AVERAGE(D37:P37),"")</f>
        <v/>
      </c>
      <c r="D37" s="15">
        <f>'ASESOR 01'!AC45</f>
        <v/>
      </c>
      <c r="E37" s="15">
        <f>'ASESOR 02'!AC45</f>
        <v/>
      </c>
      <c r="F37" s="15">
        <f>'ASESOR 03'!AC45</f>
        <v/>
      </c>
      <c r="G37" s="15">
        <f>'ASESOR 04'!AC45</f>
        <v/>
      </c>
      <c r="H37" s="15">
        <f>'ASESOR 05'!AC45</f>
        <v/>
      </c>
      <c r="I37" s="15">
        <f>'ASESOR 06'!AC45</f>
        <v/>
      </c>
      <c r="J37" s="15">
        <f>'ASESOR 07'!AC45</f>
        <v/>
      </c>
      <c r="K37" s="15">
        <f>'ASESOR 08'!AC45</f>
        <v/>
      </c>
      <c r="L37" s="15">
        <f>'ASESOR 09'!AC45</f>
        <v/>
      </c>
      <c r="M37" s="15">
        <f>'ASESOR 10'!AC45</f>
        <v/>
      </c>
      <c r="N37" s="15">
        <f>'ASESOR 11'!AC45</f>
        <v/>
      </c>
      <c r="O37" s="15">
        <f>'ASESOR 12'!AC45</f>
        <v/>
      </c>
      <c r="P37" s="15">
        <f>'ASESOR 13'!AC45</f>
        <v/>
      </c>
      <c r="Q37" s="10" t="n"/>
    </row>
    <row r="38">
      <c r="A38" s="10">
        <f>CRITERIOS!B34</f>
        <v/>
      </c>
      <c r="B38" s="8">
        <f>CRITERIOS!D34</f>
        <v/>
      </c>
      <c r="C38" s="15">
        <f>IFERROR(AVERAGE(D38:P38),"")</f>
        <v/>
      </c>
      <c r="D38" s="15">
        <f>'ASESOR 01'!AC46</f>
        <v/>
      </c>
      <c r="E38" s="15">
        <f>'ASESOR 02'!AC46</f>
        <v/>
      </c>
      <c r="F38" s="15">
        <f>'ASESOR 03'!AC46</f>
        <v/>
      </c>
      <c r="G38" s="15">
        <f>'ASESOR 04'!AC46</f>
        <v/>
      </c>
      <c r="H38" s="15">
        <f>'ASESOR 05'!AC46</f>
        <v/>
      </c>
      <c r="I38" s="15">
        <f>'ASESOR 06'!AC46</f>
        <v/>
      </c>
      <c r="J38" s="15">
        <f>'ASESOR 07'!AC46</f>
        <v/>
      </c>
      <c r="K38" s="15">
        <f>'ASESOR 08'!AC46</f>
        <v/>
      </c>
      <c r="L38" s="15">
        <f>'ASESOR 09'!AC46</f>
        <v/>
      </c>
      <c r="M38" s="15">
        <f>'ASESOR 10'!AC46</f>
        <v/>
      </c>
      <c r="N38" s="15">
        <f>'ASESOR 11'!AC46</f>
        <v/>
      </c>
      <c r="O38" s="15">
        <f>'ASESOR 12'!AC46</f>
        <v/>
      </c>
      <c r="P38" s="15">
        <f>'ASESOR 13'!AC46</f>
        <v/>
      </c>
      <c r="Q38" s="10" t="n"/>
    </row>
    <row r="39">
      <c r="A39" s="10">
        <f>CRITERIOS!B35</f>
        <v/>
      </c>
      <c r="B39" s="8">
        <f>CRITERIOS!D35</f>
        <v/>
      </c>
      <c r="C39" s="15">
        <f>IFERROR(AVERAGE(D39:P39),"")</f>
        <v/>
      </c>
      <c r="D39" s="15">
        <f>'ASESOR 01'!AC47</f>
        <v/>
      </c>
      <c r="E39" s="15">
        <f>'ASESOR 02'!AC47</f>
        <v/>
      </c>
      <c r="F39" s="15">
        <f>'ASESOR 03'!AC47</f>
        <v/>
      </c>
      <c r="G39" s="15">
        <f>'ASESOR 04'!AC47</f>
        <v/>
      </c>
      <c r="H39" s="15">
        <f>'ASESOR 05'!AC47</f>
        <v/>
      </c>
      <c r="I39" s="15">
        <f>'ASESOR 06'!AC47</f>
        <v/>
      </c>
      <c r="J39" s="15">
        <f>'ASESOR 07'!AC47</f>
        <v/>
      </c>
      <c r="K39" s="15">
        <f>'ASESOR 08'!AC47</f>
        <v/>
      </c>
      <c r="L39" s="15">
        <f>'ASESOR 09'!AC47</f>
        <v/>
      </c>
      <c r="M39" s="15">
        <f>'ASESOR 10'!AC47</f>
        <v/>
      </c>
      <c r="N39" s="15">
        <f>'ASESOR 11'!AC47</f>
        <v/>
      </c>
      <c r="O39" s="15">
        <f>'ASESOR 12'!AC47</f>
        <v/>
      </c>
      <c r="P39" s="15">
        <f>'ASESOR 13'!AC47</f>
        <v/>
      </c>
      <c r="Q39" s="10" t="n"/>
    </row>
    <row r="40">
      <c r="A40" s="10">
        <f>CRITERIOS!B36</f>
        <v/>
      </c>
      <c r="B40" s="8">
        <f>CRITERIOS!D36</f>
        <v/>
      </c>
      <c r="C40" s="15">
        <f>IFERROR(AVERAGE(D40:P40),"")</f>
        <v/>
      </c>
      <c r="D40" s="15">
        <f>'ASESOR 01'!AC48</f>
        <v/>
      </c>
      <c r="E40" s="15">
        <f>'ASESOR 02'!AC48</f>
        <v/>
      </c>
      <c r="F40" s="15">
        <f>'ASESOR 03'!AC48</f>
        <v/>
      </c>
      <c r="G40" s="15">
        <f>'ASESOR 04'!AC48</f>
        <v/>
      </c>
      <c r="H40" s="15">
        <f>'ASESOR 05'!AC48</f>
        <v/>
      </c>
      <c r="I40" s="15">
        <f>'ASESOR 06'!AC48</f>
        <v/>
      </c>
      <c r="J40" s="15">
        <f>'ASESOR 07'!AC48</f>
        <v/>
      </c>
      <c r="K40" s="15">
        <f>'ASESOR 08'!AC48</f>
        <v/>
      </c>
      <c r="L40" s="15">
        <f>'ASESOR 09'!AC48</f>
        <v/>
      </c>
      <c r="M40" s="15">
        <f>'ASESOR 10'!AC48</f>
        <v/>
      </c>
      <c r="N40" s="15">
        <f>'ASESOR 11'!AC48</f>
        <v/>
      </c>
      <c r="O40" s="15">
        <f>'ASESOR 12'!AC48</f>
        <v/>
      </c>
      <c r="P40" s="15">
        <f>'ASESOR 13'!AC48</f>
        <v/>
      </c>
      <c r="Q40" s="10" t="n"/>
    </row>
    <row r="41">
      <c r="A41" s="10">
        <f>CRITERIOS!B37</f>
        <v/>
      </c>
      <c r="B41" s="8">
        <f>CRITERIOS!D37</f>
        <v/>
      </c>
      <c r="C41" s="15">
        <f>IFERROR(AVERAGE(D41:P41),"")</f>
        <v/>
      </c>
      <c r="D41" s="15">
        <f>'ASESOR 01'!AC49</f>
        <v/>
      </c>
      <c r="E41" s="15">
        <f>'ASESOR 02'!AC49</f>
        <v/>
      </c>
      <c r="F41" s="15">
        <f>'ASESOR 03'!AC49</f>
        <v/>
      </c>
      <c r="G41" s="15">
        <f>'ASESOR 04'!AC49</f>
        <v/>
      </c>
      <c r="H41" s="15">
        <f>'ASESOR 05'!AC49</f>
        <v/>
      </c>
      <c r="I41" s="15">
        <f>'ASESOR 06'!AC49</f>
        <v/>
      </c>
      <c r="J41" s="15">
        <f>'ASESOR 07'!AC49</f>
        <v/>
      </c>
      <c r="K41" s="15">
        <f>'ASESOR 08'!AC49</f>
        <v/>
      </c>
      <c r="L41" s="15">
        <f>'ASESOR 09'!AC49</f>
        <v/>
      </c>
      <c r="M41" s="15">
        <f>'ASESOR 10'!AC49</f>
        <v/>
      </c>
      <c r="N41" s="15">
        <f>'ASESOR 11'!AC49</f>
        <v/>
      </c>
      <c r="O41" s="15">
        <f>'ASESOR 12'!AC49</f>
        <v/>
      </c>
      <c r="P41" s="15">
        <f>'ASESOR 13'!AC49</f>
        <v/>
      </c>
      <c r="Q41" s="10" t="n"/>
    </row>
    <row r="42">
      <c r="A42" s="10">
        <f>CRITERIOS!B38</f>
        <v/>
      </c>
      <c r="B42" s="8">
        <f>CRITERIOS!D38</f>
        <v/>
      </c>
      <c r="C42" s="15">
        <f>IFERROR(AVERAGE(D42:P42),"")</f>
        <v/>
      </c>
      <c r="D42" s="15">
        <f>'ASESOR 01'!AC50</f>
        <v/>
      </c>
      <c r="E42" s="15">
        <f>'ASESOR 02'!AC50</f>
        <v/>
      </c>
      <c r="F42" s="15">
        <f>'ASESOR 03'!AC50</f>
        <v/>
      </c>
      <c r="G42" s="15">
        <f>'ASESOR 04'!AC50</f>
        <v/>
      </c>
      <c r="H42" s="15">
        <f>'ASESOR 05'!AC50</f>
        <v/>
      </c>
      <c r="I42" s="15">
        <f>'ASESOR 06'!AC50</f>
        <v/>
      </c>
      <c r="J42" s="15">
        <f>'ASESOR 07'!AC50</f>
        <v/>
      </c>
      <c r="K42" s="15">
        <f>'ASESOR 08'!AC50</f>
        <v/>
      </c>
      <c r="L42" s="15">
        <f>'ASESOR 09'!AC50</f>
        <v/>
      </c>
      <c r="M42" s="15">
        <f>'ASESOR 10'!AC50</f>
        <v/>
      </c>
      <c r="N42" s="15">
        <f>'ASESOR 11'!AC50</f>
        <v/>
      </c>
      <c r="O42" s="15">
        <f>'ASESOR 12'!AC50</f>
        <v/>
      </c>
      <c r="P42" s="15">
        <f>'ASESOR 13'!AC50</f>
        <v/>
      </c>
      <c r="Q42" s="10" t="n"/>
    </row>
    <row r="43">
      <c r="A43" s="10">
        <f>CRITERIOS!B39</f>
        <v/>
      </c>
      <c r="B43" s="8">
        <f>CRITERIOS!D39</f>
        <v/>
      </c>
      <c r="C43" s="15">
        <f>IFERROR(AVERAGE(D43:P43),"")</f>
        <v/>
      </c>
      <c r="D43" s="15">
        <f>'ASESOR 01'!AC51</f>
        <v/>
      </c>
      <c r="E43" s="15">
        <f>'ASESOR 02'!AC51</f>
        <v/>
      </c>
      <c r="F43" s="15">
        <f>'ASESOR 03'!AC51</f>
        <v/>
      </c>
      <c r="G43" s="15">
        <f>'ASESOR 04'!AC51</f>
        <v/>
      </c>
      <c r="H43" s="15">
        <f>'ASESOR 05'!AC51</f>
        <v/>
      </c>
      <c r="I43" s="15">
        <f>'ASESOR 06'!AC51</f>
        <v/>
      </c>
      <c r="J43" s="15">
        <f>'ASESOR 07'!AC51</f>
        <v/>
      </c>
      <c r="K43" s="15">
        <f>'ASESOR 08'!AC51</f>
        <v/>
      </c>
      <c r="L43" s="15">
        <f>'ASESOR 09'!AC51</f>
        <v/>
      </c>
      <c r="M43" s="15">
        <f>'ASESOR 10'!AC51</f>
        <v/>
      </c>
      <c r="N43" s="15">
        <f>'ASESOR 11'!AC51</f>
        <v/>
      </c>
      <c r="O43" s="15">
        <f>'ASESOR 12'!AC51</f>
        <v/>
      </c>
      <c r="P43" s="15">
        <f>'ASESOR 13'!AC51</f>
        <v/>
      </c>
      <c r="Q43" s="10" t="n"/>
    </row>
    <row r="44">
      <c r="A44" s="10">
        <f>CRITERIOS!B40</f>
        <v/>
      </c>
      <c r="B44" s="8">
        <f>CRITERIOS!D40</f>
        <v/>
      </c>
      <c r="C44" s="15">
        <f>IFERROR(AVERAGE(D44:P44),"")</f>
        <v/>
      </c>
      <c r="D44" s="15">
        <f>'ASESOR 01'!AC52</f>
        <v/>
      </c>
      <c r="E44" s="15">
        <f>'ASESOR 02'!AC52</f>
        <v/>
      </c>
      <c r="F44" s="15">
        <f>'ASESOR 03'!AC52</f>
        <v/>
      </c>
      <c r="G44" s="15">
        <f>'ASESOR 04'!AC52</f>
        <v/>
      </c>
      <c r="H44" s="15">
        <f>'ASESOR 05'!AC52</f>
        <v/>
      </c>
      <c r="I44" s="15">
        <f>'ASESOR 06'!AC52</f>
        <v/>
      </c>
      <c r="J44" s="15">
        <f>'ASESOR 07'!AC52</f>
        <v/>
      </c>
      <c r="K44" s="15">
        <f>'ASESOR 08'!AC52</f>
        <v/>
      </c>
      <c r="L44" s="15">
        <f>'ASESOR 09'!AC52</f>
        <v/>
      </c>
      <c r="M44" s="15">
        <f>'ASESOR 10'!AC52</f>
        <v/>
      </c>
      <c r="N44" s="15">
        <f>'ASESOR 11'!AC52</f>
        <v/>
      </c>
      <c r="O44" s="15">
        <f>'ASESOR 12'!AC52</f>
        <v/>
      </c>
      <c r="P44" s="15">
        <f>'ASESOR 13'!AC52</f>
        <v/>
      </c>
      <c r="Q44" s="10" t="n"/>
    </row>
    <row r="45">
      <c r="A45" s="10">
        <f>CRITERIOS!B41</f>
        <v/>
      </c>
      <c r="B45" s="8">
        <f>CRITERIOS!D41</f>
        <v/>
      </c>
      <c r="C45" s="15">
        <f>IFERROR(AVERAGE(D45:P45),"")</f>
        <v/>
      </c>
      <c r="D45" s="15">
        <f>'ASESOR 01'!AC53</f>
        <v/>
      </c>
      <c r="E45" s="15">
        <f>'ASESOR 02'!AC53</f>
        <v/>
      </c>
      <c r="F45" s="15">
        <f>'ASESOR 03'!AC53</f>
        <v/>
      </c>
      <c r="G45" s="15">
        <f>'ASESOR 04'!AC53</f>
        <v/>
      </c>
      <c r="H45" s="15">
        <f>'ASESOR 05'!AC53</f>
        <v/>
      </c>
      <c r="I45" s="15">
        <f>'ASESOR 06'!AC53</f>
        <v/>
      </c>
      <c r="J45" s="15">
        <f>'ASESOR 07'!AC53</f>
        <v/>
      </c>
      <c r="K45" s="15">
        <f>'ASESOR 08'!AC53</f>
        <v/>
      </c>
      <c r="L45" s="15">
        <f>'ASESOR 09'!AC53</f>
        <v/>
      </c>
      <c r="M45" s="15">
        <f>'ASESOR 10'!AC53</f>
        <v/>
      </c>
      <c r="N45" s="15">
        <f>'ASESOR 11'!AC53</f>
        <v/>
      </c>
      <c r="O45" s="15">
        <f>'ASESOR 12'!AC53</f>
        <v/>
      </c>
      <c r="P45" s="15">
        <f>'ASESOR 13'!AC53</f>
        <v/>
      </c>
      <c r="Q45" s="10" t="n"/>
    </row>
    <row r="46">
      <c r="A46" s="10">
        <f>CRITERIOS!B42</f>
        <v/>
      </c>
      <c r="B46" s="8">
        <f>CRITERIOS!D42</f>
        <v/>
      </c>
      <c r="C46" s="15">
        <f>IFERROR(AVERAGE(D46:P46),"")</f>
        <v/>
      </c>
      <c r="D46" s="15">
        <f>'ASESOR 01'!AC54</f>
        <v/>
      </c>
      <c r="E46" s="15">
        <f>'ASESOR 02'!AC54</f>
        <v/>
      </c>
      <c r="F46" s="15">
        <f>'ASESOR 03'!AC54</f>
        <v/>
      </c>
      <c r="G46" s="15">
        <f>'ASESOR 04'!AC54</f>
        <v/>
      </c>
      <c r="H46" s="15">
        <f>'ASESOR 05'!AC54</f>
        <v/>
      </c>
      <c r="I46" s="15">
        <f>'ASESOR 06'!AC54</f>
        <v/>
      </c>
      <c r="J46" s="15">
        <f>'ASESOR 07'!AC54</f>
        <v/>
      </c>
      <c r="K46" s="15">
        <f>'ASESOR 08'!AC54</f>
        <v/>
      </c>
      <c r="L46" s="15">
        <f>'ASESOR 09'!AC54</f>
        <v/>
      </c>
      <c r="M46" s="15">
        <f>'ASESOR 10'!AC54</f>
        <v/>
      </c>
      <c r="N46" s="15">
        <f>'ASESOR 11'!AC54</f>
        <v/>
      </c>
      <c r="O46" s="15">
        <f>'ASESOR 12'!AC54</f>
        <v/>
      </c>
      <c r="P46" s="15">
        <f>'ASESOR 13'!AC54</f>
        <v/>
      </c>
      <c r="Q46" s="10" t="n"/>
    </row>
    <row r="47">
      <c r="A47" s="10">
        <f>CRITERIOS!B43</f>
        <v/>
      </c>
      <c r="B47" s="8">
        <f>CRITERIOS!D43</f>
        <v/>
      </c>
      <c r="C47" s="15">
        <f>IFERROR(AVERAGE(D47:P47),"")</f>
        <v/>
      </c>
      <c r="D47" s="15">
        <f>'ASESOR 01'!AC55</f>
        <v/>
      </c>
      <c r="E47" s="15">
        <f>'ASESOR 02'!AC55</f>
        <v/>
      </c>
      <c r="F47" s="15">
        <f>'ASESOR 03'!AC55</f>
        <v/>
      </c>
      <c r="G47" s="15">
        <f>'ASESOR 04'!AC55</f>
        <v/>
      </c>
      <c r="H47" s="15">
        <f>'ASESOR 05'!AC55</f>
        <v/>
      </c>
      <c r="I47" s="15">
        <f>'ASESOR 06'!AC55</f>
        <v/>
      </c>
      <c r="J47" s="15">
        <f>'ASESOR 07'!AC55</f>
        <v/>
      </c>
      <c r="K47" s="15">
        <f>'ASESOR 08'!AC55</f>
        <v/>
      </c>
      <c r="L47" s="15">
        <f>'ASESOR 09'!AC55</f>
        <v/>
      </c>
      <c r="M47" s="15">
        <f>'ASESOR 10'!AC55</f>
        <v/>
      </c>
      <c r="N47" s="15">
        <f>'ASESOR 11'!AC55</f>
        <v/>
      </c>
      <c r="O47" s="15">
        <f>'ASESOR 12'!AC55</f>
        <v/>
      </c>
      <c r="P47" s="15">
        <f>'ASESOR 13'!AC55</f>
        <v/>
      </c>
      <c r="Q47" s="10" t="n"/>
    </row>
    <row r="48">
      <c r="A48" s="10">
        <f>CRITERIOS!B44</f>
        <v/>
      </c>
      <c r="B48" s="8">
        <f>CRITERIOS!D44</f>
        <v/>
      </c>
      <c r="C48" s="15">
        <f>IFERROR(AVERAGE(D48:P48),"")</f>
        <v/>
      </c>
      <c r="D48" s="15">
        <f>'ASESOR 01'!AC56</f>
        <v/>
      </c>
      <c r="E48" s="15">
        <f>'ASESOR 02'!AC56</f>
        <v/>
      </c>
      <c r="F48" s="15">
        <f>'ASESOR 03'!AC56</f>
        <v/>
      </c>
      <c r="G48" s="15">
        <f>'ASESOR 04'!AC56</f>
        <v/>
      </c>
      <c r="H48" s="15">
        <f>'ASESOR 05'!AC56</f>
        <v/>
      </c>
      <c r="I48" s="15">
        <f>'ASESOR 06'!AC56</f>
        <v/>
      </c>
      <c r="J48" s="15">
        <f>'ASESOR 07'!AC56</f>
        <v/>
      </c>
      <c r="K48" s="15">
        <f>'ASESOR 08'!AC56</f>
        <v/>
      </c>
      <c r="L48" s="15">
        <f>'ASESOR 09'!AC56</f>
        <v/>
      </c>
      <c r="M48" s="15">
        <f>'ASESOR 10'!AC56</f>
        <v/>
      </c>
      <c r="N48" s="15">
        <f>'ASESOR 11'!AC56</f>
        <v/>
      </c>
      <c r="O48" s="15">
        <f>'ASESOR 12'!AC56</f>
        <v/>
      </c>
      <c r="P48" s="15">
        <f>'ASESOR 13'!AC56</f>
        <v/>
      </c>
      <c r="Q48" s="10" t="n"/>
    </row>
    <row r="49">
      <c r="A49" s="10">
        <f>CRITERIOS!B45</f>
        <v/>
      </c>
      <c r="B49" s="8">
        <f>CRITERIOS!D45</f>
        <v/>
      </c>
      <c r="C49" s="15">
        <f>IFERROR(AVERAGE(D49:P49),"")</f>
        <v/>
      </c>
      <c r="D49" s="15">
        <f>'ASESOR 01'!AC57</f>
        <v/>
      </c>
      <c r="E49" s="15">
        <f>'ASESOR 02'!AC57</f>
        <v/>
      </c>
      <c r="F49" s="15">
        <f>'ASESOR 03'!AC57</f>
        <v/>
      </c>
      <c r="G49" s="15">
        <f>'ASESOR 04'!AC57</f>
        <v/>
      </c>
      <c r="H49" s="15">
        <f>'ASESOR 05'!AC57</f>
        <v/>
      </c>
      <c r="I49" s="15">
        <f>'ASESOR 06'!AC57</f>
        <v/>
      </c>
      <c r="J49" s="15">
        <f>'ASESOR 07'!AC57</f>
        <v/>
      </c>
      <c r="K49" s="15">
        <f>'ASESOR 08'!AC57</f>
        <v/>
      </c>
      <c r="L49" s="15">
        <f>'ASESOR 09'!AC57</f>
        <v/>
      </c>
      <c r="M49" s="15">
        <f>'ASESOR 10'!AC57</f>
        <v/>
      </c>
      <c r="N49" s="15">
        <f>'ASESOR 11'!AC57</f>
        <v/>
      </c>
      <c r="O49" s="15">
        <f>'ASESOR 12'!AC57</f>
        <v/>
      </c>
      <c r="P49" s="15">
        <f>'ASESOR 13'!AC57</f>
        <v/>
      </c>
      <c r="Q49" s="10" t="n"/>
    </row>
    <row r="50">
      <c r="A50" s="10">
        <f>CRITERIOS!B46</f>
        <v/>
      </c>
      <c r="B50" s="8">
        <f>CRITERIOS!D46</f>
        <v/>
      </c>
      <c r="C50" s="15">
        <f>IFERROR(AVERAGE(D50:P50),"")</f>
        <v/>
      </c>
      <c r="D50" s="15">
        <f>'ASESOR 01'!AC58</f>
        <v/>
      </c>
      <c r="E50" s="15">
        <f>'ASESOR 02'!AC58</f>
        <v/>
      </c>
      <c r="F50" s="15">
        <f>'ASESOR 03'!AC58</f>
        <v/>
      </c>
      <c r="G50" s="15">
        <f>'ASESOR 04'!AC58</f>
        <v/>
      </c>
      <c r="H50" s="15">
        <f>'ASESOR 05'!AC58</f>
        <v/>
      </c>
      <c r="I50" s="15">
        <f>'ASESOR 06'!AC58</f>
        <v/>
      </c>
      <c r="J50" s="15">
        <f>'ASESOR 07'!AC58</f>
        <v/>
      </c>
      <c r="K50" s="15">
        <f>'ASESOR 08'!AC58</f>
        <v/>
      </c>
      <c r="L50" s="15">
        <f>'ASESOR 09'!AC58</f>
        <v/>
      </c>
      <c r="M50" s="15">
        <f>'ASESOR 10'!AC58</f>
        <v/>
      </c>
      <c r="N50" s="15">
        <f>'ASESOR 11'!AC58</f>
        <v/>
      </c>
      <c r="O50" s="15">
        <f>'ASESOR 12'!AC58</f>
        <v/>
      </c>
      <c r="P50" s="15">
        <f>'ASESOR 13'!AC58</f>
        <v/>
      </c>
      <c r="Q50" s="10" t="n"/>
    </row>
    <row r="51">
      <c r="A51" s="10">
        <f>CRITERIOS!B47</f>
        <v/>
      </c>
      <c r="B51" s="8">
        <f>CRITERIOS!D47</f>
        <v/>
      </c>
      <c r="C51" s="15">
        <f>IFERROR(AVERAGE(D51:P51),"")</f>
        <v/>
      </c>
      <c r="D51" s="15">
        <f>'ASESOR 01'!AC59</f>
        <v/>
      </c>
      <c r="E51" s="15">
        <f>'ASESOR 02'!AC59</f>
        <v/>
      </c>
      <c r="F51" s="15">
        <f>'ASESOR 03'!AC59</f>
        <v/>
      </c>
      <c r="G51" s="15">
        <f>'ASESOR 04'!AC59</f>
        <v/>
      </c>
      <c r="H51" s="15">
        <f>'ASESOR 05'!AC59</f>
        <v/>
      </c>
      <c r="I51" s="15">
        <f>'ASESOR 06'!AC59</f>
        <v/>
      </c>
      <c r="J51" s="15">
        <f>'ASESOR 07'!AC59</f>
        <v/>
      </c>
      <c r="K51" s="15">
        <f>'ASESOR 08'!AC59</f>
        <v/>
      </c>
      <c r="L51" s="15">
        <f>'ASESOR 09'!AC59</f>
        <v/>
      </c>
      <c r="M51" s="15">
        <f>'ASESOR 10'!AC59</f>
        <v/>
      </c>
      <c r="N51" s="15">
        <f>'ASESOR 11'!AC59</f>
        <v/>
      </c>
      <c r="O51" s="15">
        <f>'ASESOR 12'!AC59</f>
        <v/>
      </c>
      <c r="P51" s="15">
        <f>'ASESOR 13'!AC59</f>
        <v/>
      </c>
      <c r="Q51" s="10" t="n"/>
    </row>
    <row r="52">
      <c r="A52" s="10">
        <f>CRITERIOS!B48</f>
        <v/>
      </c>
      <c r="B52" s="8">
        <f>CRITERIOS!D48</f>
        <v/>
      </c>
      <c r="C52" s="15">
        <f>IFERROR(AVERAGE(D52:P52),"")</f>
        <v/>
      </c>
      <c r="D52" s="15">
        <f>'ASESOR 01'!AC60</f>
        <v/>
      </c>
      <c r="E52" s="15">
        <f>'ASESOR 02'!AC60</f>
        <v/>
      </c>
      <c r="F52" s="15">
        <f>'ASESOR 03'!AC60</f>
        <v/>
      </c>
      <c r="G52" s="15">
        <f>'ASESOR 04'!AC60</f>
        <v/>
      </c>
      <c r="H52" s="15">
        <f>'ASESOR 05'!AC60</f>
        <v/>
      </c>
      <c r="I52" s="15">
        <f>'ASESOR 06'!AC60</f>
        <v/>
      </c>
      <c r="J52" s="15">
        <f>'ASESOR 07'!AC60</f>
        <v/>
      </c>
      <c r="K52" s="15">
        <f>'ASESOR 08'!AC60</f>
        <v/>
      </c>
      <c r="L52" s="15">
        <f>'ASESOR 09'!AC60</f>
        <v/>
      </c>
      <c r="M52" s="15">
        <f>'ASESOR 10'!AC60</f>
        <v/>
      </c>
      <c r="N52" s="15">
        <f>'ASESOR 11'!AC60</f>
        <v/>
      </c>
      <c r="O52" s="15">
        <f>'ASESOR 12'!AC60</f>
        <v/>
      </c>
      <c r="P52" s="15">
        <f>'ASESOR 13'!AC60</f>
        <v/>
      </c>
      <c r="Q52" s="10" t="n"/>
    </row>
    <row r="53">
      <c r="A53" s="10">
        <f>CRITERIOS!B49</f>
        <v/>
      </c>
      <c r="B53" s="8">
        <f>CRITERIOS!D49</f>
        <v/>
      </c>
      <c r="C53" s="15">
        <f>IFERROR(AVERAGE(D53:P53),"")</f>
        <v/>
      </c>
      <c r="D53" s="15">
        <f>'ASESOR 01'!AC61</f>
        <v/>
      </c>
      <c r="E53" s="15">
        <f>'ASESOR 02'!AC61</f>
        <v/>
      </c>
      <c r="F53" s="15">
        <f>'ASESOR 03'!AC61</f>
        <v/>
      </c>
      <c r="G53" s="15">
        <f>'ASESOR 04'!AC61</f>
        <v/>
      </c>
      <c r="H53" s="15">
        <f>'ASESOR 05'!AC61</f>
        <v/>
      </c>
      <c r="I53" s="15">
        <f>'ASESOR 06'!AC61</f>
        <v/>
      </c>
      <c r="J53" s="15">
        <f>'ASESOR 07'!AC61</f>
        <v/>
      </c>
      <c r="K53" s="15">
        <f>'ASESOR 08'!AC61</f>
        <v/>
      </c>
      <c r="L53" s="15">
        <f>'ASESOR 09'!AC61</f>
        <v/>
      </c>
      <c r="M53" s="15">
        <f>'ASESOR 10'!AC61</f>
        <v/>
      </c>
      <c r="N53" s="15">
        <f>'ASESOR 11'!AC61</f>
        <v/>
      </c>
      <c r="O53" s="15">
        <f>'ASESOR 12'!AC61</f>
        <v/>
      </c>
      <c r="P53" s="15">
        <f>'ASESOR 13'!AC61</f>
        <v/>
      </c>
      <c r="Q53" s="10" t="n"/>
    </row>
    <row r="54">
      <c r="A54" s="10">
        <f>CRITERIOS!B50</f>
        <v/>
      </c>
      <c r="B54" s="8">
        <f>CRITERIOS!D50</f>
        <v/>
      </c>
      <c r="C54" s="15">
        <f>IFERROR(AVERAGE(D54:P54),"")</f>
        <v/>
      </c>
      <c r="D54" s="15">
        <f>'ASESOR 01'!AC62</f>
        <v/>
      </c>
      <c r="E54" s="15">
        <f>'ASESOR 02'!AC62</f>
        <v/>
      </c>
      <c r="F54" s="15">
        <f>'ASESOR 03'!AC62</f>
        <v/>
      </c>
      <c r="G54" s="15">
        <f>'ASESOR 04'!AC62</f>
        <v/>
      </c>
      <c r="H54" s="15">
        <f>'ASESOR 05'!AC62</f>
        <v/>
      </c>
      <c r="I54" s="15">
        <f>'ASESOR 06'!AC62</f>
        <v/>
      </c>
      <c r="J54" s="15">
        <f>'ASESOR 07'!AC62</f>
        <v/>
      </c>
      <c r="K54" s="15">
        <f>'ASESOR 08'!AC62</f>
        <v/>
      </c>
      <c r="L54" s="15">
        <f>'ASESOR 09'!AC62</f>
        <v/>
      </c>
      <c r="M54" s="15">
        <f>'ASESOR 10'!AC62</f>
        <v/>
      </c>
      <c r="N54" s="15">
        <f>'ASESOR 11'!AC62</f>
        <v/>
      </c>
      <c r="O54" s="15">
        <f>'ASESOR 12'!AC62</f>
        <v/>
      </c>
      <c r="P54" s="15">
        <f>'ASESOR 13'!AC62</f>
        <v/>
      </c>
      <c r="Q54" s="10" t="n"/>
    </row>
    <row r="55">
      <c r="A55" s="10">
        <f>CRITERIOS!B51</f>
        <v/>
      </c>
      <c r="B55" s="8">
        <f>CRITERIOS!D51</f>
        <v/>
      </c>
      <c r="C55" s="15">
        <f>IFERROR(AVERAGE(D55:P55),"")</f>
        <v/>
      </c>
      <c r="D55" s="15">
        <f>'ASESOR 01'!AC63</f>
        <v/>
      </c>
      <c r="E55" s="15">
        <f>'ASESOR 02'!AC63</f>
        <v/>
      </c>
      <c r="F55" s="15">
        <f>'ASESOR 03'!AC63</f>
        <v/>
      </c>
      <c r="G55" s="15">
        <f>'ASESOR 04'!AC63</f>
        <v/>
      </c>
      <c r="H55" s="15">
        <f>'ASESOR 05'!AC63</f>
        <v/>
      </c>
      <c r="I55" s="15">
        <f>'ASESOR 06'!AC63</f>
        <v/>
      </c>
      <c r="J55" s="15">
        <f>'ASESOR 07'!AC63</f>
        <v/>
      </c>
      <c r="K55" s="15">
        <f>'ASESOR 08'!AC63</f>
        <v/>
      </c>
      <c r="L55" s="15">
        <f>'ASESOR 09'!AC63</f>
        <v/>
      </c>
      <c r="M55" s="15">
        <f>'ASESOR 10'!AC63</f>
        <v/>
      </c>
      <c r="N55" s="15">
        <f>'ASESOR 11'!AC63</f>
        <v/>
      </c>
      <c r="O55" s="15">
        <f>'ASESOR 12'!AC63</f>
        <v/>
      </c>
      <c r="P55" s="15">
        <f>'ASESOR 13'!AC63</f>
        <v/>
      </c>
      <c r="Q55" s="10" t="n"/>
    </row>
    <row r="56">
      <c r="A56" s="10">
        <f>CRITERIOS!B52</f>
        <v/>
      </c>
      <c r="B56" s="8">
        <f>CRITERIOS!D52</f>
        <v/>
      </c>
      <c r="C56" s="15">
        <f>IFERROR(AVERAGE(D56:P56),"")</f>
        <v/>
      </c>
      <c r="D56" s="15">
        <f>'ASESOR 01'!AC64</f>
        <v/>
      </c>
      <c r="E56" s="15">
        <f>'ASESOR 02'!AC64</f>
        <v/>
      </c>
      <c r="F56" s="15">
        <f>'ASESOR 03'!AC64</f>
        <v/>
      </c>
      <c r="G56" s="15">
        <f>'ASESOR 04'!AC64</f>
        <v/>
      </c>
      <c r="H56" s="15">
        <f>'ASESOR 05'!AC64</f>
        <v/>
      </c>
      <c r="I56" s="15">
        <f>'ASESOR 06'!AC64</f>
        <v/>
      </c>
      <c r="J56" s="15">
        <f>'ASESOR 07'!AC64</f>
        <v/>
      </c>
      <c r="K56" s="15">
        <f>'ASESOR 08'!AC64</f>
        <v/>
      </c>
      <c r="L56" s="15">
        <f>'ASESOR 09'!AC64</f>
        <v/>
      </c>
      <c r="M56" s="15">
        <f>'ASESOR 10'!AC64</f>
        <v/>
      </c>
      <c r="N56" s="15">
        <f>'ASESOR 11'!AC64</f>
        <v/>
      </c>
      <c r="O56" s="15">
        <f>'ASESOR 12'!AC64</f>
        <v/>
      </c>
      <c r="P56" s="15">
        <f>'ASESOR 13'!AC64</f>
        <v/>
      </c>
      <c r="Q56" s="10" t="n"/>
    </row>
    <row r="57">
      <c r="A57" s="10">
        <f>CRITERIOS!B53</f>
        <v/>
      </c>
      <c r="B57" s="8">
        <f>CRITERIOS!D53</f>
        <v/>
      </c>
      <c r="C57" s="15">
        <f>IFERROR(AVERAGE(D57:P57),"")</f>
        <v/>
      </c>
      <c r="D57" s="15">
        <f>'ASESOR 01'!AC65</f>
        <v/>
      </c>
      <c r="E57" s="15">
        <f>'ASESOR 02'!AC65</f>
        <v/>
      </c>
      <c r="F57" s="15">
        <f>'ASESOR 03'!AC65</f>
        <v/>
      </c>
      <c r="G57" s="15">
        <f>'ASESOR 04'!AC65</f>
        <v/>
      </c>
      <c r="H57" s="15">
        <f>'ASESOR 05'!AC65</f>
        <v/>
      </c>
      <c r="I57" s="15">
        <f>'ASESOR 06'!AC65</f>
        <v/>
      </c>
      <c r="J57" s="15">
        <f>'ASESOR 07'!AC65</f>
        <v/>
      </c>
      <c r="K57" s="15">
        <f>'ASESOR 08'!AC65</f>
        <v/>
      </c>
      <c r="L57" s="15">
        <f>'ASESOR 09'!AC65</f>
        <v/>
      </c>
      <c r="M57" s="15">
        <f>'ASESOR 10'!AC65</f>
        <v/>
      </c>
      <c r="N57" s="15">
        <f>'ASESOR 11'!AC65</f>
        <v/>
      </c>
      <c r="O57" s="15">
        <f>'ASESOR 12'!AC65</f>
        <v/>
      </c>
      <c r="P57" s="15">
        <f>'ASESOR 13'!AC65</f>
        <v/>
      </c>
      <c r="Q57" s="10" t="n"/>
    </row>
    <row r="58">
      <c r="A58" s="10">
        <f>CRITERIOS!B54</f>
        <v/>
      </c>
      <c r="B58" s="8">
        <f>CRITERIOS!D54</f>
        <v/>
      </c>
      <c r="C58" s="15">
        <f>IFERROR(AVERAGE(D58:P58),"")</f>
        <v/>
      </c>
      <c r="D58" s="15">
        <f>'ASESOR 01'!AC66</f>
        <v/>
      </c>
      <c r="E58" s="15">
        <f>'ASESOR 02'!AC66</f>
        <v/>
      </c>
      <c r="F58" s="15">
        <f>'ASESOR 03'!AC66</f>
        <v/>
      </c>
      <c r="G58" s="15">
        <f>'ASESOR 04'!AC66</f>
        <v/>
      </c>
      <c r="H58" s="15">
        <f>'ASESOR 05'!AC66</f>
        <v/>
      </c>
      <c r="I58" s="15">
        <f>'ASESOR 06'!AC66</f>
        <v/>
      </c>
      <c r="J58" s="15">
        <f>'ASESOR 07'!AC66</f>
        <v/>
      </c>
      <c r="K58" s="15">
        <f>'ASESOR 08'!AC66</f>
        <v/>
      </c>
      <c r="L58" s="15">
        <f>'ASESOR 09'!AC66</f>
        <v/>
      </c>
      <c r="M58" s="15">
        <f>'ASESOR 10'!AC66</f>
        <v/>
      </c>
      <c r="N58" s="15">
        <f>'ASESOR 11'!AC66</f>
        <v/>
      </c>
      <c r="O58" s="15">
        <f>'ASESOR 12'!AC66</f>
        <v/>
      </c>
      <c r="P58" s="15">
        <f>'ASESOR 13'!AC66</f>
        <v/>
      </c>
      <c r="Q58" s="10" t="n"/>
    </row>
    <row r="59">
      <c r="A59" s="10">
        <f>CRITERIOS!B55</f>
        <v/>
      </c>
      <c r="B59" s="8">
        <f>CRITERIOS!D55</f>
        <v/>
      </c>
      <c r="C59" s="15">
        <f>IFERROR(AVERAGE(D59:P59),"")</f>
        <v/>
      </c>
      <c r="D59" s="15">
        <f>'ASESOR 01'!AC67</f>
        <v/>
      </c>
      <c r="E59" s="15">
        <f>'ASESOR 02'!AC67</f>
        <v/>
      </c>
      <c r="F59" s="15">
        <f>'ASESOR 03'!AC67</f>
        <v/>
      </c>
      <c r="G59" s="15">
        <f>'ASESOR 04'!AC67</f>
        <v/>
      </c>
      <c r="H59" s="15">
        <f>'ASESOR 05'!AC67</f>
        <v/>
      </c>
      <c r="I59" s="15">
        <f>'ASESOR 06'!AC67</f>
        <v/>
      </c>
      <c r="J59" s="15">
        <f>'ASESOR 07'!AC67</f>
        <v/>
      </c>
      <c r="K59" s="15">
        <f>'ASESOR 08'!AC67</f>
        <v/>
      </c>
      <c r="L59" s="15">
        <f>'ASESOR 09'!AC67</f>
        <v/>
      </c>
      <c r="M59" s="15">
        <f>'ASESOR 10'!AC67</f>
        <v/>
      </c>
      <c r="N59" s="15">
        <f>'ASESOR 11'!AC67</f>
        <v/>
      </c>
      <c r="O59" s="15">
        <f>'ASESOR 12'!AC67</f>
        <v/>
      </c>
      <c r="P59" s="15">
        <f>'ASESOR 13'!AC67</f>
        <v/>
      </c>
      <c r="Q59" s="10" t="n"/>
    </row>
    <row r="60">
      <c r="A60" s="10">
        <f>CRITERIOS!B56</f>
        <v/>
      </c>
      <c r="B60" s="8">
        <f>CRITERIOS!D56</f>
        <v/>
      </c>
      <c r="C60" s="15">
        <f>IFERROR(AVERAGE(D60:P60),"")</f>
        <v/>
      </c>
      <c r="D60" s="15">
        <f>'ASESOR 01'!AC68</f>
        <v/>
      </c>
      <c r="E60" s="15">
        <f>'ASESOR 02'!AC68</f>
        <v/>
      </c>
      <c r="F60" s="15">
        <f>'ASESOR 03'!AC68</f>
        <v/>
      </c>
      <c r="G60" s="15">
        <f>'ASESOR 04'!AC68</f>
        <v/>
      </c>
      <c r="H60" s="15">
        <f>'ASESOR 05'!AC68</f>
        <v/>
      </c>
      <c r="I60" s="15">
        <f>'ASESOR 06'!AC68</f>
        <v/>
      </c>
      <c r="J60" s="15">
        <f>'ASESOR 07'!AC68</f>
        <v/>
      </c>
      <c r="K60" s="15">
        <f>'ASESOR 08'!AC68</f>
        <v/>
      </c>
      <c r="L60" s="15">
        <f>'ASESOR 09'!AC68</f>
        <v/>
      </c>
      <c r="M60" s="15">
        <f>'ASESOR 10'!AC68</f>
        <v/>
      </c>
      <c r="N60" s="15">
        <f>'ASESOR 11'!AC68</f>
        <v/>
      </c>
      <c r="O60" s="15">
        <f>'ASESOR 12'!AC68</f>
        <v/>
      </c>
      <c r="P60" s="15">
        <f>'ASESOR 13'!AC68</f>
        <v/>
      </c>
      <c r="Q60" s="10" t="n"/>
    </row>
    <row r="61">
      <c r="A61" s="10">
        <f>CRITERIOS!B57</f>
        <v/>
      </c>
      <c r="B61" s="8">
        <f>CRITERIOS!D57</f>
        <v/>
      </c>
      <c r="C61" s="15">
        <f>IFERROR(AVERAGE(D61:P61),"")</f>
        <v/>
      </c>
      <c r="D61" s="15">
        <f>'ASESOR 01'!AC69</f>
        <v/>
      </c>
      <c r="E61" s="15">
        <f>'ASESOR 02'!AC69</f>
        <v/>
      </c>
      <c r="F61" s="15">
        <f>'ASESOR 03'!AC69</f>
        <v/>
      </c>
      <c r="G61" s="15">
        <f>'ASESOR 04'!AC69</f>
        <v/>
      </c>
      <c r="H61" s="15">
        <f>'ASESOR 05'!AC69</f>
        <v/>
      </c>
      <c r="I61" s="15">
        <f>'ASESOR 06'!AC69</f>
        <v/>
      </c>
      <c r="J61" s="15">
        <f>'ASESOR 07'!AC69</f>
        <v/>
      </c>
      <c r="K61" s="15">
        <f>'ASESOR 08'!AC69</f>
        <v/>
      </c>
      <c r="L61" s="15">
        <f>'ASESOR 09'!AC69</f>
        <v/>
      </c>
      <c r="M61" s="15">
        <f>'ASESOR 10'!AC69</f>
        <v/>
      </c>
      <c r="N61" s="15">
        <f>'ASESOR 11'!AC69</f>
        <v/>
      </c>
      <c r="O61" s="15">
        <f>'ASESOR 12'!AC69</f>
        <v/>
      </c>
      <c r="P61" s="15">
        <f>'ASESOR 13'!AC69</f>
        <v/>
      </c>
      <c r="Q61" s="10" t="n"/>
    </row>
    <row r="62">
      <c r="A62" s="10">
        <f>CRITERIOS!B58</f>
        <v/>
      </c>
      <c r="B62" s="8">
        <f>CRITERIOS!D58</f>
        <v/>
      </c>
      <c r="C62" s="15">
        <f>IFERROR(AVERAGE(D62:P62),"")</f>
        <v/>
      </c>
      <c r="D62" s="15">
        <f>'ASESOR 01'!AC70</f>
        <v/>
      </c>
      <c r="E62" s="15">
        <f>'ASESOR 02'!AC70</f>
        <v/>
      </c>
      <c r="F62" s="15">
        <f>'ASESOR 03'!AC70</f>
        <v/>
      </c>
      <c r="G62" s="15">
        <f>'ASESOR 04'!AC70</f>
        <v/>
      </c>
      <c r="H62" s="15">
        <f>'ASESOR 05'!AC70</f>
        <v/>
      </c>
      <c r="I62" s="15">
        <f>'ASESOR 06'!AC70</f>
        <v/>
      </c>
      <c r="J62" s="15">
        <f>'ASESOR 07'!AC70</f>
        <v/>
      </c>
      <c r="K62" s="15">
        <f>'ASESOR 08'!AC70</f>
        <v/>
      </c>
      <c r="L62" s="15">
        <f>'ASESOR 09'!AC70</f>
        <v/>
      </c>
      <c r="M62" s="15">
        <f>'ASESOR 10'!AC70</f>
        <v/>
      </c>
      <c r="N62" s="15">
        <f>'ASESOR 11'!AC70</f>
        <v/>
      </c>
      <c r="O62" s="15">
        <f>'ASESOR 12'!AC70</f>
        <v/>
      </c>
      <c r="P62" s="15">
        <f>'ASESOR 13'!AC70</f>
        <v/>
      </c>
      <c r="Q62" s="10" t="n"/>
    </row>
    <row r="63">
      <c r="A63" s="10">
        <f>CRITERIOS!B59</f>
        <v/>
      </c>
      <c r="B63" s="8">
        <f>CRITERIOS!D59</f>
        <v/>
      </c>
      <c r="C63" s="15">
        <f>IFERROR(AVERAGE(D63:P63),"")</f>
        <v/>
      </c>
      <c r="D63" s="15">
        <f>'ASESOR 01'!AC71</f>
        <v/>
      </c>
      <c r="E63" s="15">
        <f>'ASESOR 02'!AC71</f>
        <v/>
      </c>
      <c r="F63" s="15">
        <f>'ASESOR 03'!AC71</f>
        <v/>
      </c>
      <c r="G63" s="15">
        <f>'ASESOR 04'!AC71</f>
        <v/>
      </c>
      <c r="H63" s="15">
        <f>'ASESOR 05'!AC71</f>
        <v/>
      </c>
      <c r="I63" s="15">
        <f>'ASESOR 06'!AC71</f>
        <v/>
      </c>
      <c r="J63" s="15">
        <f>'ASESOR 07'!AC71</f>
        <v/>
      </c>
      <c r="K63" s="15">
        <f>'ASESOR 08'!AC71</f>
        <v/>
      </c>
      <c r="L63" s="15">
        <f>'ASESOR 09'!AC71</f>
        <v/>
      </c>
      <c r="M63" s="15">
        <f>'ASESOR 10'!AC71</f>
        <v/>
      </c>
      <c r="N63" s="15">
        <f>'ASESOR 11'!AC71</f>
        <v/>
      </c>
      <c r="O63" s="15">
        <f>'ASESOR 12'!AC71</f>
        <v/>
      </c>
      <c r="P63" s="15">
        <f>'ASESOR 13'!AC71</f>
        <v/>
      </c>
      <c r="Q63" s="10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6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70" customWidth="1" min="4" max="4"/>
    <col width="11" customWidth="1" min="5" max="5"/>
    <col width="11" customWidth="1" min="6" max="6"/>
    <col width="1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0" customWidth="1" min="14" max="14"/>
    <col width="8" customWidth="1" min="15" max="15"/>
    <col width="28" customWidth="1" min="16" max="16"/>
    <col width="9" customWidth="1" min="17" max="17"/>
    <col width="46" customWidth="1" min="18" max="18"/>
    <col width="46" customWidth="1" min="19" max="19"/>
    <col width="46" customWidth="1" min="20" max="20"/>
    <col width="46" customWidth="1" min="21" max="21"/>
  </cols>
  <sheetData>
    <row r="1" ht="42" customHeight="1">
      <c r="A1" s="6" t="inlineStr">
        <is>
          <t>#</t>
        </is>
      </c>
      <c r="B1" s="6" t="inlineStr">
        <is>
          <t>Código</t>
        </is>
      </c>
      <c r="C1" s="6" t="inlineStr">
        <is>
          <t>Dimensión</t>
        </is>
      </c>
      <c r="D1" s="6" t="inlineStr">
        <is>
          <t>Descripción</t>
        </is>
      </c>
      <c r="E1" s="6" t="inlineStr">
        <is>
          <t>Tipo</t>
        </is>
      </c>
      <c r="F1" s="6" t="inlineStr">
        <is>
          <t>Canal</t>
        </is>
      </c>
      <c r="G1" s="6" t="inlineStr">
        <is>
          <t>Aplica a</t>
        </is>
      </c>
      <c r="H1" s="6" t="inlineStr">
        <is>
          <t>Aplica Comercial</t>
        </is>
      </c>
      <c r="I1" s="6" t="inlineStr">
        <is>
          <t>Aplica Cob. consulta</t>
        </is>
      </c>
      <c r="J1" s="6" t="inlineStr">
        <is>
          <t>Aplica Cob. campaña</t>
        </is>
      </c>
      <c r="K1" s="6" t="inlineStr">
        <is>
          <t>Peso Comercial</t>
        </is>
      </c>
      <c r="L1" s="6" t="inlineStr">
        <is>
          <t>Peso Cob. consulta</t>
        </is>
      </c>
      <c r="M1" s="6" t="inlineStr">
        <is>
          <t>Peso Cob. campaña</t>
        </is>
      </c>
      <c r="N1" s="6" t="inlineStr">
        <is>
          <t>Receptor N/A</t>
        </is>
      </c>
      <c r="O1" s="6" t="inlineStr">
        <is>
          <t>Admite N/A</t>
        </is>
      </c>
      <c r="P1" s="6" t="inlineStr">
        <is>
          <t>Fuente</t>
        </is>
      </c>
      <c r="Q1" s="6" t="inlineStr">
        <is>
          <t>Alerta Dirección</t>
        </is>
      </c>
      <c r="R1" s="6" t="inlineStr">
        <is>
          <t>Propiedad WhatsApp</t>
        </is>
      </c>
      <c r="S1" s="6" t="inlineStr">
        <is>
          <t>Propiedad Llamada</t>
        </is>
      </c>
      <c r="T1" s="6" t="inlineStr">
        <is>
          <t>Propiedad Correo</t>
        </is>
      </c>
      <c r="U1" s="6" t="inlineStr">
        <is>
          <t>Propiedad Presencial</t>
        </is>
      </c>
    </row>
    <row r="2">
      <c r="A2" s="20" t="n">
        <v>1</v>
      </c>
      <c r="B2" s="20" t="inlineStr">
        <is>
          <t>HD-1</t>
        </is>
      </c>
      <c r="C2" s="20" t="inlineStr">
        <is>
          <t>M1 · Control Habeas Data</t>
        </is>
      </c>
      <c r="D2" s="20" t="inlineStr">
        <is>
          <t>Realiza las preguntas de seguridad (filtro de titularidad) ANTES de dar cualquier información del crédito, la obligación, el saldo o el recibo de pago.</t>
        </is>
      </c>
      <c r="E2" s="20" t="inlineStr">
        <is>
          <t>Control HD</t>
        </is>
      </c>
      <c r="F2" s="20" t="inlineStr">
        <is>
          <t>Todos</t>
        </is>
      </c>
      <c r="G2" s="20" t="inlineStr">
        <is>
          <t>Todos</t>
        </is>
      </c>
      <c r="H2" s="20" t="n">
        <v>1</v>
      </c>
      <c r="I2" s="20" t="n">
        <v>1</v>
      </c>
      <c r="J2" s="20" t="n">
        <v>1</v>
      </c>
      <c r="K2" s="20" t="n">
        <v>0</v>
      </c>
      <c r="L2" s="20" t="n">
        <v>0</v>
      </c>
      <c r="M2" s="20" t="n">
        <v>0</v>
      </c>
      <c r="N2" s="20" t="inlineStr"/>
      <c r="O2" s="20" t="inlineStr"/>
      <c r="P2" s="20" t="inlineStr">
        <is>
          <t>PV-IN-04 4.7</t>
        </is>
      </c>
      <c r="Q2" s="20" t="n">
        <v>1</v>
      </c>
      <c r="R2" s="10" t="inlineStr">
        <is>
          <t>wa_hd_preguntas_seguridad_antes_de_informar</t>
        </is>
      </c>
      <c r="S2" s="10" t="inlineStr">
        <is>
          <t>ll_hd_preguntas_seguridad_antes_de_informar</t>
        </is>
      </c>
      <c r="T2" s="10" t="inlineStr">
        <is>
          <t>co_hd_preguntas_seguridad_antes_de_informar</t>
        </is>
      </c>
      <c r="U2" s="10" t="inlineStr">
        <is>
          <t>pr_hd_preguntas_seguridad_antes_de_informar</t>
        </is>
      </c>
    </row>
    <row r="3">
      <c r="A3" s="20" t="n">
        <v>2</v>
      </c>
      <c r="B3" s="20" t="inlineStr">
        <is>
          <t>HD-2</t>
        </is>
      </c>
      <c r="C3" s="20" t="inlineStr">
        <is>
          <t>M1 · Control Habeas Data</t>
        </is>
      </c>
      <c r="D3" s="20" t="inlineStr">
        <is>
          <t>Hace las preguntas de seguridad COMPLETAS, según el protocolo vigente (no omite ni resume preguntas).</t>
        </is>
      </c>
      <c r="E3" s="20" t="inlineStr">
        <is>
          <t>Control HD</t>
        </is>
      </c>
      <c r="F3" s="20" t="inlineStr">
        <is>
          <t>Todos</t>
        </is>
      </c>
      <c r="G3" s="20" t="inlineStr">
        <is>
          <t>Todos</t>
        </is>
      </c>
      <c r="H3" s="20" t="n">
        <v>1</v>
      </c>
      <c r="I3" s="20" t="n">
        <v>1</v>
      </c>
      <c r="J3" s="20" t="n">
        <v>1</v>
      </c>
      <c r="K3" s="20" t="n">
        <v>0</v>
      </c>
      <c r="L3" s="20" t="n">
        <v>0</v>
      </c>
      <c r="M3" s="20" t="n">
        <v>0</v>
      </c>
      <c r="N3" s="20" t="inlineStr"/>
      <c r="O3" s="20" t="inlineStr"/>
      <c r="P3" s="20" t="inlineStr">
        <is>
          <t>PV-IN-04 4.7</t>
        </is>
      </c>
      <c r="Q3" s="20" t="n">
        <v>1</v>
      </c>
      <c r="R3" s="10" t="inlineStr">
        <is>
          <t>wa_hd_preguntas_seguridad_completas</t>
        </is>
      </c>
      <c r="S3" s="10" t="inlineStr">
        <is>
          <t>ll_hd_preguntas_seguridad_completas</t>
        </is>
      </c>
      <c r="T3" s="10" t="inlineStr">
        <is>
          <t>co_hd_preguntas_seguridad_completas</t>
        </is>
      </c>
      <c r="U3" s="10" t="inlineStr">
        <is>
          <t>pr_hd_preguntas_seguridad_completas</t>
        </is>
      </c>
    </row>
    <row r="4">
      <c r="A4" s="20" t="n">
        <v>3</v>
      </c>
      <c r="B4" s="20" t="inlineStr">
        <is>
          <t>HD-3</t>
        </is>
      </c>
      <c r="C4" s="20" t="inlineStr">
        <is>
          <t>M1 · Control Habeas Data</t>
        </is>
      </c>
      <c r="D4" s="20" t="inlineStr">
        <is>
          <t>No entrega información a terceros no autorizados (familiares, codeudores, referencias, IES sin autorización).</t>
        </is>
      </c>
      <c r="E4" s="20" t="inlineStr">
        <is>
          <t>Control HD</t>
        </is>
      </c>
      <c r="F4" s="20" t="inlineStr">
        <is>
          <t>Todos</t>
        </is>
      </c>
      <c r="G4" s="20" t="inlineStr">
        <is>
          <t>Todos</t>
        </is>
      </c>
      <c r="H4" s="20" t="n">
        <v>1</v>
      </c>
      <c r="I4" s="20" t="n">
        <v>1</v>
      </c>
      <c r="J4" s="20" t="n">
        <v>1</v>
      </c>
      <c r="K4" s="20" t="n">
        <v>0</v>
      </c>
      <c r="L4" s="20" t="n">
        <v>0</v>
      </c>
      <c r="M4" s="20" t="n">
        <v>0</v>
      </c>
      <c r="N4" s="20" t="inlineStr"/>
      <c r="O4" s="20" t="inlineStr"/>
      <c r="P4" s="20" t="inlineStr">
        <is>
          <t>PV-IN-04 4.7 · Ley 1581 de 2012</t>
        </is>
      </c>
      <c r="Q4" s="20" t="n">
        <v>1</v>
      </c>
      <c r="R4" s="10" t="inlineStr">
        <is>
          <t>wa_hd_no_informa_a_terceros_no_autorizados</t>
        </is>
      </c>
      <c r="S4" s="10" t="inlineStr">
        <is>
          <t>ll_hd_no_informa_a_terceros_no_autorizados</t>
        </is>
      </c>
      <c r="T4" s="10" t="inlineStr">
        <is>
          <t>co_hd_no_informa_a_terceros_no_autorizados</t>
        </is>
      </c>
      <c r="U4" s="10" t="inlineStr">
        <is>
          <t>pr_hd_no_informa_a_terceros_no_autorizados</t>
        </is>
      </c>
    </row>
    <row r="5">
      <c r="A5" s="20" t="n">
        <v>4</v>
      </c>
      <c r="B5" s="20" t="inlineStr">
        <is>
          <t>HD-4</t>
        </is>
      </c>
      <c r="C5" s="20" t="inlineStr">
        <is>
          <t>M1 · Control Habeas Data</t>
        </is>
      </c>
      <c r="D5" s="20" t="inlineStr">
        <is>
          <t>Protege los datos: no expone datos completos del titular en el canal y no pide ni envía documentos por canales no oficiales.</t>
        </is>
      </c>
      <c r="E5" s="20" t="inlineStr">
        <is>
          <t>Control HD</t>
        </is>
      </c>
      <c r="F5" s="20" t="inlineStr">
        <is>
          <t>Todos</t>
        </is>
      </c>
      <c r="G5" s="20" t="inlineStr">
        <is>
          <t>Todos</t>
        </is>
      </c>
      <c r="H5" s="20" t="n">
        <v>1</v>
      </c>
      <c r="I5" s="20" t="n">
        <v>1</v>
      </c>
      <c r="J5" s="20" t="n">
        <v>1</v>
      </c>
      <c r="K5" s="20" t="n">
        <v>0</v>
      </c>
      <c r="L5" s="20" t="n">
        <v>0</v>
      </c>
      <c r="M5" s="20" t="n">
        <v>0</v>
      </c>
      <c r="N5" s="20" t="inlineStr"/>
      <c r="O5" s="20" t="inlineStr"/>
      <c r="P5" s="20" t="inlineStr">
        <is>
          <t>Ley 1581 de 2012</t>
        </is>
      </c>
      <c r="Q5" s="20" t="n">
        <v>0</v>
      </c>
      <c r="R5" s="10" t="inlineStr">
        <is>
          <t>wa_hd_protege_datos_y_usa_canales_oficiales</t>
        </is>
      </c>
      <c r="S5" s="10" t="inlineStr">
        <is>
          <t>ll_hd_protege_datos_y_usa_canales_oficiales</t>
        </is>
      </c>
      <c r="T5" s="10" t="inlineStr">
        <is>
          <t>co_hd_protege_datos_y_usa_canales_oficiales</t>
        </is>
      </c>
      <c r="U5" s="10" t="inlineStr">
        <is>
          <t>pr_hd_protege_datos_y_usa_canales_oficiales</t>
        </is>
      </c>
    </row>
    <row r="6">
      <c r="A6" s="20" t="n">
        <v>5</v>
      </c>
      <c r="B6" s="20" t="inlineStr">
        <is>
          <t>HD-5</t>
        </is>
      </c>
      <c r="C6" s="20" t="inlineStr">
        <is>
          <t>M1 · Control Habeas Data</t>
        </is>
      </c>
      <c r="D6" s="20" t="inlineStr">
        <is>
          <t>Respeta la autorización de tratamiento de datos y contacta solo por los canales que el asociado autorizó.</t>
        </is>
      </c>
      <c r="E6" s="20" t="inlineStr">
        <is>
          <t>Control HD</t>
        </is>
      </c>
      <c r="F6" s="20" t="inlineStr">
        <is>
          <t>Todos</t>
        </is>
      </c>
      <c r="G6" s="20" t="inlineStr">
        <is>
          <t>Todos</t>
        </is>
      </c>
      <c r="H6" s="20" t="n">
        <v>1</v>
      </c>
      <c r="I6" s="20" t="n">
        <v>1</v>
      </c>
      <c r="J6" s="20" t="n">
        <v>1</v>
      </c>
      <c r="K6" s="20" t="n">
        <v>0</v>
      </c>
      <c r="L6" s="20" t="n">
        <v>0</v>
      </c>
      <c r="M6" s="20" t="n">
        <v>0</v>
      </c>
      <c r="N6" s="20" t="inlineStr"/>
      <c r="O6" s="20" t="inlineStr"/>
      <c r="P6" s="20" t="inlineStr">
        <is>
          <t>Ley 1581 de 2012 · Ley 2300 de 2023</t>
        </is>
      </c>
      <c r="Q6" s="20" t="n">
        <v>0</v>
      </c>
      <c r="R6" s="10" t="inlineStr">
        <is>
          <t>wa_hd_respeta_autorizacion_de_contacto</t>
        </is>
      </c>
      <c r="S6" s="10" t="inlineStr">
        <is>
          <t>ll_hd_respeta_autorizacion_de_contacto</t>
        </is>
      </c>
      <c r="T6" s="10" t="inlineStr">
        <is>
          <t>co_hd_respeta_autorizacion_de_contacto</t>
        </is>
      </c>
      <c r="U6" s="10" t="inlineStr">
        <is>
          <t>pr_hd_respeta_autorizacion_de_contacto</t>
        </is>
      </c>
    </row>
    <row r="7">
      <c r="A7" s="20" t="n">
        <v>6</v>
      </c>
      <c r="B7" s="20" t="inlineStr">
        <is>
          <t>ECU-1</t>
        </is>
      </c>
      <c r="C7" s="20" t="inlineStr">
        <is>
          <t>2. Asesoría comercial</t>
        </is>
      </c>
      <c r="D7" s="20" t="inlineStr">
        <is>
          <t>Da información correcta y completa (requisitos, documentos, condiciones, estado del crédito o de la obligación).</t>
        </is>
      </c>
      <c r="E7" s="20" t="inlineStr">
        <is>
          <t>ECU</t>
        </is>
      </c>
      <c r="F7" s="20" t="inlineStr">
        <is>
          <t>Todos</t>
        </is>
      </c>
      <c r="G7" s="20" t="inlineStr">
        <is>
          <t>Todos</t>
        </is>
      </c>
      <c r="H7" s="20" t="n">
        <v>1</v>
      </c>
      <c r="I7" s="20" t="n">
        <v>1</v>
      </c>
      <c r="J7" s="20" t="n">
        <v>1</v>
      </c>
      <c r="K7" s="20" t="n">
        <v>0</v>
      </c>
      <c r="L7" s="20" t="n">
        <v>0</v>
      </c>
      <c r="M7" s="20" t="n">
        <v>0</v>
      </c>
      <c r="N7" s="20" t="inlineStr"/>
      <c r="O7" s="20" t="inlineStr"/>
      <c r="P7" s="20" t="inlineStr">
        <is>
          <t>PV-PR-09 6.3</t>
        </is>
      </c>
      <c r="Q7" s="20" t="n">
        <v>0</v>
      </c>
      <c r="R7" s="10" t="inlineStr">
        <is>
          <t>wa_ecu_informacion_correcta_y_completa</t>
        </is>
      </c>
      <c r="S7" s="10" t="inlineStr">
        <is>
          <t>ll_ecu_informacion_correcta_y_completa</t>
        </is>
      </c>
      <c r="T7" s="10" t="inlineStr">
        <is>
          <t>co_ecu_informacion_correcta_y_completa</t>
        </is>
      </c>
      <c r="U7" s="10" t="inlineStr">
        <is>
          <t>pr_ecu_informacion_correcta_y_completa</t>
        </is>
      </c>
    </row>
    <row r="8">
      <c r="A8" s="20" t="n">
        <v>7</v>
      </c>
      <c r="B8" s="20" t="inlineStr">
        <is>
          <t>ECU-2</t>
        </is>
      </c>
      <c r="C8" s="20" t="inlineStr">
        <is>
          <t>5. Experiencia del asociado</t>
        </is>
      </c>
      <c r="D8" s="20" t="inlineStr">
        <is>
          <t>Trata al asociado con respeto (sin maltrato ni trato inadecuado).</t>
        </is>
      </c>
      <c r="E8" s="20" t="inlineStr">
        <is>
          <t>ECU</t>
        </is>
      </c>
      <c r="F8" s="20" t="inlineStr">
        <is>
          <t>Todos</t>
        </is>
      </c>
      <c r="G8" s="20" t="inlineStr">
        <is>
          <t>Todos</t>
        </is>
      </c>
      <c r="H8" s="20" t="n">
        <v>1</v>
      </c>
      <c r="I8" s="20" t="n">
        <v>1</v>
      </c>
      <c r="J8" s="20" t="n">
        <v>1</v>
      </c>
      <c r="K8" s="20" t="n">
        <v>0</v>
      </c>
      <c r="L8" s="20" t="n">
        <v>0</v>
      </c>
      <c r="M8" s="20" t="n">
        <v>0</v>
      </c>
      <c r="N8" s="20" t="inlineStr"/>
      <c r="O8" s="20" t="inlineStr"/>
      <c r="P8" s="20" t="inlineStr">
        <is>
          <t>PV-IN-04 4.8</t>
        </is>
      </c>
      <c r="Q8" s="20" t="n">
        <v>1</v>
      </c>
      <c r="R8" s="10" t="inlineStr">
        <is>
          <t>wa_ecu_trato_respetuoso</t>
        </is>
      </c>
      <c r="S8" s="10" t="inlineStr">
        <is>
          <t>ll_ecu_trato_respetuoso</t>
        </is>
      </c>
      <c r="T8" s="10" t="inlineStr">
        <is>
          <t>co_ecu_trato_respetuoso</t>
        </is>
      </c>
      <c r="U8" s="10" t="inlineStr">
        <is>
          <t>pr_ecu_trato_respetuoso</t>
        </is>
      </c>
    </row>
    <row r="9">
      <c r="A9" s="20" t="n">
        <v>8</v>
      </c>
      <c r="B9" s="20" t="inlineStr">
        <is>
          <t>ECU-3</t>
        </is>
      </c>
      <c r="C9" s="20" t="inlineStr">
        <is>
          <t>4. Registro y seguimiento</t>
        </is>
      </c>
      <c r="D9" s="20" t="inlineStr">
        <is>
          <t>Da respuesta y cierre a toda solicitud o compromiso con el asociado (no abandona el caso ni deja sin respuesta un mensaje).</t>
        </is>
      </c>
      <c r="E9" s="20" t="inlineStr">
        <is>
          <t>ECU</t>
        </is>
      </c>
      <c r="F9" s="20" t="inlineStr">
        <is>
          <t>Todos</t>
        </is>
      </c>
      <c r="G9" s="20" t="inlineStr">
        <is>
          <t>Todos</t>
        </is>
      </c>
      <c r="H9" s="20" t="n">
        <v>1</v>
      </c>
      <c r="I9" s="20" t="n">
        <v>1</v>
      </c>
      <c r="J9" s="20" t="n">
        <v>1</v>
      </c>
      <c r="K9" s="20" t="n">
        <v>0</v>
      </c>
      <c r="L9" s="20" t="n">
        <v>0</v>
      </c>
      <c r="M9" s="20" t="n">
        <v>0</v>
      </c>
      <c r="N9" s="20" t="inlineStr"/>
      <c r="O9" s="20" t="inlineStr"/>
      <c r="P9" s="20" t="inlineStr">
        <is>
          <t>PV-PR-09 6.2</t>
        </is>
      </c>
      <c r="Q9" s="20" t="n">
        <v>0</v>
      </c>
      <c r="R9" s="10" t="inlineStr">
        <is>
          <t>wa_ecu_da_respuesta_y_cierre_a_solicitudes</t>
        </is>
      </c>
      <c r="S9" s="10" t="inlineStr">
        <is>
          <t>ll_ecu_da_respuesta_y_cierre_a_solicitudes</t>
        </is>
      </c>
      <c r="T9" s="10" t="inlineStr">
        <is>
          <t>co_ecu_da_respuesta_y_cierre_a_solicitudes</t>
        </is>
      </c>
      <c r="U9" s="10" t="inlineStr">
        <is>
          <t>pr_ecu_da_respuesta_y_cierre_a_solicitudes</t>
        </is>
      </c>
    </row>
    <row r="10">
      <c r="A10" s="20" t="n">
        <v>9</v>
      </c>
      <c r="B10" s="20" t="inlineStr">
        <is>
          <t>ECN-1</t>
        </is>
      </c>
      <c r="C10" s="20" t="inlineStr">
        <is>
          <t>1. Contacto oportuno</t>
        </is>
      </c>
      <c r="D10" s="20" t="inlineStr">
        <is>
          <t>Realiza el primer contacto con el lead dentro del SLA (3 h hábiles desde la asignación).</t>
        </is>
      </c>
      <c r="E10" s="20" t="inlineStr">
        <is>
          <t>ECN</t>
        </is>
      </c>
      <c r="F10" s="20" t="inlineStr">
        <is>
          <t>Todos</t>
        </is>
      </c>
      <c r="G10" s="20" t="inlineStr">
        <is>
          <t>Comercial</t>
        </is>
      </c>
      <c r="H10" s="20" t="n">
        <v>1</v>
      </c>
      <c r="I10" s="20" t="n">
        <v>0</v>
      </c>
      <c r="J10" s="20" t="n">
        <v>0</v>
      </c>
      <c r="K10" s="20" t="n">
        <v>0</v>
      </c>
      <c r="L10" s="20" t="n">
        <v>0</v>
      </c>
      <c r="M10" s="20" t="n">
        <v>0</v>
      </c>
      <c r="N10" s="20" t="inlineStr"/>
      <c r="O10" s="20" t="inlineStr">
        <is>
          <t>X</t>
        </is>
      </c>
      <c r="P10" s="20" t="inlineStr">
        <is>
          <t>PV-PR-09 4 y 6.3</t>
        </is>
      </c>
      <c r="Q10" s="20" t="n">
        <v>0</v>
      </c>
      <c r="R10" s="10" t="inlineStr">
        <is>
          <t>wa_ecn_primer_contacto_dentro_de_sla</t>
        </is>
      </c>
      <c r="S10" s="10" t="inlineStr">
        <is>
          <t>ll_ecn_primer_contacto_dentro_de_sla</t>
        </is>
      </c>
      <c r="T10" s="10" t="inlineStr">
        <is>
          <t>co_ecn_primer_contacto_dentro_de_sla</t>
        </is>
      </c>
      <c r="U10" s="10" t="inlineStr">
        <is>
          <t>pr_ecn_primer_contacto_dentro_de_sla</t>
        </is>
      </c>
    </row>
    <row r="11">
      <c r="A11" s="20" t="n">
        <v>10</v>
      </c>
      <c r="B11" s="20" t="inlineStr">
        <is>
          <t>ECN-2</t>
        </is>
      </c>
      <c r="C11" s="20" t="inlineStr">
        <is>
          <t>1. Contacto oportuno</t>
        </is>
      </c>
      <c r="D11" s="20" t="inlineStr">
        <is>
          <t>Descalifica el lead solo con los intentos registrados y el motivo que corresponde.</t>
        </is>
      </c>
      <c r="E11" s="20" t="inlineStr">
        <is>
          <t>ECN</t>
        </is>
      </c>
      <c r="F11" s="20" t="inlineStr">
        <is>
          <t>Todos</t>
        </is>
      </c>
      <c r="G11" s="20" t="inlineStr">
        <is>
          <t>Comercial</t>
        </is>
      </c>
      <c r="H11" s="20" t="n">
        <v>1</v>
      </c>
      <c r="I11" s="20" t="n">
        <v>0</v>
      </c>
      <c r="J11" s="20" t="n">
        <v>0</v>
      </c>
      <c r="K11" s="20" t="n">
        <v>0</v>
      </c>
      <c r="L11" s="20" t="n">
        <v>0</v>
      </c>
      <c r="M11" s="20" t="n">
        <v>0</v>
      </c>
      <c r="N11" s="20" t="inlineStr"/>
      <c r="O11" s="20" t="inlineStr">
        <is>
          <t>X</t>
        </is>
      </c>
      <c r="P11" s="20" t="inlineStr">
        <is>
          <t>PV-PR-09 6.3</t>
        </is>
      </c>
      <c r="Q11" s="20" t="n">
        <v>0</v>
      </c>
      <c r="R11" s="10" t="inlineStr">
        <is>
          <t>wa_ecn_descalifica_con_intentos_y_motivo</t>
        </is>
      </c>
      <c r="S11" s="10" t="inlineStr">
        <is>
          <t>ll_ecn_descalifica_con_intentos_y_motivo</t>
        </is>
      </c>
      <c r="T11" s="10" t="inlineStr">
        <is>
          <t>co_ecn_descalifica_con_intentos_y_motivo</t>
        </is>
      </c>
      <c r="U11" s="10" t="inlineStr">
        <is>
          <t>pr_ecn_descalifica_con_intentos_y_motivo</t>
        </is>
      </c>
    </row>
    <row r="12">
      <c r="A12" s="20" t="n">
        <v>11</v>
      </c>
      <c r="B12" s="20" t="inlineStr">
        <is>
          <t>ECN-3</t>
        </is>
      </c>
      <c r="C12" s="20" t="inlineStr">
        <is>
          <t>3. Avance con evidencia</t>
        </is>
      </c>
      <c r="D12" s="20" t="inlineStr">
        <is>
          <t>Crea o asocia el negocio cuando la persona decide continuar.</t>
        </is>
      </c>
      <c r="E12" s="20" t="inlineStr">
        <is>
          <t>ECN</t>
        </is>
      </c>
      <c r="F12" s="20" t="inlineStr">
        <is>
          <t>Todos</t>
        </is>
      </c>
      <c r="G12" s="20" t="inlineStr">
        <is>
          <t>Comercial</t>
        </is>
      </c>
      <c r="H12" s="20" t="n">
        <v>1</v>
      </c>
      <c r="I12" s="20" t="n">
        <v>0</v>
      </c>
      <c r="J12" s="20" t="n">
        <v>0</v>
      </c>
      <c r="K12" s="20" t="n">
        <v>0</v>
      </c>
      <c r="L12" s="20" t="n">
        <v>0</v>
      </c>
      <c r="M12" s="20" t="n">
        <v>0</v>
      </c>
      <c r="N12" s="20" t="inlineStr"/>
      <c r="O12" s="20" t="inlineStr">
        <is>
          <t>X</t>
        </is>
      </c>
      <c r="P12" s="20" t="inlineStr">
        <is>
          <t>PV-PR-09 6.3</t>
        </is>
      </c>
      <c r="Q12" s="20" t="n">
        <v>0</v>
      </c>
      <c r="R12" s="10" t="inlineStr">
        <is>
          <t>wa_ecn_crea_o_asocia_negocio</t>
        </is>
      </c>
      <c r="S12" s="10" t="inlineStr">
        <is>
          <t>ll_ecn_crea_o_asocia_negocio</t>
        </is>
      </c>
      <c r="T12" s="10" t="inlineStr">
        <is>
          <t>co_ecn_crea_o_asocia_negocio</t>
        </is>
      </c>
      <c r="U12" s="10" t="inlineStr">
        <is>
          <t>pr_ecn_crea_o_asocia_negocio</t>
        </is>
      </c>
    </row>
    <row r="13">
      <c r="A13" s="20" t="n">
        <v>12</v>
      </c>
      <c r="B13" s="20" t="inlineStr">
        <is>
          <t>ECN-4</t>
        </is>
      </c>
      <c r="C13" s="20" t="inlineStr">
        <is>
          <t>3. Avance con evidencia</t>
        </is>
      </c>
      <c r="D13" s="20" t="inlineStr">
        <is>
          <t>Mueve las etapas solo con evidencia (Desembolsado con fecha y referencia).</t>
        </is>
      </c>
      <c r="E13" s="20" t="inlineStr">
        <is>
          <t>ECN</t>
        </is>
      </c>
      <c r="F13" s="20" t="inlineStr">
        <is>
          <t>Todos</t>
        </is>
      </c>
      <c r="G13" s="20" t="inlineStr">
        <is>
          <t>Comercial</t>
        </is>
      </c>
      <c r="H13" s="20" t="n">
        <v>1</v>
      </c>
      <c r="I13" s="20" t="n">
        <v>0</v>
      </c>
      <c r="J13" s="20" t="n">
        <v>0</v>
      </c>
      <c r="K13" s="20" t="n">
        <v>0</v>
      </c>
      <c r="L13" s="20" t="n">
        <v>0</v>
      </c>
      <c r="M13" s="20" t="n">
        <v>0</v>
      </c>
      <c r="N13" s="20" t="inlineStr"/>
      <c r="O13" s="20" t="inlineStr">
        <is>
          <t>X</t>
        </is>
      </c>
      <c r="P13" s="20" t="inlineStr">
        <is>
          <t>PV-PR-09 6.4</t>
        </is>
      </c>
      <c r="Q13" s="20" t="n">
        <v>0</v>
      </c>
      <c r="R13" s="10" t="inlineStr">
        <is>
          <t>wa_ecn_mueve_etapas_con_evidencia</t>
        </is>
      </c>
      <c r="S13" s="10" t="inlineStr">
        <is>
          <t>ll_ecn_mueve_etapas_con_evidencia</t>
        </is>
      </c>
      <c r="T13" s="10" t="inlineStr">
        <is>
          <t>co_ecn_mueve_etapas_con_evidencia</t>
        </is>
      </c>
      <c r="U13" s="10" t="inlineStr">
        <is>
          <t>pr_ecn_mueve_etapas_con_evidencia</t>
        </is>
      </c>
    </row>
    <row r="14">
      <c r="A14" s="20" t="n">
        <v>13</v>
      </c>
      <c r="B14" s="20" t="inlineStr">
        <is>
          <t>ECN-5</t>
        </is>
      </c>
      <c r="C14" s="20" t="inlineStr">
        <is>
          <t>4. Registro y seguimiento</t>
        </is>
      </c>
      <c r="D14" s="20" t="inlineStr">
        <is>
          <t>Deja el caso con estado real, próxima acción, responsable y fecha.</t>
        </is>
      </c>
      <c r="E14" s="20" t="inlineStr">
        <is>
          <t>ECN</t>
        </is>
      </c>
      <c r="F14" s="20" t="inlineStr">
        <is>
          <t>Todos</t>
        </is>
      </c>
      <c r="G14" s="20" t="inlineStr">
        <is>
          <t>Todos</t>
        </is>
      </c>
      <c r="H14" s="20" t="n">
        <v>1</v>
      </c>
      <c r="I14" s="20" t="n">
        <v>1</v>
      </c>
      <c r="J14" s="20" t="n">
        <v>1</v>
      </c>
      <c r="K14" s="20" t="n">
        <v>0</v>
      </c>
      <c r="L14" s="20" t="n">
        <v>0</v>
      </c>
      <c r="M14" s="20" t="n">
        <v>0</v>
      </c>
      <c r="N14" s="20" t="inlineStr"/>
      <c r="O14" s="20" t="inlineStr"/>
      <c r="P14" s="20" t="inlineStr">
        <is>
          <t>PV-PR-09 6.1</t>
        </is>
      </c>
      <c r="Q14" s="20" t="n">
        <v>0</v>
      </c>
      <c r="R14" s="10" t="inlineStr">
        <is>
          <t>wa_ecn_deja_estado_proxima_accion_responsable_fecha</t>
        </is>
      </c>
      <c r="S14" s="10" t="inlineStr">
        <is>
          <t>ll_ecn_deja_estado_proxima_accion_responsable_fecha</t>
        </is>
      </c>
      <c r="T14" s="10" t="inlineStr">
        <is>
          <t>co_ecn_deja_estado_proxima_accion_responsable_fecha</t>
        </is>
      </c>
      <c r="U14" s="10" t="inlineStr">
        <is>
          <t>pr_ecn_deja_estado_proxima_accion_responsable_fecha</t>
        </is>
      </c>
    </row>
    <row r="15">
      <c r="A15" s="20" t="n">
        <v>14</v>
      </c>
      <c r="B15" s="20" t="inlineStr">
        <is>
          <t>ECC-1</t>
        </is>
      </c>
      <c r="C15" s="20" t="inlineStr">
        <is>
          <t>2. Asesoría comercial</t>
        </is>
      </c>
      <c r="D15" s="20" t="inlineStr">
        <is>
          <t>No promete aprobación, tasa, costo, monto, descuento ni condiciones de pago no autorizados.</t>
        </is>
      </c>
      <c r="E15" s="20" t="inlineStr">
        <is>
          <t>ECC</t>
        </is>
      </c>
      <c r="F15" s="20" t="inlineStr">
        <is>
          <t>Todos</t>
        </is>
      </c>
      <c r="G15" s="20" t="inlineStr">
        <is>
          <t>Todos</t>
        </is>
      </c>
      <c r="H15" s="20" t="n">
        <v>1</v>
      </c>
      <c r="I15" s="20" t="n">
        <v>1</v>
      </c>
      <c r="J15" s="20" t="n">
        <v>1</v>
      </c>
      <c r="K15" s="20" t="n">
        <v>0</v>
      </c>
      <c r="L15" s="20" t="n">
        <v>0</v>
      </c>
      <c r="M15" s="20" t="n">
        <v>0</v>
      </c>
      <c r="N15" s="20" t="inlineStr"/>
      <c r="O15" s="20" t="inlineStr"/>
      <c r="P15" s="20" t="inlineStr">
        <is>
          <t>Política comercial y de cartera</t>
        </is>
      </c>
      <c r="Q15" s="20" t="n">
        <v>0</v>
      </c>
      <c r="R15" s="10" t="inlineStr">
        <is>
          <t>wa_ecc_no_promete_condiciones_no_autorizadas</t>
        </is>
      </c>
      <c r="S15" s="10" t="inlineStr">
        <is>
          <t>ll_ecc_no_promete_condiciones_no_autorizadas</t>
        </is>
      </c>
      <c r="T15" s="10" t="inlineStr">
        <is>
          <t>co_ecc_no_promete_condiciones_no_autorizadas</t>
        </is>
      </c>
      <c r="U15" s="10" t="inlineStr">
        <is>
          <t>pr_ecc_no_promete_condiciones_no_autorizadas</t>
        </is>
      </c>
    </row>
    <row r="16">
      <c r="A16" s="20" t="n">
        <v>15</v>
      </c>
      <c r="B16" s="20" t="inlineStr">
        <is>
          <t>ECC-2</t>
        </is>
      </c>
      <c r="C16" s="20" t="inlineStr">
        <is>
          <t>3. Avance con evidencia</t>
        </is>
      </c>
      <c r="D16" s="20" t="inlineStr">
        <is>
          <t>No altera ni manipula documentos.</t>
        </is>
      </c>
      <c r="E16" s="20" t="inlineStr">
        <is>
          <t>ECC</t>
        </is>
      </c>
      <c r="F16" s="20" t="inlineStr">
        <is>
          <t>Todos</t>
        </is>
      </c>
      <c r="G16" s="20" t="inlineStr">
        <is>
          <t>Todos</t>
        </is>
      </c>
      <c r="H16" s="20" t="n">
        <v>1</v>
      </c>
      <c r="I16" s="20" t="n">
        <v>1</v>
      </c>
      <c r="J16" s="20" t="n">
        <v>1</v>
      </c>
      <c r="K16" s="20" t="n">
        <v>0</v>
      </c>
      <c r="L16" s="20" t="n">
        <v>0</v>
      </c>
      <c r="M16" s="20" t="n">
        <v>0</v>
      </c>
      <c r="N16" s="20" t="inlineStr"/>
      <c r="O16" s="20" t="inlineStr">
        <is>
          <t>X</t>
        </is>
      </c>
      <c r="P16" s="20" t="inlineStr">
        <is>
          <t>PV-IN-04 4.8</t>
        </is>
      </c>
      <c r="Q16" s="20" t="n">
        <v>1</v>
      </c>
      <c r="R16" s="10" t="inlineStr">
        <is>
          <t>wa_ecc_no_altera_documentos</t>
        </is>
      </c>
      <c r="S16" s="10" t="inlineStr">
        <is>
          <t>ll_ecc_no_altera_documentos</t>
        </is>
      </c>
      <c r="T16" s="10" t="inlineStr">
        <is>
          <t>co_ecc_no_altera_documentos</t>
        </is>
      </c>
      <c r="U16" s="10" t="inlineStr">
        <is>
          <t>pr_ecc_no_altera_documentos</t>
        </is>
      </c>
    </row>
    <row r="17">
      <c r="A17" s="20" t="n">
        <v>16</v>
      </c>
      <c r="B17" s="20" t="inlineStr">
        <is>
          <t>ECC-3</t>
        </is>
      </c>
      <c r="C17" s="20" t="inlineStr">
        <is>
          <t>7. Gestión de cobranza</t>
        </is>
      </c>
      <c r="D17" s="20" t="inlineStr">
        <is>
          <t>Cobra con respeto y dentro de la ley: sin intimidar ni presionar, sin informar la deuda a terceros o referencias, y en los horarios y canales permitidos.</t>
        </is>
      </c>
      <c r="E17" s="20" t="inlineStr">
        <is>
          <t>ECC</t>
        </is>
      </c>
      <c r="F17" s="20" t="inlineStr">
        <is>
          <t>Todos</t>
        </is>
      </c>
      <c r="G17" s="20" t="inlineStr">
        <is>
          <t>Cobranza</t>
        </is>
      </c>
      <c r="H17" s="20" t="n">
        <v>0</v>
      </c>
      <c r="I17" s="20" t="n">
        <v>1</v>
      </c>
      <c r="J17" s="20" t="n">
        <v>1</v>
      </c>
      <c r="K17" s="20" t="n">
        <v>0</v>
      </c>
      <c r="L17" s="20" t="n">
        <v>0</v>
      </c>
      <c r="M17" s="20" t="n">
        <v>0</v>
      </c>
      <c r="N17" s="20" t="inlineStr"/>
      <c r="O17" s="20" t="inlineStr"/>
      <c r="P17" s="20" t="inlineStr">
        <is>
          <t>Ley 2300 de 2023 y Ley 1266 de 2008</t>
        </is>
      </c>
      <c r="Q17" s="20" t="n">
        <v>0</v>
      </c>
      <c r="R17" s="10" t="inlineStr">
        <is>
          <t>wa_ecc_cobra_con_respeto_y_dentro_de_la_ley</t>
        </is>
      </c>
      <c r="S17" s="10" t="inlineStr">
        <is>
          <t>ll_ecc_cobra_con_respeto_y_dentro_de_la_ley</t>
        </is>
      </c>
      <c r="T17" s="10" t="inlineStr">
        <is>
          <t>co_ecc_cobra_con_respeto_y_dentro_de_la_ley</t>
        </is>
      </c>
      <c r="U17" s="10" t="inlineStr">
        <is>
          <t>pr_ecc_cobra_con_respeto_y_dentro_de_la_ley</t>
        </is>
      </c>
    </row>
    <row r="18">
      <c r="A18" s="8" t="n">
        <v>17</v>
      </c>
      <c r="B18" s="8" t="inlineStr">
        <is>
          <t>P1-1</t>
        </is>
      </c>
      <c r="C18" s="8" t="inlineStr">
        <is>
          <t>1. Contacto oportuno</t>
        </is>
      </c>
      <c r="D18" s="8" t="inlineStr">
        <is>
          <t>Sigue la cadencia de 48 h por varios canales (WhatsApp, llamada en franja, último intento con correo y secuencia).</t>
        </is>
      </c>
      <c r="E18" s="8" t="inlineStr">
        <is>
          <t>No crítico</t>
        </is>
      </c>
      <c r="F18" s="8" t="inlineStr">
        <is>
          <t>Todos</t>
        </is>
      </c>
      <c r="G18" s="8" t="inlineStr">
        <is>
          <t>Comercial</t>
        </is>
      </c>
      <c r="H18" s="8" t="n">
        <v>1</v>
      </c>
      <c r="I18" s="8" t="n">
        <v>0</v>
      </c>
      <c r="J18" s="8" t="n">
        <v>0</v>
      </c>
      <c r="K18" s="8" t="n">
        <v>6</v>
      </c>
      <c r="L18" s="8" t="n">
        <v>0</v>
      </c>
      <c r="M18" s="8" t="n">
        <v>0</v>
      </c>
      <c r="N18" s="8" t="inlineStr">
        <is>
          <t>P1-2</t>
        </is>
      </c>
      <c r="O18" s="8" t="inlineStr">
        <is>
          <t>X</t>
        </is>
      </c>
      <c r="P18" s="8" t="inlineStr">
        <is>
          <t>PV-PR-09 6.3</t>
        </is>
      </c>
      <c r="Q18" s="8" t="n">
        <v>0</v>
      </c>
      <c r="R18" s="10" t="inlineStr">
        <is>
          <t>wa_sigue_cadencia_48h_multicanal</t>
        </is>
      </c>
      <c r="S18" s="10" t="inlineStr">
        <is>
          <t>ll_sigue_cadencia_48h_multicanal</t>
        </is>
      </c>
      <c r="T18" s="10" t="inlineStr">
        <is>
          <t>co_sigue_cadencia_48h_multicanal</t>
        </is>
      </c>
      <c r="U18" s="10" t="inlineStr">
        <is>
          <t>pr_sigue_cadencia_48h_multicanal</t>
        </is>
      </c>
    </row>
    <row r="19">
      <c r="A19" s="25" t="n">
        <v>18</v>
      </c>
      <c r="B19" s="25" t="inlineStr">
        <is>
          <t>P1-2</t>
        </is>
      </c>
      <c r="C19" s="25" t="inlineStr">
        <is>
          <t>1. Contacto oportuno</t>
        </is>
      </c>
      <c r="D19" s="25" t="inlineStr">
        <is>
          <t>Responde a tiempo en una conversación activa.</t>
        </is>
      </c>
      <c r="E19" s="25" t="inlineStr">
        <is>
          <t>No crítico</t>
        </is>
      </c>
      <c r="F19" s="25" t="inlineStr">
        <is>
          <t>Todos</t>
        </is>
      </c>
      <c r="G19" s="25" t="inlineStr">
        <is>
          <t>Comercial</t>
        </is>
      </c>
      <c r="H19" s="25" t="n">
        <v>1</v>
      </c>
      <c r="I19" s="25" t="n">
        <v>0</v>
      </c>
      <c r="J19" s="25" t="n">
        <v>0</v>
      </c>
      <c r="K19" s="25" t="n">
        <v>3</v>
      </c>
      <c r="L19" s="25" t="n">
        <v>0</v>
      </c>
      <c r="M19" s="25" t="n">
        <v>0</v>
      </c>
      <c r="N19" s="25" t="inlineStr"/>
      <c r="O19" s="25" t="inlineStr"/>
      <c r="P19" s="25" t="inlineStr">
        <is>
          <t>AS-040</t>
        </is>
      </c>
      <c r="Q19" s="25" t="n">
        <v>0</v>
      </c>
      <c r="R19" s="10" t="inlineStr">
        <is>
          <t>wa_responde_a_tiempo_en_conversacion_activa</t>
        </is>
      </c>
      <c r="S19" s="10" t="inlineStr">
        <is>
          <t>ll_responde_a_tiempo_en_conversacion_activa</t>
        </is>
      </c>
      <c r="T19" s="10" t="inlineStr">
        <is>
          <t>co_responde_a_tiempo_en_conversacion_activa</t>
        </is>
      </c>
      <c r="U19" s="10" t="inlineStr">
        <is>
          <t>pr_responde_a_tiempo_en_conversacion_activa</t>
        </is>
      </c>
    </row>
    <row r="20">
      <c r="A20" s="25" t="n">
        <v>19</v>
      </c>
      <c r="B20" s="25" t="inlineStr">
        <is>
          <t>P2-1</t>
        </is>
      </c>
      <c r="C20" s="25" t="inlineStr">
        <is>
          <t>2. Asesoría comercial</t>
        </is>
      </c>
      <c r="D20" s="25" t="inlineStr">
        <is>
          <t>Revisa duplicados e historial antes de gestionar.</t>
        </is>
      </c>
      <c r="E20" s="25" t="inlineStr">
        <is>
          <t>No crítico</t>
        </is>
      </c>
      <c r="F20" s="25" t="inlineStr">
        <is>
          <t>Todos</t>
        </is>
      </c>
      <c r="G20" s="25" t="inlineStr">
        <is>
          <t>Comercial</t>
        </is>
      </c>
      <c r="H20" s="25" t="n">
        <v>1</v>
      </c>
      <c r="I20" s="25" t="n">
        <v>0</v>
      </c>
      <c r="J20" s="25" t="n">
        <v>0</v>
      </c>
      <c r="K20" s="25" t="n">
        <v>2</v>
      </c>
      <c r="L20" s="25" t="n">
        <v>0</v>
      </c>
      <c r="M20" s="25" t="n">
        <v>0</v>
      </c>
      <c r="N20" s="25" t="inlineStr"/>
      <c r="O20" s="25" t="inlineStr"/>
      <c r="P20" s="25" t="inlineStr">
        <is>
          <t>PV-IN-08</t>
        </is>
      </c>
      <c r="Q20" s="25" t="n">
        <v>0</v>
      </c>
      <c r="R20" s="10" t="inlineStr">
        <is>
          <t>wa_revisa_duplicados_e_historial</t>
        </is>
      </c>
      <c r="S20" s="10" t="inlineStr">
        <is>
          <t>ll_revisa_duplicados_e_historial</t>
        </is>
      </c>
      <c r="T20" s="10" t="inlineStr">
        <is>
          <t>co_revisa_duplicados_e_historial</t>
        </is>
      </c>
      <c r="U20" s="10" t="inlineStr">
        <is>
          <t>pr_revisa_duplicados_e_historial</t>
        </is>
      </c>
    </row>
    <row r="21">
      <c r="A21" s="25" t="n">
        <v>20</v>
      </c>
      <c r="B21" s="25" t="inlineStr">
        <is>
          <t>P2-2</t>
        </is>
      </c>
      <c r="C21" s="25" t="inlineStr">
        <is>
          <t>2. Asesoría comercial</t>
        </is>
      </c>
      <c r="D21" s="25" t="inlineStr">
        <is>
          <t>Perfila el caso: tipo, línea, ciudad, sede y canal; en educativo, universidad y modalidad.</t>
        </is>
      </c>
      <c r="E21" s="25" t="inlineStr">
        <is>
          <t>No crítico</t>
        </is>
      </c>
      <c r="F21" s="25" t="inlineStr">
        <is>
          <t>Todos</t>
        </is>
      </c>
      <c r="G21" s="25" t="inlineStr">
        <is>
          <t>Comercial</t>
        </is>
      </c>
      <c r="H21" s="25" t="n">
        <v>1</v>
      </c>
      <c r="I21" s="25" t="n">
        <v>0</v>
      </c>
      <c r="J21" s="25" t="n">
        <v>0</v>
      </c>
      <c r="K21" s="25" t="n">
        <v>3</v>
      </c>
      <c r="L21" s="25" t="n">
        <v>0</v>
      </c>
      <c r="M21" s="25" t="n">
        <v>0</v>
      </c>
      <c r="N21" s="25" t="inlineStr"/>
      <c r="O21" s="25" t="inlineStr"/>
      <c r="P21" s="25" t="inlineStr">
        <is>
          <t>PV-IN-08</t>
        </is>
      </c>
      <c r="Q21" s="25" t="n">
        <v>0</v>
      </c>
      <c r="R21" s="10" t="inlineStr">
        <is>
          <t>wa_perfila_el_caso</t>
        </is>
      </c>
      <c r="S21" s="10" t="inlineStr">
        <is>
          <t>ll_perfila_el_caso</t>
        </is>
      </c>
      <c r="T21" s="10" t="inlineStr">
        <is>
          <t>co_perfila_el_caso</t>
        </is>
      </c>
      <c r="U21" s="10" t="inlineStr">
        <is>
          <t>pr_perfila_el_caso</t>
        </is>
      </c>
    </row>
    <row r="22">
      <c r="A22" s="8" t="n">
        <v>21</v>
      </c>
      <c r="B22" s="8" t="inlineStr">
        <is>
          <t>P2-3</t>
        </is>
      </c>
      <c r="C22" s="8" t="inlineStr">
        <is>
          <t>2. Asesoría comercial</t>
        </is>
      </c>
      <c r="D22" s="8" t="inlineStr">
        <is>
          <t>Indaga qué quiere financiar, por qué monto y para cuándo.</t>
        </is>
      </c>
      <c r="E22" s="8" t="inlineStr">
        <is>
          <t>No crítico</t>
        </is>
      </c>
      <c r="F22" s="8" t="inlineStr">
        <is>
          <t>Todos</t>
        </is>
      </c>
      <c r="G22" s="8" t="inlineStr">
        <is>
          <t>Comercial</t>
        </is>
      </c>
      <c r="H22" s="8" t="n">
        <v>1</v>
      </c>
      <c r="I22" s="8" t="n">
        <v>0</v>
      </c>
      <c r="J22" s="8" t="n">
        <v>0</v>
      </c>
      <c r="K22" s="8" t="n">
        <v>4</v>
      </c>
      <c r="L22" s="8" t="n">
        <v>0</v>
      </c>
      <c r="M22" s="8" t="n">
        <v>0</v>
      </c>
      <c r="N22" s="8" t="inlineStr">
        <is>
          <t>P2-2</t>
        </is>
      </c>
      <c r="O22" s="8" t="inlineStr">
        <is>
          <t>X</t>
        </is>
      </c>
      <c r="P22" s="8" t="inlineStr">
        <is>
          <t>PV-PR-09 6.3</t>
        </is>
      </c>
      <c r="Q22" s="8" t="n">
        <v>0</v>
      </c>
      <c r="R22" s="10" t="inlineStr">
        <is>
          <t>wa_indaga_que_monto_y_cuando_financiar</t>
        </is>
      </c>
      <c r="S22" s="10" t="inlineStr">
        <is>
          <t>ll_indaga_que_monto_y_cuando_financiar</t>
        </is>
      </c>
      <c r="T22" s="10" t="inlineStr">
        <is>
          <t>co_indaga_que_monto_y_cuando_financiar</t>
        </is>
      </c>
      <c r="U22" s="10" t="inlineStr">
        <is>
          <t>pr_indaga_que_monto_y_cuando_financiar</t>
        </is>
      </c>
    </row>
    <row r="23">
      <c r="A23" s="8" t="n">
        <v>22</v>
      </c>
      <c r="B23" s="8" t="inlineStr">
        <is>
          <t>P2-4</t>
        </is>
      </c>
      <c r="C23" s="8" t="inlineStr">
        <is>
          <t>2. Asesoría comercial</t>
        </is>
      </c>
      <c r="D23" s="8" t="inlineStr">
        <is>
          <t>Resuelve dudas y objeciones sin presionar.</t>
        </is>
      </c>
      <c r="E23" s="8" t="inlineStr">
        <is>
          <t>No crítico</t>
        </is>
      </c>
      <c r="F23" s="8" t="inlineStr">
        <is>
          <t>Todos</t>
        </is>
      </c>
      <c r="G23" s="8" t="inlineStr">
        <is>
          <t>Comercial</t>
        </is>
      </c>
      <c r="H23" s="8" t="n">
        <v>1</v>
      </c>
      <c r="I23" s="8" t="n">
        <v>0</v>
      </c>
      <c r="J23" s="8" t="n">
        <v>0</v>
      </c>
      <c r="K23" s="8" t="n">
        <v>4</v>
      </c>
      <c r="L23" s="8" t="n">
        <v>0</v>
      </c>
      <c r="M23" s="8" t="n">
        <v>0</v>
      </c>
      <c r="N23" s="8" t="inlineStr">
        <is>
          <t>P2-2</t>
        </is>
      </c>
      <c r="O23" s="8" t="inlineStr">
        <is>
          <t>X</t>
        </is>
      </c>
      <c r="P23" s="8" t="inlineStr">
        <is>
          <t>AS-026</t>
        </is>
      </c>
      <c r="Q23" s="8" t="n">
        <v>0</v>
      </c>
      <c r="R23" s="10" t="inlineStr">
        <is>
          <t>wa_resuelve_dudas_y_objeciones_sin_presionar</t>
        </is>
      </c>
      <c r="S23" s="10" t="inlineStr">
        <is>
          <t>ll_resuelve_dudas_y_objeciones_sin_presionar</t>
        </is>
      </c>
      <c r="T23" s="10" t="inlineStr">
        <is>
          <t>co_resuelve_dudas_y_objeciones_sin_presionar</t>
        </is>
      </c>
      <c r="U23" s="10" t="inlineStr">
        <is>
          <t>pr_resuelve_dudas_y_objeciones_sin_presionar</t>
        </is>
      </c>
    </row>
    <row r="24">
      <c r="A24" s="8" t="n">
        <v>23</v>
      </c>
      <c r="B24" s="8" t="inlineStr">
        <is>
          <t>P2-5</t>
        </is>
      </c>
      <c r="C24" s="8" t="inlineStr">
        <is>
          <t>2. Asesoría comercial</t>
        </is>
      </c>
      <c r="D24" s="8" t="inlineStr">
        <is>
          <t>Ofrece un valor adicional o una alternativa permitida cuando corresponde.</t>
        </is>
      </c>
      <c r="E24" s="8" t="inlineStr">
        <is>
          <t>No crítico</t>
        </is>
      </c>
      <c r="F24" s="8" t="inlineStr">
        <is>
          <t>Todos</t>
        </is>
      </c>
      <c r="G24" s="8" t="inlineStr">
        <is>
          <t>Comercial</t>
        </is>
      </c>
      <c r="H24" s="8" t="n">
        <v>1</v>
      </c>
      <c r="I24" s="8" t="n">
        <v>0</v>
      </c>
      <c r="J24" s="8" t="n">
        <v>0</v>
      </c>
      <c r="K24" s="8" t="n">
        <v>2</v>
      </c>
      <c r="L24" s="8" t="n">
        <v>0</v>
      </c>
      <c r="M24" s="8" t="n">
        <v>0</v>
      </c>
      <c r="N24" s="8" t="inlineStr">
        <is>
          <t>P2-2</t>
        </is>
      </c>
      <c r="O24" s="8" t="inlineStr">
        <is>
          <t>X</t>
        </is>
      </c>
      <c r="P24" s="8" t="inlineStr">
        <is>
          <t>PV-PR-09</t>
        </is>
      </c>
      <c r="Q24" s="8" t="n">
        <v>0</v>
      </c>
      <c r="R24" s="10" t="inlineStr">
        <is>
          <t>wa_ofrece_valor_adicional_o_alternativa</t>
        </is>
      </c>
      <c r="S24" s="10" t="inlineStr">
        <is>
          <t>ll_ofrece_valor_adicional_o_alternativa</t>
        </is>
      </c>
      <c r="T24" s="10" t="inlineStr">
        <is>
          <t>co_ofrece_valor_adicional_o_alternativa</t>
        </is>
      </c>
      <c r="U24" s="10" t="inlineStr">
        <is>
          <t>pr_ofrece_valor_adicional_o_alternativa</t>
        </is>
      </c>
    </row>
    <row r="25">
      <c r="A25" s="8" t="n">
        <v>24</v>
      </c>
      <c r="B25" s="8" t="inlineStr">
        <is>
          <t>P3-1</t>
        </is>
      </c>
      <c r="C25" s="8" t="inlineStr">
        <is>
          <t>3. Avance con evidencia</t>
        </is>
      </c>
      <c r="D25" s="8" t="inlineStr">
        <is>
          <t>Cada documento o pendiente tiene tarea, responsable y fecha.</t>
        </is>
      </c>
      <c r="E25" s="8" t="inlineStr">
        <is>
          <t>No crítico</t>
        </is>
      </c>
      <c r="F25" s="8" t="inlineStr">
        <is>
          <t>Todos</t>
        </is>
      </c>
      <c r="G25" s="8" t="inlineStr">
        <is>
          <t>Comercial</t>
        </is>
      </c>
      <c r="H25" s="8" t="n">
        <v>1</v>
      </c>
      <c r="I25" s="8" t="n">
        <v>0</v>
      </c>
      <c r="J25" s="8" t="n">
        <v>0</v>
      </c>
      <c r="K25" s="8" t="n">
        <v>4</v>
      </c>
      <c r="L25" s="8" t="n">
        <v>0</v>
      </c>
      <c r="M25" s="8" t="n">
        <v>0</v>
      </c>
      <c r="N25" s="8" t="inlineStr">
        <is>
          <t>P4-3</t>
        </is>
      </c>
      <c r="O25" s="8" t="inlineStr">
        <is>
          <t>X</t>
        </is>
      </c>
      <c r="P25" s="8" t="inlineStr">
        <is>
          <t>PV-IN-09</t>
        </is>
      </c>
      <c r="Q25" s="8" t="n">
        <v>0</v>
      </c>
      <c r="R25" s="10" t="inlineStr">
        <is>
          <t>wa_pendientes_con_tarea_responsable_y_fecha</t>
        </is>
      </c>
      <c r="S25" s="10" t="inlineStr">
        <is>
          <t>ll_pendientes_con_tarea_responsable_y_fecha</t>
        </is>
      </c>
      <c r="T25" s="10" t="inlineStr">
        <is>
          <t>co_pendientes_con_tarea_responsable_y_fecha</t>
        </is>
      </c>
      <c r="U25" s="10" t="inlineStr">
        <is>
          <t>pr_pendientes_con_tarea_responsable_y_fecha</t>
        </is>
      </c>
    </row>
    <row r="26">
      <c r="A26" s="8" t="n">
        <v>25</v>
      </c>
      <c r="B26" s="8" t="inlineStr">
        <is>
          <t>P3-2</t>
        </is>
      </c>
      <c r="C26" s="8" t="inlineStr">
        <is>
          <t>3. Avance con evidencia</t>
        </is>
      </c>
      <c r="D26" s="8" t="inlineStr">
        <is>
          <t>En estudio escala a las 48 h y gestiona el negocio Congelado en 48 h o menos.</t>
        </is>
      </c>
      <c r="E26" s="8" t="inlineStr">
        <is>
          <t>No crítico</t>
        </is>
      </c>
      <c r="F26" s="8" t="inlineStr">
        <is>
          <t>Todos</t>
        </is>
      </c>
      <c r="G26" s="8" t="inlineStr">
        <is>
          <t>Comercial</t>
        </is>
      </c>
      <c r="H26" s="8" t="n">
        <v>1</v>
      </c>
      <c r="I26" s="8" t="n">
        <v>0</v>
      </c>
      <c r="J26" s="8" t="n">
        <v>0</v>
      </c>
      <c r="K26" s="8" t="n">
        <v>4</v>
      </c>
      <c r="L26" s="8" t="n">
        <v>0</v>
      </c>
      <c r="M26" s="8" t="n">
        <v>0</v>
      </c>
      <c r="N26" s="8" t="inlineStr">
        <is>
          <t>P4-3</t>
        </is>
      </c>
      <c r="O26" s="8" t="inlineStr">
        <is>
          <t>X</t>
        </is>
      </c>
      <c r="P26" s="8" t="inlineStr">
        <is>
          <t>PV-IN-09</t>
        </is>
      </c>
      <c r="Q26" s="8" t="n">
        <v>0</v>
      </c>
      <c r="R26" s="10" t="inlineStr">
        <is>
          <t>wa_escala_estudio_y_gestiona_congelado_48h</t>
        </is>
      </c>
      <c r="S26" s="10" t="inlineStr">
        <is>
          <t>ll_escala_estudio_y_gestiona_congelado_48h</t>
        </is>
      </c>
      <c r="T26" s="10" t="inlineStr">
        <is>
          <t>co_escala_estudio_y_gestiona_congelado_48h</t>
        </is>
      </c>
      <c r="U26" s="10" t="inlineStr">
        <is>
          <t>pr_escala_estudio_y_gestiona_congelado_48h</t>
        </is>
      </c>
    </row>
    <row r="27">
      <c r="A27" s="8" t="n">
        <v>26</v>
      </c>
      <c r="B27" s="8" t="inlineStr">
        <is>
          <t>P3-3</t>
        </is>
      </c>
      <c r="C27" s="8" t="inlineStr">
        <is>
          <t>3. Avance con evidencia</t>
        </is>
      </c>
      <c r="D27" s="8" t="inlineStr">
        <is>
          <t>En Aprobado confirma condiciones y aceptación del asociado, y hace seguimiento al desembolso.</t>
        </is>
      </c>
      <c r="E27" s="8" t="inlineStr">
        <is>
          <t>No crítico</t>
        </is>
      </c>
      <c r="F27" s="8" t="inlineStr">
        <is>
          <t>Todos</t>
        </is>
      </c>
      <c r="G27" s="8" t="inlineStr">
        <is>
          <t>Comercial</t>
        </is>
      </c>
      <c r="H27" s="8" t="n">
        <v>1</v>
      </c>
      <c r="I27" s="8" t="n">
        <v>0</v>
      </c>
      <c r="J27" s="8" t="n">
        <v>0</v>
      </c>
      <c r="K27" s="8" t="n">
        <v>4</v>
      </c>
      <c r="L27" s="8" t="n">
        <v>0</v>
      </c>
      <c r="M27" s="8" t="n">
        <v>0</v>
      </c>
      <c r="N27" s="8" t="inlineStr">
        <is>
          <t>P4-3</t>
        </is>
      </c>
      <c r="O27" s="8" t="inlineStr">
        <is>
          <t>X</t>
        </is>
      </c>
      <c r="P27" s="8" t="inlineStr">
        <is>
          <t>PV-IN-09</t>
        </is>
      </c>
      <c r="Q27" s="8" t="n">
        <v>0</v>
      </c>
      <c r="R27" s="10" t="inlineStr">
        <is>
          <t>wa_aprobado_confirma_condiciones_y_sigue_desembolso</t>
        </is>
      </c>
      <c r="S27" s="10" t="inlineStr">
        <is>
          <t>ll_aprobado_confirma_condiciones_y_sigue_desembolso</t>
        </is>
      </c>
      <c r="T27" s="10" t="inlineStr">
        <is>
          <t>co_aprobado_confirma_condiciones_y_sigue_desembolso</t>
        </is>
      </c>
      <c r="U27" s="10" t="inlineStr">
        <is>
          <t>pr_aprobado_confirma_condiciones_y_sigue_desembolso</t>
        </is>
      </c>
    </row>
    <row r="28">
      <c r="A28" s="8" t="n">
        <v>27</v>
      </c>
      <c r="B28" s="8" t="inlineStr">
        <is>
          <t>P3-4</t>
        </is>
      </c>
      <c r="C28" s="8" t="inlineStr">
        <is>
          <t>3. Avance con evidencia</t>
        </is>
      </c>
      <c r="D28" s="8" t="inlineStr">
        <is>
          <t>Usa el motivo correcto al descalificar un lead o descartar un negocio.</t>
        </is>
      </c>
      <c r="E28" s="8" t="inlineStr">
        <is>
          <t>No crítico</t>
        </is>
      </c>
      <c r="F28" s="8" t="inlineStr">
        <is>
          <t>Todos</t>
        </is>
      </c>
      <c r="G28" s="8" t="inlineStr">
        <is>
          <t>Comercial</t>
        </is>
      </c>
      <c r="H28" s="8" t="n">
        <v>1</v>
      </c>
      <c r="I28" s="8" t="n">
        <v>0</v>
      </c>
      <c r="J28" s="8" t="n">
        <v>0</v>
      </c>
      <c r="K28" s="8" t="n">
        <v>2</v>
      </c>
      <c r="L28" s="8" t="n">
        <v>0</v>
      </c>
      <c r="M28" s="8" t="n">
        <v>0</v>
      </c>
      <c r="N28" s="8" t="inlineStr">
        <is>
          <t>P4-3</t>
        </is>
      </c>
      <c r="O28" s="8" t="inlineStr">
        <is>
          <t>X</t>
        </is>
      </c>
      <c r="P28" s="8" t="inlineStr">
        <is>
          <t>PV-IN-08 / PV-IN-09</t>
        </is>
      </c>
      <c r="Q28" s="8" t="n">
        <v>0</v>
      </c>
      <c r="R28" s="10" t="inlineStr">
        <is>
          <t>wa_usa_motivo_correcto_al_descalificar</t>
        </is>
      </c>
      <c r="S28" s="10" t="inlineStr">
        <is>
          <t>ll_usa_motivo_correcto_al_descalificar</t>
        </is>
      </c>
      <c r="T28" s="10" t="inlineStr">
        <is>
          <t>co_usa_motivo_correcto_al_descalificar</t>
        </is>
      </c>
      <c r="U28" s="10" t="inlineStr">
        <is>
          <t>pr_usa_motivo_correcto_al_descalificar</t>
        </is>
      </c>
    </row>
    <row r="29">
      <c r="A29" s="8" t="n">
        <v>28</v>
      </c>
      <c r="B29" s="8" t="inlineStr">
        <is>
          <t>P3-5</t>
        </is>
      </c>
      <c r="C29" s="8" t="inlineStr">
        <is>
          <t>3. Avance con evidencia</t>
        </is>
      </c>
      <c r="D29" s="8" t="inlineStr">
        <is>
          <t>En postventa informa fecha y medios de pago y canales oficiales, y registra novedades en ticket.</t>
        </is>
      </c>
      <c r="E29" s="8" t="inlineStr">
        <is>
          <t>No crítico</t>
        </is>
      </c>
      <c r="F29" s="8" t="inlineStr">
        <is>
          <t>Todos</t>
        </is>
      </c>
      <c r="G29" s="8" t="inlineStr">
        <is>
          <t>Comercial</t>
        </is>
      </c>
      <c r="H29" s="8" t="n">
        <v>1</v>
      </c>
      <c r="I29" s="8" t="n">
        <v>0</v>
      </c>
      <c r="J29" s="8" t="n">
        <v>0</v>
      </c>
      <c r="K29" s="8" t="n">
        <v>2</v>
      </c>
      <c r="L29" s="8" t="n">
        <v>0</v>
      </c>
      <c r="M29" s="8" t="n">
        <v>0</v>
      </c>
      <c r="N29" s="8" t="inlineStr">
        <is>
          <t>P4-3</t>
        </is>
      </c>
      <c r="O29" s="8" t="inlineStr">
        <is>
          <t>X</t>
        </is>
      </c>
      <c r="P29" s="8" t="inlineStr">
        <is>
          <t>PV-IN-05</t>
        </is>
      </c>
      <c r="Q29" s="8" t="n">
        <v>0</v>
      </c>
      <c r="R29" s="10" t="inlineStr">
        <is>
          <t>wa_postventa_informa_pagos_y_registra_ticket</t>
        </is>
      </c>
      <c r="S29" s="10" t="inlineStr">
        <is>
          <t>ll_postventa_informa_pagos_y_registra_ticket</t>
        </is>
      </c>
      <c r="T29" s="10" t="inlineStr">
        <is>
          <t>co_postventa_informa_pagos_y_registra_ticket</t>
        </is>
      </c>
      <c r="U29" s="10" t="inlineStr">
        <is>
          <t>pr_postventa_informa_pagos_y_registra_ticket</t>
        </is>
      </c>
    </row>
    <row r="30">
      <c r="A30" s="25" t="n">
        <v>29</v>
      </c>
      <c r="B30" s="25" t="inlineStr">
        <is>
          <t>CB-1</t>
        </is>
      </c>
      <c r="C30" s="25" t="inlineStr">
        <is>
          <t>7. Gestión de cobranza</t>
        </is>
      </c>
      <c r="D30" s="25" t="inlineStr">
        <is>
          <t>Da información correcta, completa y vigente de la obligación: valor a pagar, fecha límite, referencia o recibo y medios de pago oficiales.</t>
        </is>
      </c>
      <c r="E30" s="25" t="inlineStr">
        <is>
          <t>No crítico</t>
        </is>
      </c>
      <c r="F30" s="25" t="inlineStr">
        <is>
          <t>Todos</t>
        </is>
      </c>
      <c r="G30" s="25" t="inlineStr">
        <is>
          <t>Cobranza</t>
        </is>
      </c>
      <c r="H30" s="25" t="n">
        <v>0</v>
      </c>
      <c r="I30" s="25" t="n">
        <v>1</v>
      </c>
      <c r="J30" s="25" t="n">
        <v>1</v>
      </c>
      <c r="K30" s="25" t="n">
        <v>0</v>
      </c>
      <c r="L30" s="25" t="n">
        <v>10</v>
      </c>
      <c r="M30" s="25" t="n">
        <v>10</v>
      </c>
      <c r="N30" s="25" t="inlineStr"/>
      <c r="O30" s="25" t="inlineStr"/>
      <c r="P30" s="25" t="inlineStr">
        <is>
          <t>Política de cartera</t>
        </is>
      </c>
      <c r="Q30" s="25" t="n">
        <v>0</v>
      </c>
      <c r="R30" s="10" t="inlineStr">
        <is>
          <t>wa_informa_obligacion_correcta_y_vigente</t>
        </is>
      </c>
      <c r="S30" s="10" t="inlineStr">
        <is>
          <t>ll_informa_obligacion_correcta_y_vigente</t>
        </is>
      </c>
      <c r="T30" s="10" t="inlineStr">
        <is>
          <t>co_informa_obligacion_correcta_y_vigente</t>
        </is>
      </c>
      <c r="U30" s="10" t="inlineStr">
        <is>
          <t>pr_informa_obligacion_correcta_y_vigente</t>
        </is>
      </c>
    </row>
    <row r="31">
      <c r="A31" s="8" t="n">
        <v>30</v>
      </c>
      <c r="B31" s="8" t="inlineStr">
        <is>
          <t>CB-2</t>
        </is>
      </c>
      <c r="C31" s="8" t="inlineStr">
        <is>
          <t>7. Gestión de cobranza</t>
        </is>
      </c>
      <c r="D31" s="8" t="inlineStr">
        <is>
          <t>Ofrece de inmediato alternativas de pago autorizadas según la situación del asociado (fecha de compromiso, acuerdo, normalización si aplica).</t>
        </is>
      </c>
      <c r="E31" s="8" t="inlineStr">
        <is>
          <t>No crítico</t>
        </is>
      </c>
      <c r="F31" s="8" t="inlineStr">
        <is>
          <t>Todos</t>
        </is>
      </c>
      <c r="G31" s="8" t="inlineStr">
        <is>
          <t>Cobranza</t>
        </is>
      </c>
      <c r="H31" s="8" t="n">
        <v>0</v>
      </c>
      <c r="I31" s="8" t="n">
        <v>1</v>
      </c>
      <c r="J31" s="8" t="n">
        <v>1</v>
      </c>
      <c r="K31" s="8" t="n">
        <v>0</v>
      </c>
      <c r="L31" s="8" t="n">
        <v>8</v>
      </c>
      <c r="M31" s="8" t="n">
        <v>8</v>
      </c>
      <c r="N31" s="8" t="inlineStr">
        <is>
          <t>CB-1</t>
        </is>
      </c>
      <c r="O31" s="8" t="inlineStr">
        <is>
          <t>X</t>
        </is>
      </c>
      <c r="P31" s="8" t="inlineStr">
        <is>
          <t>Política de cartera</t>
        </is>
      </c>
      <c r="Q31" s="8" t="n">
        <v>0</v>
      </c>
      <c r="R31" s="10" t="inlineStr">
        <is>
          <t>wa_ofrece_alternativas_de_pago_autorizadas</t>
        </is>
      </c>
      <c r="S31" s="10" t="inlineStr">
        <is>
          <t>ll_ofrece_alternativas_de_pago_autorizadas</t>
        </is>
      </c>
      <c r="T31" s="10" t="inlineStr">
        <is>
          <t>co_ofrece_alternativas_de_pago_autorizadas</t>
        </is>
      </c>
      <c r="U31" s="10" t="inlineStr">
        <is>
          <t>pr_ofrece_alternativas_de_pago_autorizadas</t>
        </is>
      </c>
    </row>
    <row r="32">
      <c r="A32" s="25" t="n">
        <v>31</v>
      </c>
      <c r="B32" s="25" t="inlineStr">
        <is>
          <t>CB-3</t>
        </is>
      </c>
      <c r="C32" s="25" t="inlineStr">
        <is>
          <t>7. Gestión de cobranza</t>
        </is>
      </c>
      <c r="D32" s="25" t="inlineStr">
        <is>
          <t>Registra el resultado en HubSpot: compromiso de pago (valor y fecha), novedad o motivo de no pago.</t>
        </is>
      </c>
      <c r="E32" s="25" t="inlineStr">
        <is>
          <t>No crítico</t>
        </is>
      </c>
      <c r="F32" s="25" t="inlineStr">
        <is>
          <t>Todos</t>
        </is>
      </c>
      <c r="G32" s="25" t="inlineStr">
        <is>
          <t>Cobranza</t>
        </is>
      </c>
      <c r="H32" s="25" t="n">
        <v>0</v>
      </c>
      <c r="I32" s="25" t="n">
        <v>1</v>
      </c>
      <c r="J32" s="25" t="n">
        <v>1</v>
      </c>
      <c r="K32" s="25" t="n">
        <v>0</v>
      </c>
      <c r="L32" s="25" t="n">
        <v>6</v>
      </c>
      <c r="M32" s="25" t="n">
        <v>6</v>
      </c>
      <c r="N32" s="25" t="inlineStr"/>
      <c r="O32" s="25" t="inlineStr"/>
      <c r="P32" s="25" t="inlineStr">
        <is>
          <t>PV-PR-09 8</t>
        </is>
      </c>
      <c r="Q32" s="25" t="n">
        <v>0</v>
      </c>
      <c r="R32" s="10" t="inlineStr">
        <is>
          <t>wa_registra_resultado_cobranza_en_hubspot</t>
        </is>
      </c>
      <c r="S32" s="10" t="inlineStr">
        <is>
          <t>ll_registra_resultado_cobranza_en_hubspot</t>
        </is>
      </c>
      <c r="T32" s="10" t="inlineStr">
        <is>
          <t>co_registra_resultado_cobranza_en_hubspot</t>
        </is>
      </c>
      <c r="U32" s="10" t="inlineStr">
        <is>
          <t>pr_registra_resultado_cobranza_en_hubspot</t>
        </is>
      </c>
    </row>
    <row r="33">
      <c r="A33" s="8" t="n">
        <v>32</v>
      </c>
      <c r="B33" s="8" t="inlineStr">
        <is>
          <t>CB-4</t>
        </is>
      </c>
      <c r="C33" s="8" t="inlineStr">
        <is>
          <t>7. Gestión de cobranza</t>
        </is>
      </c>
      <c r="D33" s="8" t="inlineStr">
        <is>
          <t>Deja tarea de seguimiento al compromiso de pago con fecha.</t>
        </is>
      </c>
      <c r="E33" s="8" t="inlineStr">
        <is>
          <t>No crítico</t>
        </is>
      </c>
      <c r="F33" s="8" t="inlineStr">
        <is>
          <t>Todos</t>
        </is>
      </c>
      <c r="G33" s="8" t="inlineStr">
        <is>
          <t>Cobranza</t>
        </is>
      </c>
      <c r="H33" s="8" t="n">
        <v>0</v>
      </c>
      <c r="I33" s="8" t="n">
        <v>1</v>
      </c>
      <c r="J33" s="8" t="n">
        <v>1</v>
      </c>
      <c r="K33" s="8" t="n">
        <v>0</v>
      </c>
      <c r="L33" s="8" t="n">
        <v>4</v>
      </c>
      <c r="M33" s="8" t="n">
        <v>4</v>
      </c>
      <c r="N33" s="8" t="inlineStr">
        <is>
          <t>CB-3</t>
        </is>
      </c>
      <c r="O33" s="8" t="inlineStr">
        <is>
          <t>X</t>
        </is>
      </c>
      <c r="P33" s="8" t="inlineStr">
        <is>
          <t>PV-PR-09 6.1</t>
        </is>
      </c>
      <c r="Q33" s="8" t="n">
        <v>0</v>
      </c>
      <c r="R33" s="10" t="inlineStr">
        <is>
          <t>wa_deja_tarea_seguimiento_compromiso_pago</t>
        </is>
      </c>
      <c r="S33" s="10" t="inlineStr">
        <is>
          <t>ll_deja_tarea_seguimiento_compromiso_pago</t>
        </is>
      </c>
      <c r="T33" s="10" t="inlineStr">
        <is>
          <t>co_deja_tarea_seguimiento_compromiso_pago</t>
        </is>
      </c>
      <c r="U33" s="10" t="inlineStr">
        <is>
          <t>pr_deja_tarea_seguimiento_compromiso_pago</t>
        </is>
      </c>
    </row>
    <row r="34">
      <c r="A34" s="25" t="n">
        <v>33</v>
      </c>
      <c r="B34" s="25" t="inlineStr">
        <is>
          <t>CB-5</t>
        </is>
      </c>
      <c r="C34" s="25" t="inlineStr">
        <is>
          <t>7. Gestión de cobranza</t>
        </is>
      </c>
      <c r="D34" s="25" t="inlineStr">
        <is>
          <t>Consulta del asociado: responde de forma oportuna, dentro del tiempo de respuesta del canal.</t>
        </is>
      </c>
      <c r="E34" s="25" t="inlineStr">
        <is>
          <t>No crítico</t>
        </is>
      </c>
      <c r="F34" s="25" t="inlineStr">
        <is>
          <t>Todos</t>
        </is>
      </c>
      <c r="G34" s="25" t="inlineStr">
        <is>
          <t>Cobranza - consulta</t>
        </is>
      </c>
      <c r="H34" s="25" t="n">
        <v>0</v>
      </c>
      <c r="I34" s="25" t="n">
        <v>1</v>
      </c>
      <c r="J34" s="25" t="n">
        <v>0</v>
      </c>
      <c r="K34" s="25" t="n">
        <v>0</v>
      </c>
      <c r="L34" s="25" t="n">
        <v>6</v>
      </c>
      <c r="M34" s="25" t="n">
        <v>0</v>
      </c>
      <c r="N34" s="25" t="inlineStr"/>
      <c r="O34" s="25" t="inlineStr"/>
      <c r="P34" s="25" t="inlineStr">
        <is>
          <t>AS-040</t>
        </is>
      </c>
      <c r="Q34" s="25" t="n">
        <v>0</v>
      </c>
      <c r="R34" s="10" t="inlineStr">
        <is>
          <t>wa_consulta_responde_oportunamente</t>
        </is>
      </c>
      <c r="S34" s="10" t="inlineStr">
        <is>
          <t>ll_consulta_responde_oportunamente</t>
        </is>
      </c>
      <c r="T34" s="10" t="inlineStr">
        <is>
          <t>co_consulta_responde_oportunamente</t>
        </is>
      </c>
      <c r="U34" s="10" t="inlineStr">
        <is>
          <t>pr_consulta_responde_oportunamente</t>
        </is>
      </c>
    </row>
    <row r="35">
      <c r="A35" s="8" t="n">
        <v>34</v>
      </c>
      <c r="B35" s="8" t="inlineStr">
        <is>
          <t>CB-6</t>
        </is>
      </c>
      <c r="C35" s="8" t="inlineStr">
        <is>
          <t>7. Gestión de cobranza</t>
        </is>
      </c>
      <c r="D35" s="8" t="inlineStr">
        <is>
          <t>Consulta del asociado: confirma que entendió y le indica cómo descargar o consultar su recibo en los canales digitales.</t>
        </is>
      </c>
      <c r="E35" s="8" t="inlineStr">
        <is>
          <t>No crítico</t>
        </is>
      </c>
      <c r="F35" s="8" t="inlineStr">
        <is>
          <t>Todos</t>
        </is>
      </c>
      <c r="G35" s="8" t="inlineStr">
        <is>
          <t>Cobranza - consulta</t>
        </is>
      </c>
      <c r="H35" s="8" t="n">
        <v>0</v>
      </c>
      <c r="I35" s="8" t="n">
        <v>1</v>
      </c>
      <c r="J35" s="8" t="n">
        <v>0</v>
      </c>
      <c r="K35" s="8" t="n">
        <v>0</v>
      </c>
      <c r="L35" s="8" t="n">
        <v>6</v>
      </c>
      <c r="M35" s="8" t="n">
        <v>0</v>
      </c>
      <c r="N35" s="8" t="inlineStr">
        <is>
          <t>CB-5</t>
        </is>
      </c>
      <c r="O35" s="8" t="inlineStr">
        <is>
          <t>X</t>
        </is>
      </c>
      <c r="P35" s="8" t="inlineStr">
        <is>
          <t>PV-FR-59 (valor)</t>
        </is>
      </c>
      <c r="Q35" s="8" t="n">
        <v>0</v>
      </c>
      <c r="R35" s="10" t="inlineStr">
        <is>
          <t>wa_consulta_confirma_entendimiento_y_recibo_digital</t>
        </is>
      </c>
      <c r="S35" s="10" t="inlineStr">
        <is>
          <t>ll_consulta_confirma_entendimiento_y_recibo_digital</t>
        </is>
      </c>
      <c r="T35" s="10" t="inlineStr">
        <is>
          <t>co_consulta_confirma_entendimiento_y_recibo_digital</t>
        </is>
      </c>
      <c r="U35" s="10" t="inlineStr">
        <is>
          <t>pr_consulta_confirma_entendimiento_y_recibo_digital</t>
        </is>
      </c>
    </row>
    <row r="36">
      <c r="A36" s="25" t="n">
        <v>35</v>
      </c>
      <c r="B36" s="25" t="inlineStr">
        <is>
          <t>CC-1</t>
        </is>
      </c>
      <c r="C36" s="25" t="inlineStr">
        <is>
          <t>7. Gestión de cobranza</t>
        </is>
      </c>
      <c r="D36" s="25" t="inlineStr">
        <is>
          <t>Campaña: responde la réplica del asociado a la plantilla masiva de cobranza de forma oportuna (tiempo definido por la coordinación).</t>
        </is>
      </c>
      <c r="E36" s="25" t="inlineStr">
        <is>
          <t>No crítico</t>
        </is>
      </c>
      <c r="F36" s="25" t="inlineStr">
        <is>
          <t>Todos</t>
        </is>
      </c>
      <c r="G36" s="25" t="inlineStr">
        <is>
          <t>Cobranza - campaña</t>
        </is>
      </c>
      <c r="H36" s="25" t="n">
        <v>0</v>
      </c>
      <c r="I36" s="25" t="n">
        <v>0</v>
      </c>
      <c r="J36" s="25" t="n">
        <v>1</v>
      </c>
      <c r="K36" s="25" t="n">
        <v>0</v>
      </c>
      <c r="L36" s="25" t="n">
        <v>0</v>
      </c>
      <c r="M36" s="25" t="n">
        <v>6</v>
      </c>
      <c r="N36" s="25" t="inlineStr"/>
      <c r="O36" s="25" t="inlineStr"/>
      <c r="P36" s="25" t="inlineStr">
        <is>
          <t>Workflow de cobranza WhatsApp</t>
        </is>
      </c>
      <c r="Q36" s="25" t="n">
        <v>0</v>
      </c>
      <c r="R36" s="10" t="inlineStr">
        <is>
          <t>wa_campana_responde_replica_oportunamente</t>
        </is>
      </c>
      <c r="S36" s="10" t="inlineStr">
        <is>
          <t>ll_campana_responde_replica_oportunamente</t>
        </is>
      </c>
      <c r="T36" s="10" t="inlineStr">
        <is>
          <t>co_campana_responde_replica_oportunamente</t>
        </is>
      </c>
      <c r="U36" s="10" t="inlineStr">
        <is>
          <t>pr_campana_responde_replica_oportunamente</t>
        </is>
      </c>
    </row>
    <row r="37">
      <c r="A37" s="25" t="n">
        <v>36</v>
      </c>
      <c r="B37" s="25" t="inlineStr">
        <is>
          <t>CC-2</t>
        </is>
      </c>
      <c r="C37" s="25" t="inlineStr">
        <is>
          <t>7. Gestión de cobranza</t>
        </is>
      </c>
      <c r="D37" s="25" t="inlineStr">
        <is>
          <t>Campaña: retoma el motivo del mensaje enviado, se identifica y explica por qué se le contactó, sin presionar.</t>
        </is>
      </c>
      <c r="E37" s="25" t="inlineStr">
        <is>
          <t>No crítico</t>
        </is>
      </c>
      <c r="F37" s="25" t="inlineStr">
        <is>
          <t>Todos</t>
        </is>
      </c>
      <c r="G37" s="25" t="inlineStr">
        <is>
          <t>Cobranza - campaña</t>
        </is>
      </c>
      <c r="H37" s="25" t="n">
        <v>0</v>
      </c>
      <c r="I37" s="25" t="n">
        <v>0</v>
      </c>
      <c r="J37" s="25" t="n">
        <v>1</v>
      </c>
      <c r="K37" s="25" t="n">
        <v>0</v>
      </c>
      <c r="L37" s="25" t="n">
        <v>0</v>
      </c>
      <c r="M37" s="25" t="n">
        <v>6</v>
      </c>
      <c r="N37" s="25" t="inlineStr"/>
      <c r="O37" s="25" t="inlineStr"/>
      <c r="P37" s="25" t="inlineStr">
        <is>
          <t>Ley 2300 de 2023</t>
        </is>
      </c>
      <c r="Q37" s="25" t="n">
        <v>0</v>
      </c>
      <c r="R37" s="10" t="inlineStr">
        <is>
          <t>wa_campana_retoma_motivo_y_se_identifica</t>
        </is>
      </c>
      <c r="S37" s="10" t="inlineStr">
        <is>
          <t>ll_campana_retoma_motivo_y_se_identifica</t>
        </is>
      </c>
      <c r="T37" s="10" t="inlineStr">
        <is>
          <t>co_campana_retoma_motivo_y_se_identifica</t>
        </is>
      </c>
      <c r="U37" s="10" t="inlineStr">
        <is>
          <t>pr_campana_retoma_motivo_y_se_identifica</t>
        </is>
      </c>
    </row>
    <row r="38">
      <c r="A38" s="25" t="n">
        <v>37</v>
      </c>
      <c r="B38" s="25" t="inlineStr">
        <is>
          <t>P4-1</t>
        </is>
      </c>
      <c r="C38" s="25" t="inlineStr">
        <is>
          <t>4. Registro y seguimiento</t>
        </is>
      </c>
      <c r="D38" s="25" t="inlineStr">
        <is>
          <t>Registra cada contacto como actividad del tipo correcto, con fecha y hora reales.</t>
        </is>
      </c>
      <c r="E38" s="25" t="inlineStr">
        <is>
          <t>No crítico</t>
        </is>
      </c>
      <c r="F38" s="25" t="inlineStr">
        <is>
          <t>Todos</t>
        </is>
      </c>
      <c r="G38" s="25" t="inlineStr">
        <is>
          <t>Todos</t>
        </is>
      </c>
      <c r="H38" s="25" t="n">
        <v>1</v>
      </c>
      <c r="I38" s="25" t="n">
        <v>1</v>
      </c>
      <c r="J38" s="25" t="n">
        <v>1</v>
      </c>
      <c r="K38" s="25" t="n">
        <v>6</v>
      </c>
      <c r="L38" s="25" t="n">
        <v>6</v>
      </c>
      <c r="M38" s="25" t="n">
        <v>6</v>
      </c>
      <c r="N38" s="25" t="inlineStr"/>
      <c r="O38" s="25" t="inlineStr"/>
      <c r="P38" s="25" t="inlineStr">
        <is>
          <t>PV-IN-10</t>
        </is>
      </c>
      <c r="Q38" s="25" t="n">
        <v>0</v>
      </c>
      <c r="R38" s="10" t="inlineStr">
        <is>
          <t>wa_registra_contacto_como_actividad_correcta</t>
        </is>
      </c>
      <c r="S38" s="10" t="inlineStr">
        <is>
          <t>ll_registra_contacto_como_actividad_correcta</t>
        </is>
      </c>
      <c r="T38" s="10" t="inlineStr">
        <is>
          <t>co_registra_contacto_como_actividad_correcta</t>
        </is>
      </c>
      <c r="U38" s="10" t="inlineStr">
        <is>
          <t>pr_registra_contacto_como_actividad_correcta</t>
        </is>
      </c>
    </row>
    <row r="39">
      <c r="A39" s="25" t="n">
        <v>38</v>
      </c>
      <c r="B39" s="25" t="inlineStr">
        <is>
          <t>P4-2</t>
        </is>
      </c>
      <c r="C39" s="25" t="inlineStr">
        <is>
          <t>4. Registro y seguimiento</t>
        </is>
      </c>
      <c r="D39" s="25" t="inlineStr">
        <is>
          <t>La actividad queda en el objeto correcto (lead, negocio o ticket) y asociada al contacto.</t>
        </is>
      </c>
      <c r="E39" s="25" t="inlineStr">
        <is>
          <t>No crítico</t>
        </is>
      </c>
      <c r="F39" s="25" t="inlineStr">
        <is>
          <t>Todos</t>
        </is>
      </c>
      <c r="G39" s="25" t="inlineStr">
        <is>
          <t>Todos</t>
        </is>
      </c>
      <c r="H39" s="25" t="n">
        <v>1</v>
      </c>
      <c r="I39" s="25" t="n">
        <v>1</v>
      </c>
      <c r="J39" s="25" t="n">
        <v>1</v>
      </c>
      <c r="K39" s="25" t="n">
        <v>5</v>
      </c>
      <c r="L39" s="25" t="n">
        <v>5</v>
      </c>
      <c r="M39" s="25" t="n">
        <v>5</v>
      </c>
      <c r="N39" s="25" t="inlineStr"/>
      <c r="O39" s="25" t="inlineStr"/>
      <c r="P39" s="25" t="inlineStr">
        <is>
          <t>PV-IN-08</t>
        </is>
      </c>
      <c r="Q39" s="25" t="n">
        <v>0</v>
      </c>
      <c r="R39" s="10" t="inlineStr">
        <is>
          <t>wa_actividad_en_objeto_correcto_y_asociada</t>
        </is>
      </c>
      <c r="S39" s="10" t="inlineStr">
        <is>
          <t>ll_actividad_en_objeto_correcto_y_asociada</t>
        </is>
      </c>
      <c r="T39" s="10" t="inlineStr">
        <is>
          <t>co_actividad_en_objeto_correcto_y_asociada</t>
        </is>
      </c>
      <c r="U39" s="10" t="inlineStr">
        <is>
          <t>pr_actividad_en_objeto_correcto_y_asociada</t>
        </is>
      </c>
    </row>
    <row r="40">
      <c r="A40" s="25" t="n">
        <v>39</v>
      </c>
      <c r="B40" s="25" t="inlineStr">
        <is>
          <t>P4-3</t>
        </is>
      </c>
      <c r="C40" s="25" t="inlineStr">
        <is>
          <t>4. Registro y seguimiento</t>
        </is>
      </c>
      <c r="D40" s="25" t="inlineStr">
        <is>
          <t>Las notas dicen qué pasó, qué falta, quién lo hace y cuándo.</t>
        </is>
      </c>
      <c r="E40" s="25" t="inlineStr">
        <is>
          <t>No crítico</t>
        </is>
      </c>
      <c r="F40" s="25" t="inlineStr">
        <is>
          <t>Todos</t>
        </is>
      </c>
      <c r="G40" s="25" t="inlineStr">
        <is>
          <t>Todos</t>
        </is>
      </c>
      <c r="H40" s="25" t="n">
        <v>1</v>
      </c>
      <c r="I40" s="25" t="n">
        <v>1</v>
      </c>
      <c r="J40" s="25" t="n">
        <v>1</v>
      </c>
      <c r="K40" s="25" t="n">
        <v>9</v>
      </c>
      <c r="L40" s="25" t="n">
        <v>9</v>
      </c>
      <c r="M40" s="25" t="n">
        <v>9</v>
      </c>
      <c r="N40" s="25" t="inlineStr"/>
      <c r="O40" s="25" t="inlineStr"/>
      <c r="P40" s="25" t="inlineStr">
        <is>
          <t>PV-PR-09 8</t>
        </is>
      </c>
      <c r="Q40" s="25" t="n">
        <v>0</v>
      </c>
      <c r="R40" s="10" t="inlineStr">
        <is>
          <t>wa_notas_dicen_que_paso_que_falta_quien_cuando</t>
        </is>
      </c>
      <c r="S40" s="10" t="inlineStr">
        <is>
          <t>ll_notas_dicen_que_paso_que_falta_quien_cuando</t>
        </is>
      </c>
      <c r="T40" s="10" t="inlineStr">
        <is>
          <t>co_notas_dicen_que_paso_que_falta_quien_cuando</t>
        </is>
      </c>
      <c r="U40" s="10" t="inlineStr">
        <is>
          <t>pr_notas_dicen_que_paso_que_falta_quien_cuando</t>
        </is>
      </c>
    </row>
    <row r="41">
      <c r="A41" s="8" t="n">
        <v>40</v>
      </c>
      <c r="B41" s="8" t="inlineStr">
        <is>
          <t>P4-4</t>
        </is>
      </c>
      <c r="C41" s="8" t="inlineStr">
        <is>
          <t>4. Registro y seguimiento</t>
        </is>
      </c>
      <c r="D41" s="8" t="inlineStr">
        <is>
          <t>No pide de nuevo lo ya entregado y deja resumen si transfiere el caso.</t>
        </is>
      </c>
      <c r="E41" s="8" t="inlineStr">
        <is>
          <t>No crítico</t>
        </is>
      </c>
      <c r="F41" s="8" t="inlineStr">
        <is>
          <t>Todos</t>
        </is>
      </c>
      <c r="G41" s="8" t="inlineStr">
        <is>
          <t>Todos</t>
        </is>
      </c>
      <c r="H41" s="8" t="n">
        <v>1</v>
      </c>
      <c r="I41" s="8" t="n">
        <v>1</v>
      </c>
      <c r="J41" s="8" t="n">
        <v>1</v>
      </c>
      <c r="K41" s="8" t="n">
        <v>5</v>
      </c>
      <c r="L41" s="8" t="n">
        <v>5</v>
      </c>
      <c r="M41" s="8" t="n">
        <v>5</v>
      </c>
      <c r="N41" s="8" t="inlineStr">
        <is>
          <t>P4-3</t>
        </is>
      </c>
      <c r="O41" s="8" t="inlineStr">
        <is>
          <t>X</t>
        </is>
      </c>
      <c r="P41" s="8" t="inlineStr">
        <is>
          <t>AS-026</t>
        </is>
      </c>
      <c r="Q41" s="8" t="n">
        <v>0</v>
      </c>
      <c r="R41" s="10" t="inlineStr">
        <is>
          <t>wa_no_pide_de_nuevo_y_resume_al_transferir</t>
        </is>
      </c>
      <c r="S41" s="10" t="inlineStr">
        <is>
          <t>ll_no_pide_de_nuevo_y_resume_al_transferir</t>
        </is>
      </c>
      <c r="T41" s="10" t="inlineStr">
        <is>
          <t>co_no_pide_de_nuevo_y_resume_al_transferir</t>
        </is>
      </c>
      <c r="U41" s="10" t="inlineStr">
        <is>
          <t>pr_no_pide_de_nuevo_y_resume_al_transferir</t>
        </is>
      </c>
    </row>
    <row r="42">
      <c r="A42" s="8" t="n">
        <v>41</v>
      </c>
      <c r="B42" s="8" t="inlineStr">
        <is>
          <t>P4-5</t>
        </is>
      </c>
      <c r="C42" s="8" t="inlineStr">
        <is>
          <t>4. Registro y seguimiento</t>
        </is>
      </c>
      <c r="D42" s="8" t="inlineStr">
        <is>
          <t>Registra correctamente los datos en HubSpot (documento, ID, radicado, correo, teléfono), sin errores.</t>
        </is>
      </c>
      <c r="E42" s="8" t="inlineStr">
        <is>
          <t>No crítico</t>
        </is>
      </c>
      <c r="F42" s="8" t="inlineStr">
        <is>
          <t>Todos</t>
        </is>
      </c>
      <c r="G42" s="8" t="inlineStr">
        <is>
          <t>Todos</t>
        </is>
      </c>
      <c r="H42" s="8" t="n">
        <v>1</v>
      </c>
      <c r="I42" s="8" t="n">
        <v>1</v>
      </c>
      <c r="J42" s="8" t="n">
        <v>1</v>
      </c>
      <c r="K42" s="8" t="n">
        <v>3</v>
      </c>
      <c r="L42" s="8" t="n">
        <v>3</v>
      </c>
      <c r="M42" s="8" t="n">
        <v>3</v>
      </c>
      <c r="N42" s="8" t="inlineStr">
        <is>
          <t>P4-2</t>
        </is>
      </c>
      <c r="O42" s="8" t="inlineStr">
        <is>
          <t>X</t>
        </is>
      </c>
      <c r="P42" s="8" t="inlineStr">
        <is>
          <t>PV-FR-59</t>
        </is>
      </c>
      <c r="Q42" s="8" t="n">
        <v>0</v>
      </c>
      <c r="R42" s="10" t="inlineStr">
        <is>
          <t>wa_registra_datos_correctos_en_hubspot</t>
        </is>
      </c>
      <c r="S42" s="10" t="inlineStr">
        <is>
          <t>ll_registra_datos_correctos_en_hubspot</t>
        </is>
      </c>
      <c r="T42" s="10" t="inlineStr">
        <is>
          <t>co_registra_datos_correctos_en_hubspot</t>
        </is>
      </c>
      <c r="U42" s="10" t="inlineStr">
        <is>
          <t>pr_registra_datos_correctos_en_hubspot</t>
        </is>
      </c>
    </row>
    <row r="43">
      <c r="A43" s="25" t="n">
        <v>42</v>
      </c>
      <c r="B43" s="25" t="inlineStr">
        <is>
          <t>P5-1</t>
        </is>
      </c>
      <c r="C43" s="25" t="inlineStr">
        <is>
          <t>5. Experiencia del asociado</t>
        </is>
      </c>
      <c r="D43" s="25" t="inlineStr">
        <is>
          <t>Es cordial y claro, y transmite confianza y empatía.</t>
        </is>
      </c>
      <c r="E43" s="25" t="inlineStr">
        <is>
          <t>No crítico</t>
        </is>
      </c>
      <c r="F43" s="25" t="inlineStr">
        <is>
          <t>Todos</t>
        </is>
      </c>
      <c r="G43" s="25" t="inlineStr">
        <is>
          <t>Todos</t>
        </is>
      </c>
      <c r="H43" s="25" t="n">
        <v>1</v>
      </c>
      <c r="I43" s="25" t="n">
        <v>1</v>
      </c>
      <c r="J43" s="25" t="n">
        <v>1</v>
      </c>
      <c r="K43" s="25" t="n">
        <v>8</v>
      </c>
      <c r="L43" s="25" t="n">
        <v>8</v>
      </c>
      <c r="M43" s="25" t="n">
        <v>8</v>
      </c>
      <c r="N43" s="25" t="inlineStr"/>
      <c r="O43" s="25" t="inlineStr"/>
      <c r="P43" s="25" t="inlineStr">
        <is>
          <t>AS-026</t>
        </is>
      </c>
      <c r="Q43" s="25" t="n">
        <v>0</v>
      </c>
      <c r="R43" s="10" t="inlineStr">
        <is>
          <t>wa_cordial_claro_transmite_confianza_empatia</t>
        </is>
      </c>
      <c r="S43" s="10" t="inlineStr">
        <is>
          <t>ll_cordial_claro_transmite_confianza_empatia</t>
        </is>
      </c>
      <c r="T43" s="10" t="inlineStr">
        <is>
          <t>co_cordial_claro_transmite_confianza_empatia</t>
        </is>
      </c>
      <c r="U43" s="10" t="inlineStr">
        <is>
          <t>pr_cordial_claro_transmite_confianza_empatia</t>
        </is>
      </c>
    </row>
    <row r="44">
      <c r="A44" s="25" t="n">
        <v>43</v>
      </c>
      <c r="B44" s="25" t="inlineStr">
        <is>
          <t>P5-2</t>
        </is>
      </c>
      <c r="C44" s="25" t="inlineStr">
        <is>
          <t>5. Experiencia del asociado</t>
        </is>
      </c>
      <c r="D44" s="25" t="inlineStr">
        <is>
          <t>Escucha sin interrumpir y no discute.</t>
        </is>
      </c>
      <c r="E44" s="25" t="inlineStr">
        <is>
          <t>No crítico</t>
        </is>
      </c>
      <c r="F44" s="25" t="inlineStr">
        <is>
          <t>Todos</t>
        </is>
      </c>
      <c r="G44" s="25" t="inlineStr">
        <is>
          <t>Todos</t>
        </is>
      </c>
      <c r="H44" s="25" t="n">
        <v>1</v>
      </c>
      <c r="I44" s="25" t="n">
        <v>1</v>
      </c>
      <c r="J44" s="25" t="n">
        <v>1</v>
      </c>
      <c r="K44" s="25" t="n">
        <v>6</v>
      </c>
      <c r="L44" s="25" t="n">
        <v>6</v>
      </c>
      <c r="M44" s="25" t="n">
        <v>6</v>
      </c>
      <c r="N44" s="25" t="inlineStr"/>
      <c r="O44" s="25" t="inlineStr"/>
      <c r="P44" s="25" t="inlineStr">
        <is>
          <t>AS-026</t>
        </is>
      </c>
      <c r="Q44" s="25" t="n">
        <v>0</v>
      </c>
      <c r="R44" s="10" t="inlineStr">
        <is>
          <t>wa_escucha_sin_interrumpir_no_discute</t>
        </is>
      </c>
      <c r="S44" s="10" t="inlineStr">
        <is>
          <t>ll_escucha_sin_interrumpir_no_discute</t>
        </is>
      </c>
      <c r="T44" s="10" t="inlineStr">
        <is>
          <t>co_escucha_sin_interrumpir_no_discute</t>
        </is>
      </c>
      <c r="U44" s="10" t="inlineStr">
        <is>
          <t>pr_escucha_sin_interrumpir_no_discute</t>
        </is>
      </c>
    </row>
    <row r="45">
      <c r="A45" s="25" t="n">
        <v>44</v>
      </c>
      <c r="B45" s="25" t="inlineStr">
        <is>
          <t>P5-3</t>
        </is>
      </c>
      <c r="C45" s="25" t="inlineStr">
        <is>
          <t>5. Experiencia del asociado</t>
        </is>
      </c>
      <c r="D45" s="25" t="inlineStr">
        <is>
          <t>Cierra con un compromiso y el próximo paso acordado.</t>
        </is>
      </c>
      <c r="E45" s="25" t="inlineStr">
        <is>
          <t>No crítico</t>
        </is>
      </c>
      <c r="F45" s="25" t="inlineStr">
        <is>
          <t>Todos</t>
        </is>
      </c>
      <c r="G45" s="25" t="inlineStr">
        <is>
          <t>Todos</t>
        </is>
      </c>
      <c r="H45" s="25" t="n">
        <v>1</v>
      </c>
      <c r="I45" s="25" t="n">
        <v>1</v>
      </c>
      <c r="J45" s="25" t="n">
        <v>1</v>
      </c>
      <c r="K45" s="25" t="n">
        <v>9</v>
      </c>
      <c r="L45" s="25" t="n">
        <v>9</v>
      </c>
      <c r="M45" s="25" t="n">
        <v>9</v>
      </c>
      <c r="N45" s="25" t="inlineStr"/>
      <c r="O45" s="25" t="inlineStr"/>
      <c r="P45" s="25" t="inlineStr">
        <is>
          <t>AS-026</t>
        </is>
      </c>
      <c r="Q45" s="25" t="n">
        <v>0</v>
      </c>
      <c r="R45" s="10" t="inlineStr">
        <is>
          <t>wa_cierra_con_compromiso_y_proximo_paso</t>
        </is>
      </c>
      <c r="S45" s="10" t="inlineStr">
        <is>
          <t>ll_cierra_con_compromiso_y_proximo_paso</t>
        </is>
      </c>
      <c r="T45" s="10" t="inlineStr">
        <is>
          <t>co_cierra_con_compromiso_y_proximo_paso</t>
        </is>
      </c>
      <c r="U45" s="10" t="inlineStr">
        <is>
          <t>pr_cierra_con_compromiso_y_proximo_paso</t>
        </is>
      </c>
    </row>
    <row r="46">
      <c r="A46" s="25" t="n">
        <v>45</v>
      </c>
      <c r="B46" s="25" t="inlineStr">
        <is>
          <t>P5-4</t>
        </is>
      </c>
      <c r="C46" s="25" t="inlineStr">
        <is>
          <t>5. Experiencia del asociado</t>
        </is>
      </c>
      <c r="D46" s="25" t="inlineStr">
        <is>
          <t>Usa bien el tiempo de la interacción.</t>
        </is>
      </c>
      <c r="E46" s="25" t="inlineStr">
        <is>
          <t>No crítico</t>
        </is>
      </c>
      <c r="F46" s="25" t="inlineStr">
        <is>
          <t>Todos</t>
        </is>
      </c>
      <c r="G46" s="25" t="inlineStr">
        <is>
          <t>Todos</t>
        </is>
      </c>
      <c r="H46" s="25" t="n">
        <v>1</v>
      </c>
      <c r="I46" s="25" t="n">
        <v>1</v>
      </c>
      <c r="J46" s="25" t="n">
        <v>1</v>
      </c>
      <c r="K46" s="25" t="n">
        <v>5</v>
      </c>
      <c r="L46" s="25" t="n">
        <v>5</v>
      </c>
      <c r="M46" s="25" t="n">
        <v>5</v>
      </c>
      <c r="N46" s="25" t="inlineStr"/>
      <c r="O46" s="25" t="inlineStr"/>
      <c r="P46" s="25" t="inlineStr">
        <is>
          <t>AS-026</t>
        </is>
      </c>
      <c r="Q46" s="25" t="n">
        <v>0</v>
      </c>
      <c r="R46" s="10" t="inlineStr">
        <is>
          <t>wa_usa_bien_el_tiempo</t>
        </is>
      </c>
      <c r="S46" s="10" t="inlineStr">
        <is>
          <t>ll_usa_bien_el_tiempo</t>
        </is>
      </c>
      <c r="T46" s="10" t="inlineStr">
        <is>
          <t>co_usa_bien_el_tiempo</t>
        </is>
      </c>
      <c r="U46" s="10" t="inlineStr">
        <is>
          <t>pr_usa_bien_el_tiempo</t>
        </is>
      </c>
    </row>
    <row r="47">
      <c r="A47" s="25" t="n">
        <v>46</v>
      </c>
      <c r="B47" s="25" t="inlineStr">
        <is>
          <t>WA-1</t>
        </is>
      </c>
      <c r="C47" s="25" t="inlineStr">
        <is>
          <t>5. Canal WhatsApp</t>
        </is>
      </c>
      <c r="D47" s="25" t="inlineStr">
        <is>
          <t>Adapta las plantillas al caso (no las envía sin ajustar) y escribe con buena redacción y ortografía.</t>
        </is>
      </c>
      <c r="E47" s="25" t="inlineStr">
        <is>
          <t>No crítico</t>
        </is>
      </c>
      <c r="F47" s="25" t="inlineStr">
        <is>
          <t>WhatsApp</t>
        </is>
      </c>
      <c r="G47" s="25" t="inlineStr">
        <is>
          <t>Todos</t>
        </is>
      </c>
      <c r="H47" s="25" t="n">
        <v>1</v>
      </c>
      <c r="I47" s="25" t="n">
        <v>1</v>
      </c>
      <c r="J47" s="25" t="n">
        <v>1</v>
      </c>
      <c r="K47" s="25" t="n">
        <v>1</v>
      </c>
      <c r="L47" s="25" t="n">
        <v>1</v>
      </c>
      <c r="M47" s="25" t="n">
        <v>1</v>
      </c>
      <c r="N47" s="25" t="inlineStr"/>
      <c r="O47" s="25" t="inlineStr"/>
      <c r="P47" s="25" t="inlineStr">
        <is>
          <t>AS-040</t>
        </is>
      </c>
      <c r="Q47" s="25" t="n">
        <v>0</v>
      </c>
      <c r="R47" s="10" t="inlineStr">
        <is>
          <t>wa_adapta_plantillas_y_buena_redaccion</t>
        </is>
      </c>
    </row>
    <row r="48">
      <c r="A48" s="25" t="n">
        <v>47</v>
      </c>
      <c r="B48" s="25" t="inlineStr">
        <is>
          <t>WA-3</t>
        </is>
      </c>
      <c r="C48" s="25" t="inlineStr">
        <is>
          <t>5. Canal WhatsApp</t>
        </is>
      </c>
      <c r="D48" s="25" t="inlineStr">
        <is>
          <t>Crea el contacto en el CRM si no existe y asocia la cuenta del asociado (PV-IN-02).</t>
        </is>
      </c>
      <c r="E48" s="25" t="inlineStr">
        <is>
          <t>No crítico</t>
        </is>
      </c>
      <c r="F48" s="25" t="inlineStr">
        <is>
          <t>WhatsApp</t>
        </is>
      </c>
      <c r="G48" s="25" t="inlineStr">
        <is>
          <t>Todos</t>
        </is>
      </c>
      <c r="H48" s="25" t="n">
        <v>1</v>
      </c>
      <c r="I48" s="25" t="n">
        <v>1</v>
      </c>
      <c r="J48" s="25" t="n">
        <v>1</v>
      </c>
      <c r="K48" s="25" t="n">
        <v>1</v>
      </c>
      <c r="L48" s="25" t="n">
        <v>1</v>
      </c>
      <c r="M48" s="25" t="n">
        <v>1</v>
      </c>
      <c r="N48" s="25" t="inlineStr"/>
      <c r="O48" s="25" t="inlineStr"/>
      <c r="P48" s="25" t="inlineStr">
        <is>
          <t>Proceso WhatsApp sedes comerciales 9-11</t>
        </is>
      </c>
      <c r="Q48" s="25" t="n">
        <v>0</v>
      </c>
      <c r="R48" s="10" t="inlineStr">
        <is>
          <t>wa_crea_o_asocia_contacto_en_crm</t>
        </is>
      </c>
    </row>
    <row r="49">
      <c r="A49" s="8" t="n">
        <v>48</v>
      </c>
      <c r="B49" s="8" t="inlineStr">
        <is>
          <t>WA-4</t>
        </is>
      </c>
      <c r="C49" s="8" t="inlineStr">
        <is>
          <t>5. Canal WhatsApp</t>
        </is>
      </c>
      <c r="D49" s="8" t="inlineStr">
        <is>
          <t>Solicita los documentos de cada línea según el perfilamiento realizado.</t>
        </is>
      </c>
      <c r="E49" s="8" t="inlineStr">
        <is>
          <t>No crítico</t>
        </is>
      </c>
      <c r="F49" s="8" t="inlineStr">
        <is>
          <t>WhatsApp</t>
        </is>
      </c>
      <c r="G49" s="8" t="inlineStr">
        <is>
          <t>Todos</t>
        </is>
      </c>
      <c r="H49" s="8" t="n">
        <v>1</v>
      </c>
      <c r="I49" s="8" t="n">
        <v>1</v>
      </c>
      <c r="J49" s="8" t="n">
        <v>1</v>
      </c>
      <c r="K49" s="8" t="n">
        <v>1</v>
      </c>
      <c r="L49" s="8" t="n">
        <v>1</v>
      </c>
      <c r="M49" s="8" t="n">
        <v>1</v>
      </c>
      <c r="N49" s="8" t="inlineStr">
        <is>
          <t>WA-1</t>
        </is>
      </c>
      <c r="O49" s="8" t="inlineStr">
        <is>
          <t>X</t>
        </is>
      </c>
      <c r="P49" s="8" t="inlineStr">
        <is>
          <t>Proceso WhatsApp sedes comerciales 15.4</t>
        </is>
      </c>
      <c r="Q49" s="8" t="n">
        <v>0</v>
      </c>
      <c r="R49" s="10" t="inlineStr">
        <is>
          <t>wa_solicita_documentos_segun_perfilamiento</t>
        </is>
      </c>
    </row>
    <row r="50">
      <c r="A50" s="25" t="n">
        <v>49</v>
      </c>
      <c r="B50" s="25" t="inlineStr">
        <is>
          <t>WA-5</t>
        </is>
      </c>
      <c r="C50" s="25" t="inlineStr">
        <is>
          <t>5. Canal WhatsApp</t>
        </is>
      </c>
      <c r="D50" s="25" t="inlineStr">
        <is>
          <t>Envía la encuesta de satisfacción y cierra la conversación.</t>
        </is>
      </c>
      <c r="E50" s="25" t="inlineStr">
        <is>
          <t>No crítico</t>
        </is>
      </c>
      <c r="F50" s="25" t="inlineStr">
        <is>
          <t>WhatsApp</t>
        </is>
      </c>
      <c r="G50" s="25" t="inlineStr">
        <is>
          <t>Todos</t>
        </is>
      </c>
      <c r="H50" s="25" t="n">
        <v>1</v>
      </c>
      <c r="I50" s="25" t="n">
        <v>1</v>
      </c>
      <c r="J50" s="25" t="n">
        <v>1</v>
      </c>
      <c r="K50" s="25" t="n">
        <v>1</v>
      </c>
      <c r="L50" s="25" t="n">
        <v>1</v>
      </c>
      <c r="M50" s="25" t="n">
        <v>1</v>
      </c>
      <c r="N50" s="25" t="inlineStr"/>
      <c r="O50" s="25" t="inlineStr"/>
      <c r="P50" s="25" t="inlineStr">
        <is>
          <t>Proceso WhatsApp sedes comerciales 15.6 y 16</t>
        </is>
      </c>
      <c r="Q50" s="25" t="n">
        <v>0</v>
      </c>
      <c r="R50" s="10" t="inlineStr">
        <is>
          <t>wa_envia_encuesta_y_cierra_conversacion</t>
        </is>
      </c>
    </row>
    <row r="51">
      <c r="A51" s="25" t="n">
        <v>50</v>
      </c>
      <c r="B51" s="25" t="inlineStr">
        <is>
          <t>LL-1</t>
        </is>
      </c>
      <c r="C51" s="25" t="inlineStr">
        <is>
          <t>5. Canal Llamada</t>
        </is>
      </c>
      <c r="D51" s="25" t="inlineStr">
        <is>
          <t>Se presenta al abrir la llamada.</t>
        </is>
      </c>
      <c r="E51" s="25" t="inlineStr">
        <is>
          <t>No crítico</t>
        </is>
      </c>
      <c r="F51" s="25" t="inlineStr">
        <is>
          <t>Llamada</t>
        </is>
      </c>
      <c r="G51" s="25" t="inlineStr">
        <is>
          <t>Todos</t>
        </is>
      </c>
      <c r="H51" s="25" t="n">
        <v>1</v>
      </c>
      <c r="I51" s="25" t="n">
        <v>1</v>
      </c>
      <c r="J51" s="25" t="n">
        <v>1</v>
      </c>
      <c r="K51" s="25" t="n">
        <v>1</v>
      </c>
      <c r="L51" s="25" t="n">
        <v>1</v>
      </c>
      <c r="M51" s="25" t="n">
        <v>1</v>
      </c>
      <c r="N51" s="25" t="inlineStr"/>
      <c r="O51" s="25" t="inlineStr"/>
      <c r="P51" s="25" t="inlineStr">
        <is>
          <t>AS-026</t>
        </is>
      </c>
      <c r="Q51" s="25" t="n">
        <v>0</v>
      </c>
      <c r="S51" s="10" t="inlineStr">
        <is>
          <t>ll_se_presenta_al_abrir</t>
        </is>
      </c>
    </row>
    <row r="52">
      <c r="A52" s="8" t="n">
        <v>51</v>
      </c>
      <c r="B52" s="8" t="inlineStr">
        <is>
          <t>LL-2</t>
        </is>
      </c>
      <c r="C52" s="8" t="inlineStr">
        <is>
          <t>5. Canal Llamada</t>
        </is>
      </c>
      <c r="D52" s="8" t="inlineStr">
        <is>
          <t>Maneja bien la espera (informa y retoma).</t>
        </is>
      </c>
      <c r="E52" s="8" t="inlineStr">
        <is>
          <t>No crítico</t>
        </is>
      </c>
      <c r="F52" s="8" t="inlineStr">
        <is>
          <t>Llamada</t>
        </is>
      </c>
      <c r="G52" s="8" t="inlineStr">
        <is>
          <t>Todos</t>
        </is>
      </c>
      <c r="H52" s="8" t="n">
        <v>1</v>
      </c>
      <c r="I52" s="8" t="n">
        <v>1</v>
      </c>
      <c r="J52" s="8" t="n">
        <v>1</v>
      </c>
      <c r="K52" s="8" t="n">
        <v>1</v>
      </c>
      <c r="L52" s="8" t="n">
        <v>1</v>
      </c>
      <c r="M52" s="8" t="n">
        <v>1</v>
      </c>
      <c r="N52" s="8" t="inlineStr">
        <is>
          <t>LL-3</t>
        </is>
      </c>
      <c r="O52" s="8" t="inlineStr">
        <is>
          <t>X</t>
        </is>
      </c>
      <c r="P52" s="8" t="inlineStr">
        <is>
          <t>AS-026</t>
        </is>
      </c>
      <c r="Q52" s="8" t="n">
        <v>0</v>
      </c>
      <c r="S52" s="10" t="inlineStr">
        <is>
          <t>ll_maneja_bien_la_espera</t>
        </is>
      </c>
    </row>
    <row r="53">
      <c r="A53" s="25" t="n">
        <v>52</v>
      </c>
      <c r="B53" s="25" t="inlineStr">
        <is>
          <t>LL-3</t>
        </is>
      </c>
      <c r="C53" s="25" t="inlineStr">
        <is>
          <t>5. Canal Llamada</t>
        </is>
      </c>
      <c r="D53" s="25" t="inlineStr">
        <is>
          <t>Resume los acuerdos al cerrar.</t>
        </is>
      </c>
      <c r="E53" s="25" t="inlineStr">
        <is>
          <t>No crítico</t>
        </is>
      </c>
      <c r="F53" s="25" t="inlineStr">
        <is>
          <t>Llamada</t>
        </is>
      </c>
      <c r="G53" s="25" t="inlineStr">
        <is>
          <t>Todos</t>
        </is>
      </c>
      <c r="H53" s="25" t="n">
        <v>1</v>
      </c>
      <c r="I53" s="25" t="n">
        <v>1</v>
      </c>
      <c r="J53" s="25" t="n">
        <v>1</v>
      </c>
      <c r="K53" s="25" t="n">
        <v>2</v>
      </c>
      <c r="L53" s="25" t="n">
        <v>2</v>
      </c>
      <c r="M53" s="25" t="n">
        <v>2</v>
      </c>
      <c r="N53" s="25" t="inlineStr"/>
      <c r="O53" s="25" t="inlineStr"/>
      <c r="P53" s="25" t="inlineStr">
        <is>
          <t>AS-026</t>
        </is>
      </c>
      <c r="Q53" s="25" t="n">
        <v>0</v>
      </c>
      <c r="S53" s="10" t="inlineStr">
        <is>
          <t>ll_resume_acuerdos_al_cerrar</t>
        </is>
      </c>
    </row>
    <row r="54">
      <c r="A54" s="25" t="n">
        <v>53</v>
      </c>
      <c r="B54" s="25" t="inlineStr">
        <is>
          <t>CO-1</t>
        </is>
      </c>
      <c r="C54" s="25" t="inlineStr">
        <is>
          <t>5. Canal Correo</t>
        </is>
      </c>
      <c r="D54" s="25" t="inlineStr">
        <is>
          <t>Usa un asunto claro.</t>
        </is>
      </c>
      <c r="E54" s="25" t="inlineStr">
        <is>
          <t>No crítico</t>
        </is>
      </c>
      <c r="F54" s="25" t="inlineStr">
        <is>
          <t>Correo</t>
        </is>
      </c>
      <c r="G54" s="25" t="inlineStr">
        <is>
          <t>Todos</t>
        </is>
      </c>
      <c r="H54" s="25" t="n">
        <v>1</v>
      </c>
      <c r="I54" s="25" t="n">
        <v>1</v>
      </c>
      <c r="J54" s="25" t="n">
        <v>1</v>
      </c>
      <c r="K54" s="25" t="n">
        <v>1</v>
      </c>
      <c r="L54" s="25" t="n">
        <v>1</v>
      </c>
      <c r="M54" s="25" t="n">
        <v>1</v>
      </c>
      <c r="N54" s="25" t="inlineStr"/>
      <c r="O54" s="25" t="inlineStr"/>
      <c r="P54" s="25" t="inlineStr">
        <is>
          <t>AS-039</t>
        </is>
      </c>
      <c r="Q54" s="25" t="n">
        <v>0</v>
      </c>
      <c r="T54" s="10" t="inlineStr">
        <is>
          <t>co_usa_asunto_claro</t>
        </is>
      </c>
    </row>
    <row r="55">
      <c r="A55" s="25" t="n">
        <v>54</v>
      </c>
      <c r="B55" s="25" t="inlineStr">
        <is>
          <t>CO-2</t>
        </is>
      </c>
      <c r="C55" s="25" t="inlineStr">
        <is>
          <t>5. Canal Correo</t>
        </is>
      </c>
      <c r="D55" s="25" t="inlineStr">
        <is>
          <t>Incluye saludo y firma actualizada.</t>
        </is>
      </c>
      <c r="E55" s="25" t="inlineStr">
        <is>
          <t>No crítico</t>
        </is>
      </c>
      <c r="F55" s="25" t="inlineStr">
        <is>
          <t>Correo</t>
        </is>
      </c>
      <c r="G55" s="25" t="inlineStr">
        <is>
          <t>Todos</t>
        </is>
      </c>
      <c r="H55" s="25" t="n">
        <v>1</v>
      </c>
      <c r="I55" s="25" t="n">
        <v>1</v>
      </c>
      <c r="J55" s="25" t="n">
        <v>1</v>
      </c>
      <c r="K55" s="25" t="n">
        <v>1</v>
      </c>
      <c r="L55" s="25" t="n">
        <v>1</v>
      </c>
      <c r="M55" s="25" t="n">
        <v>1</v>
      </c>
      <c r="N55" s="25" t="inlineStr"/>
      <c r="O55" s="25" t="inlineStr"/>
      <c r="P55" s="25" t="inlineStr">
        <is>
          <t>AS-039</t>
        </is>
      </c>
      <c r="Q55" s="25" t="n">
        <v>0</v>
      </c>
      <c r="T55" s="10" t="inlineStr">
        <is>
          <t>co_incluye_saludo_y_firma_actualizada</t>
        </is>
      </c>
    </row>
    <row r="56">
      <c r="A56" s="25" t="n">
        <v>55</v>
      </c>
      <c r="B56" s="25" t="inlineStr">
        <is>
          <t>CO-3</t>
        </is>
      </c>
      <c r="C56" s="25" t="inlineStr">
        <is>
          <t>5. Canal Correo</t>
        </is>
      </c>
      <c r="D56" s="25" t="inlineStr">
        <is>
          <t>Dice qué solicita y para cuándo.</t>
        </is>
      </c>
      <c r="E56" s="25" t="inlineStr">
        <is>
          <t>No crítico</t>
        </is>
      </c>
      <c r="F56" s="25" t="inlineStr">
        <is>
          <t>Correo</t>
        </is>
      </c>
      <c r="G56" s="25" t="inlineStr">
        <is>
          <t>Todos</t>
        </is>
      </c>
      <c r="H56" s="25" t="n">
        <v>1</v>
      </c>
      <c r="I56" s="25" t="n">
        <v>1</v>
      </c>
      <c r="J56" s="25" t="n">
        <v>1</v>
      </c>
      <c r="K56" s="25" t="n">
        <v>2</v>
      </c>
      <c r="L56" s="25" t="n">
        <v>2</v>
      </c>
      <c r="M56" s="25" t="n">
        <v>2</v>
      </c>
      <c r="N56" s="25" t="inlineStr"/>
      <c r="O56" s="25" t="inlineStr"/>
      <c r="P56" s="25" t="inlineStr">
        <is>
          <t>AS-039</t>
        </is>
      </c>
      <c r="Q56" s="25" t="n">
        <v>0</v>
      </c>
      <c r="T56" s="10" t="inlineStr">
        <is>
          <t>co_dice_que_solicita_y_para_cuando</t>
        </is>
      </c>
    </row>
    <row r="57">
      <c r="A57" s="8" t="n">
        <v>56</v>
      </c>
      <c r="B57" s="8" t="inlineStr">
        <is>
          <t>PR-1</t>
        </is>
      </c>
      <c r="C57" s="8" t="inlineStr">
        <is>
          <t>5. Canal Presencial</t>
        </is>
      </c>
      <c r="D57" s="8" t="inlineStr">
        <is>
          <t>Orienta al asociado en la sede.</t>
        </is>
      </c>
      <c r="E57" s="8" t="inlineStr">
        <is>
          <t>No crítico</t>
        </is>
      </c>
      <c r="F57" s="8" t="inlineStr">
        <is>
          <t>Presencial</t>
        </is>
      </c>
      <c r="G57" s="8" t="inlineStr">
        <is>
          <t>Todos</t>
        </is>
      </c>
      <c r="H57" s="8" t="n">
        <v>1</v>
      </c>
      <c r="I57" s="8" t="n">
        <v>1</v>
      </c>
      <c r="J57" s="8" t="n">
        <v>1</v>
      </c>
      <c r="K57" s="8" t="n">
        <v>1</v>
      </c>
      <c r="L57" s="8" t="n">
        <v>1</v>
      </c>
      <c r="M57" s="8" t="n">
        <v>1</v>
      </c>
      <c r="N57" s="8" t="inlineStr">
        <is>
          <t>PR-3</t>
        </is>
      </c>
      <c r="O57" s="8" t="inlineStr">
        <is>
          <t>X</t>
        </is>
      </c>
      <c r="P57" s="8" t="inlineStr">
        <is>
          <t>AS-026</t>
        </is>
      </c>
      <c r="Q57" s="8" t="n">
        <v>0</v>
      </c>
      <c r="U57" s="10" t="inlineStr">
        <is>
          <t>pr_orienta_al_asociado_en_sede</t>
        </is>
      </c>
    </row>
    <row r="58">
      <c r="A58" s="8" t="n">
        <v>57</v>
      </c>
      <c r="B58" s="8" t="inlineStr">
        <is>
          <t>PR-2</t>
        </is>
      </c>
      <c r="C58" s="8" t="inlineStr">
        <is>
          <t>5. Canal Presencial</t>
        </is>
      </c>
      <c r="D58" s="8" t="inlineStr">
        <is>
          <t>Revisa los documentos en el momento.</t>
        </is>
      </c>
      <c r="E58" s="8" t="inlineStr">
        <is>
          <t>No crítico</t>
        </is>
      </c>
      <c r="F58" s="8" t="inlineStr">
        <is>
          <t>Presencial</t>
        </is>
      </c>
      <c r="G58" s="8" t="inlineStr">
        <is>
          <t>Todos</t>
        </is>
      </c>
      <c r="H58" s="8" t="n">
        <v>1</v>
      </c>
      <c r="I58" s="8" t="n">
        <v>1</v>
      </c>
      <c r="J58" s="8" t="n">
        <v>1</v>
      </c>
      <c r="K58" s="8" t="n">
        <v>1</v>
      </c>
      <c r="L58" s="8" t="n">
        <v>1</v>
      </c>
      <c r="M58" s="8" t="n">
        <v>1</v>
      </c>
      <c r="N58" s="8" t="inlineStr">
        <is>
          <t>PR-3</t>
        </is>
      </c>
      <c r="O58" s="8" t="inlineStr">
        <is>
          <t>X</t>
        </is>
      </c>
      <c r="P58" s="8" t="inlineStr">
        <is>
          <t>PV-IN-09</t>
        </is>
      </c>
      <c r="Q58" s="8" t="n">
        <v>0</v>
      </c>
      <c r="U58" s="10" t="inlineStr">
        <is>
          <t>pr_revisa_documentos_en_el_momento</t>
        </is>
      </c>
    </row>
    <row r="59">
      <c r="A59" s="25" t="n">
        <v>58</v>
      </c>
      <c r="B59" s="25" t="inlineStr">
        <is>
          <t>PR-3</t>
        </is>
      </c>
      <c r="C59" s="25" t="inlineStr">
        <is>
          <t>5. Canal Presencial</t>
        </is>
      </c>
      <c r="D59" s="25" t="inlineStr">
        <is>
          <t>Registra la reunión en HubSpot.</t>
        </is>
      </c>
      <c r="E59" s="25" t="inlineStr">
        <is>
          <t>No crítico</t>
        </is>
      </c>
      <c r="F59" s="25" t="inlineStr">
        <is>
          <t>Presencial</t>
        </is>
      </c>
      <c r="G59" s="25" t="inlineStr">
        <is>
          <t>Todos</t>
        </is>
      </c>
      <c r="H59" s="25" t="n">
        <v>1</v>
      </c>
      <c r="I59" s="25" t="n">
        <v>1</v>
      </c>
      <c r="J59" s="25" t="n">
        <v>1</v>
      </c>
      <c r="K59" s="25" t="n">
        <v>2</v>
      </c>
      <c r="L59" s="25" t="n">
        <v>2</v>
      </c>
      <c r="M59" s="25" t="n">
        <v>2</v>
      </c>
      <c r="N59" s="25" t="inlineStr"/>
      <c r="O59" s="25" t="inlineStr"/>
      <c r="P59" s="25" t="inlineStr">
        <is>
          <t>PV-IN-10</t>
        </is>
      </c>
      <c r="Q59" s="25" t="n">
        <v>0</v>
      </c>
      <c r="U59" s="10" t="inlineStr">
        <is>
          <t>pr_registra_reunion_en_hubspot</t>
        </is>
      </c>
    </row>
    <row r="60">
      <c r="J60" s="4" t="inlineStr">
        <is>
          <t>Total</t>
        </is>
      </c>
      <c r="K60" s="4">
        <f>SUM(K2:K59)</f>
        <v/>
      </c>
      <c r="L60" s="4">
        <f>SUM(L2:L59)</f>
        <v/>
      </c>
      <c r="M60" s="4">
        <f>SUM(M2:M59)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52" customWidth="1" min="3" max="3"/>
    <col width="70" customWidth="1" min="4" max="4"/>
    <col width="11" customWidth="1" min="5" max="5"/>
    <col width="18" customWidth="1" min="6" max="6"/>
    <col width="5" customWidth="1" min="7" max="7"/>
    <col width="10" customWidth="1" min="8" max="8"/>
    <col width="10" customWidth="1" min="9" max="9"/>
    <col width="10" customWidth="1" min="10" max="10"/>
    <col width="11" customWidth="1" min="11" max="11"/>
    <col width="5" customWidth="1" min="12" max="12"/>
    <col width="7" customWidth="1" min="13" max="13"/>
    <col width="5" customWidth="1" min="14" max="14"/>
    <col width="10" customWidth="1" min="15" max="15"/>
    <col width="10" customWidth="1" min="16" max="16"/>
    <col width="10" customWidth="1" min="17" max="17"/>
    <col width="28" customWidth="1" min="18" max="18"/>
  </cols>
  <sheetData>
    <row r="1" ht="45" customHeight="1">
      <c r="A1" s="6" t="inlineStr">
        <is>
          <t>#</t>
        </is>
      </c>
      <c r="B1" s="6" t="inlineStr">
        <is>
          <t>Código</t>
        </is>
      </c>
      <c r="C1" s="6" t="inlineStr">
        <is>
          <t>Propiedad</t>
        </is>
      </c>
      <c r="D1" s="6" t="inlineStr">
        <is>
          <t>Descripción</t>
        </is>
      </c>
      <c r="E1" s="6" t="inlineStr">
        <is>
          <t>Tipo</t>
        </is>
      </c>
      <c r="F1" s="6" t="inlineStr">
        <is>
          <t>Aplica a</t>
        </is>
      </c>
      <c r="G1" s="6" t="inlineStr">
        <is>
          <t>SI</t>
        </is>
      </c>
      <c r="H1" s="6" t="inlineStr">
        <is>
          <t>Peso SI Comercial</t>
        </is>
      </c>
      <c r="I1" s="6" t="inlineStr">
        <is>
          <t>Peso SI Cob. consulta</t>
        </is>
      </c>
      <c r="J1" s="6" t="inlineStr">
        <is>
          <t>Peso SI Cob. campaña</t>
        </is>
      </c>
      <c r="K1" s="6" t="inlineStr">
        <is>
          <t>Guion donde reposa (#)</t>
        </is>
      </c>
      <c r="L1" s="6" t="inlineStr">
        <is>
          <t>NO</t>
        </is>
      </c>
      <c r="M1" s="6" t="inlineStr">
        <is>
          <t>Peso NO</t>
        </is>
      </c>
      <c r="N1" s="6" t="inlineStr">
        <is>
          <t>N/A</t>
        </is>
      </c>
      <c r="O1" s="6" t="inlineStr">
        <is>
          <t>Peso N/A Comercial</t>
        </is>
      </c>
      <c r="P1" s="6" t="inlineStr">
        <is>
          <t>Peso N/A Cob. consulta</t>
        </is>
      </c>
      <c r="Q1" s="6" t="inlineStr">
        <is>
          <t>Peso N/A Cob. campaña</t>
        </is>
      </c>
      <c r="R1" s="6" t="inlineStr">
        <is>
          <t>Fuente</t>
        </is>
      </c>
    </row>
    <row r="2">
      <c r="A2" s="20" t="n">
        <v>1</v>
      </c>
      <c r="B2" s="20" t="inlineStr">
        <is>
          <t>HD-1</t>
        </is>
      </c>
      <c r="C2" s="20" t="inlineStr">
        <is>
          <t>wa_hd_preguntas_seguridad_antes_de_informar</t>
        </is>
      </c>
      <c r="D2" s="20" t="inlineStr">
        <is>
          <t>Realiza las preguntas de seguridad (filtro de titularidad) ANTES de dar cualquier información del crédito, la obligación, el saldo o el recibo de pago.</t>
        </is>
      </c>
      <c r="E2" s="20" t="inlineStr">
        <is>
          <t>Control HD</t>
        </is>
      </c>
      <c r="F2" s="20" t="inlineStr">
        <is>
          <t>Todos</t>
        </is>
      </c>
      <c r="G2" s="20" t="inlineStr">
        <is>
          <t>X</t>
        </is>
      </c>
      <c r="H2" s="20" t="n">
        <v>0</v>
      </c>
      <c r="I2" s="20" t="n">
        <v>0</v>
      </c>
      <c r="J2" s="20" t="n">
        <v>0</v>
      </c>
      <c r="K2" s="20" t="n"/>
      <c r="L2" s="20" t="inlineStr">
        <is>
          <t>X</t>
        </is>
      </c>
      <c r="M2" s="20" t="n">
        <v>0</v>
      </c>
      <c r="N2" s="20" t="n"/>
      <c r="O2" s="20" t="n"/>
      <c r="P2" s="20" t="n"/>
      <c r="Q2" s="20" t="n"/>
      <c r="R2" s="20" t="inlineStr">
        <is>
          <t>PV-IN-04 4.7</t>
        </is>
      </c>
    </row>
    <row r="3">
      <c r="A3" s="20" t="n">
        <v>2</v>
      </c>
      <c r="B3" s="20" t="inlineStr">
        <is>
          <t>HD-2</t>
        </is>
      </c>
      <c r="C3" s="20" t="inlineStr">
        <is>
          <t>wa_hd_preguntas_seguridad_completas</t>
        </is>
      </c>
      <c r="D3" s="20" t="inlineStr">
        <is>
          <t>Hace las preguntas de seguridad COMPLETAS, según el protocolo vigente (no omite ni resume preguntas).</t>
        </is>
      </c>
      <c r="E3" s="20" t="inlineStr">
        <is>
          <t>Control HD</t>
        </is>
      </c>
      <c r="F3" s="20" t="inlineStr">
        <is>
          <t>Todos</t>
        </is>
      </c>
      <c r="G3" s="20" t="inlineStr">
        <is>
          <t>X</t>
        </is>
      </c>
      <c r="H3" s="20" t="n">
        <v>0</v>
      </c>
      <c r="I3" s="20" t="n">
        <v>0</v>
      </c>
      <c r="J3" s="20" t="n">
        <v>0</v>
      </c>
      <c r="K3" s="20" t="n"/>
      <c r="L3" s="20" t="inlineStr">
        <is>
          <t>X</t>
        </is>
      </c>
      <c r="M3" s="20" t="n">
        <v>0</v>
      </c>
      <c r="N3" s="20" t="n"/>
      <c r="O3" s="20" t="n"/>
      <c r="P3" s="20" t="n"/>
      <c r="Q3" s="20" t="n"/>
      <c r="R3" s="20" t="inlineStr">
        <is>
          <t>PV-IN-04 4.7</t>
        </is>
      </c>
    </row>
    <row r="4">
      <c r="A4" s="20" t="n">
        <v>3</v>
      </c>
      <c r="B4" s="20" t="inlineStr">
        <is>
          <t>HD-3</t>
        </is>
      </c>
      <c r="C4" s="20" t="inlineStr">
        <is>
          <t>wa_hd_no_informa_a_terceros_no_autorizados</t>
        </is>
      </c>
      <c r="D4" s="20" t="inlineStr">
        <is>
          <t>No entrega información a terceros no autorizados (familiares, codeudores, referencias, IES sin autorización).</t>
        </is>
      </c>
      <c r="E4" s="20" t="inlineStr">
        <is>
          <t>Control HD</t>
        </is>
      </c>
      <c r="F4" s="20" t="inlineStr">
        <is>
          <t>Todos</t>
        </is>
      </c>
      <c r="G4" s="20" t="inlineStr">
        <is>
          <t>X</t>
        </is>
      </c>
      <c r="H4" s="20" t="n">
        <v>0</v>
      </c>
      <c r="I4" s="20" t="n">
        <v>0</v>
      </c>
      <c r="J4" s="20" t="n">
        <v>0</v>
      </c>
      <c r="K4" s="20" t="n"/>
      <c r="L4" s="20" t="inlineStr">
        <is>
          <t>X</t>
        </is>
      </c>
      <c r="M4" s="20" t="n">
        <v>0</v>
      </c>
      <c r="N4" s="20" t="n"/>
      <c r="O4" s="20" t="n"/>
      <c r="P4" s="20" t="n"/>
      <c r="Q4" s="20" t="n"/>
      <c r="R4" s="20" t="inlineStr">
        <is>
          <t>PV-IN-04 4.7 · Ley 1581 de 2012</t>
        </is>
      </c>
    </row>
    <row r="5">
      <c r="A5" s="20" t="n">
        <v>4</v>
      </c>
      <c r="B5" s="20" t="inlineStr">
        <is>
          <t>HD-4</t>
        </is>
      </c>
      <c r="C5" s="20" t="inlineStr">
        <is>
          <t>wa_hd_protege_datos_y_usa_canales_oficiales</t>
        </is>
      </c>
      <c r="D5" s="20" t="inlineStr">
        <is>
          <t>Protege los datos: no expone datos completos del titular en el canal y no pide ni envía documentos por canales no oficiales.</t>
        </is>
      </c>
      <c r="E5" s="20" t="inlineStr">
        <is>
          <t>Control HD</t>
        </is>
      </c>
      <c r="F5" s="20" t="inlineStr">
        <is>
          <t>Todos</t>
        </is>
      </c>
      <c r="G5" s="20" t="inlineStr">
        <is>
          <t>X</t>
        </is>
      </c>
      <c r="H5" s="20" t="n">
        <v>0</v>
      </c>
      <c r="I5" s="20" t="n">
        <v>0</v>
      </c>
      <c r="J5" s="20" t="n">
        <v>0</v>
      </c>
      <c r="K5" s="20" t="n"/>
      <c r="L5" s="20" t="inlineStr">
        <is>
          <t>X</t>
        </is>
      </c>
      <c r="M5" s="20" t="n">
        <v>0</v>
      </c>
      <c r="N5" s="20" t="n"/>
      <c r="O5" s="20" t="n"/>
      <c r="P5" s="20" t="n"/>
      <c r="Q5" s="20" t="n"/>
      <c r="R5" s="20" t="inlineStr">
        <is>
          <t>Ley 1581 de 2012</t>
        </is>
      </c>
    </row>
    <row r="6">
      <c r="A6" s="20" t="n">
        <v>5</v>
      </c>
      <c r="B6" s="20" t="inlineStr">
        <is>
          <t>HD-5</t>
        </is>
      </c>
      <c r="C6" s="20" t="inlineStr">
        <is>
          <t>wa_hd_respeta_autorizacion_de_contacto</t>
        </is>
      </c>
      <c r="D6" s="20" t="inlineStr">
        <is>
          <t>Respeta la autorización de tratamiento de datos y contacta solo por los canales que el asociado autorizó.</t>
        </is>
      </c>
      <c r="E6" s="20" t="inlineStr">
        <is>
          <t>Control HD</t>
        </is>
      </c>
      <c r="F6" s="20" t="inlineStr">
        <is>
          <t>Todos</t>
        </is>
      </c>
      <c r="G6" s="20" t="inlineStr">
        <is>
          <t>X</t>
        </is>
      </c>
      <c r="H6" s="20" t="n">
        <v>0</v>
      </c>
      <c r="I6" s="20" t="n">
        <v>0</v>
      </c>
      <c r="J6" s="20" t="n">
        <v>0</v>
      </c>
      <c r="K6" s="20" t="n"/>
      <c r="L6" s="20" t="inlineStr">
        <is>
          <t>X</t>
        </is>
      </c>
      <c r="M6" s="20" t="n">
        <v>0</v>
      </c>
      <c r="N6" s="20" t="n"/>
      <c r="O6" s="20" t="n"/>
      <c r="P6" s="20" t="n"/>
      <c r="Q6" s="20" t="n"/>
      <c r="R6" s="20" t="inlineStr">
        <is>
          <t>Ley 1581 de 2012 · Ley 2300 de 2023</t>
        </is>
      </c>
    </row>
    <row r="7">
      <c r="A7" s="20" t="n">
        <v>6</v>
      </c>
      <c r="B7" s="20" t="inlineStr">
        <is>
          <t>ECU-1</t>
        </is>
      </c>
      <c r="C7" s="20" t="inlineStr">
        <is>
          <t>wa_ecu_informacion_correcta_y_completa</t>
        </is>
      </c>
      <c r="D7" s="20" t="inlineStr">
        <is>
          <t>Da información correcta y completa (requisitos, documentos, condiciones, estado del crédito o de la obligación).</t>
        </is>
      </c>
      <c r="E7" s="20" t="inlineStr">
        <is>
          <t>ECU</t>
        </is>
      </c>
      <c r="F7" s="20" t="inlineStr">
        <is>
          <t>Todos</t>
        </is>
      </c>
      <c r="G7" s="20" t="inlineStr">
        <is>
          <t>X</t>
        </is>
      </c>
      <c r="H7" s="20" t="n">
        <v>0</v>
      </c>
      <c r="I7" s="20" t="n">
        <v>0</v>
      </c>
      <c r="J7" s="20" t="n">
        <v>0</v>
      </c>
      <c r="K7" s="20" t="n"/>
      <c r="L7" s="20" t="inlineStr">
        <is>
          <t>X</t>
        </is>
      </c>
      <c r="M7" s="20" t="n">
        <v>0</v>
      </c>
      <c r="N7" s="20" t="n"/>
      <c r="O7" s="20" t="n"/>
      <c r="P7" s="20" t="n"/>
      <c r="Q7" s="20" t="n"/>
      <c r="R7" s="20" t="inlineStr">
        <is>
          <t>PV-PR-09 6.3</t>
        </is>
      </c>
    </row>
    <row r="8">
      <c r="A8" s="20" t="n">
        <v>7</v>
      </c>
      <c r="B8" s="20" t="inlineStr">
        <is>
          <t>ECU-2</t>
        </is>
      </c>
      <c r="C8" s="20" t="inlineStr">
        <is>
          <t>wa_ecu_trato_respetuoso</t>
        </is>
      </c>
      <c r="D8" s="20" t="inlineStr">
        <is>
          <t>Trata al asociado con respeto (sin maltrato ni trato inadecuado).</t>
        </is>
      </c>
      <c r="E8" s="20" t="inlineStr">
        <is>
          <t>ECU</t>
        </is>
      </c>
      <c r="F8" s="20" t="inlineStr">
        <is>
          <t>Todos</t>
        </is>
      </c>
      <c r="G8" s="20" t="inlineStr">
        <is>
          <t>X</t>
        </is>
      </c>
      <c r="H8" s="20" t="n">
        <v>0</v>
      </c>
      <c r="I8" s="20" t="n">
        <v>0</v>
      </c>
      <c r="J8" s="20" t="n">
        <v>0</v>
      </c>
      <c r="K8" s="20" t="n"/>
      <c r="L8" s="20" t="inlineStr">
        <is>
          <t>X</t>
        </is>
      </c>
      <c r="M8" s="20" t="n">
        <v>0</v>
      </c>
      <c r="N8" s="20" t="n"/>
      <c r="O8" s="20" t="n"/>
      <c r="P8" s="20" t="n"/>
      <c r="Q8" s="20" t="n"/>
      <c r="R8" s="20" t="inlineStr">
        <is>
          <t>PV-IN-04 4.8</t>
        </is>
      </c>
    </row>
    <row r="9">
      <c r="A9" s="20" t="n">
        <v>8</v>
      </c>
      <c r="B9" s="20" t="inlineStr">
        <is>
          <t>ECU-3</t>
        </is>
      </c>
      <c r="C9" s="20" t="inlineStr">
        <is>
          <t>wa_ecu_da_respuesta_y_cierre_a_solicitudes</t>
        </is>
      </c>
      <c r="D9" s="20" t="inlineStr">
        <is>
          <t>Da respuesta y cierre a toda solicitud o compromiso con el asociado (no abandona el caso ni deja sin respuesta un mensaje).</t>
        </is>
      </c>
      <c r="E9" s="20" t="inlineStr">
        <is>
          <t>ECU</t>
        </is>
      </c>
      <c r="F9" s="20" t="inlineStr">
        <is>
          <t>Todos</t>
        </is>
      </c>
      <c r="G9" s="20" t="inlineStr">
        <is>
          <t>X</t>
        </is>
      </c>
      <c r="H9" s="20" t="n">
        <v>0</v>
      </c>
      <c r="I9" s="20" t="n">
        <v>0</v>
      </c>
      <c r="J9" s="20" t="n">
        <v>0</v>
      </c>
      <c r="K9" s="20" t="n"/>
      <c r="L9" s="20" t="inlineStr">
        <is>
          <t>X</t>
        </is>
      </c>
      <c r="M9" s="20" t="n">
        <v>0</v>
      </c>
      <c r="N9" s="20" t="n"/>
      <c r="O9" s="20" t="n"/>
      <c r="P9" s="20" t="n"/>
      <c r="Q9" s="20" t="n"/>
      <c r="R9" s="20" t="inlineStr">
        <is>
          <t>PV-PR-09 6.2</t>
        </is>
      </c>
    </row>
    <row r="10">
      <c r="A10" s="20" t="n">
        <v>9</v>
      </c>
      <c r="B10" s="20" t="inlineStr">
        <is>
          <t>ECN-1</t>
        </is>
      </c>
      <c r="C10" s="20" t="inlineStr">
        <is>
          <t>wa_ecn_primer_contacto_dentro_de_sla</t>
        </is>
      </c>
      <c r="D10" s="20" t="inlineStr">
        <is>
          <t>Realiza el primer contacto con el lead dentro del SLA (3 h hábiles desde la asignación).</t>
        </is>
      </c>
      <c r="E10" s="20" t="inlineStr">
        <is>
          <t>ECN</t>
        </is>
      </c>
      <c r="F10" s="20" t="inlineStr">
        <is>
          <t>Comercial</t>
        </is>
      </c>
      <c r="G10" s="20" t="inlineStr">
        <is>
          <t>X</t>
        </is>
      </c>
      <c r="H10" s="20" t="n">
        <v>0</v>
      </c>
      <c r="I10" s="20" t="n"/>
      <c r="J10" s="20" t="n"/>
      <c r="K10" s="20" t="n"/>
      <c r="L10" s="20" t="inlineStr">
        <is>
          <t>X</t>
        </is>
      </c>
      <c r="M10" s="20" t="n">
        <v>0</v>
      </c>
      <c r="N10" s="20" t="inlineStr">
        <is>
          <t>X</t>
        </is>
      </c>
      <c r="O10" s="20" t="n">
        <v>0</v>
      </c>
      <c r="P10" s="20" t="n"/>
      <c r="Q10" s="20" t="n"/>
      <c r="R10" s="20" t="inlineStr">
        <is>
          <t>PV-PR-09 4 y 6.3</t>
        </is>
      </c>
    </row>
    <row r="11">
      <c r="A11" s="20" t="n">
        <v>10</v>
      </c>
      <c r="B11" s="20" t="inlineStr">
        <is>
          <t>ECN-2</t>
        </is>
      </c>
      <c r="C11" s="20" t="inlineStr">
        <is>
          <t>wa_ecn_descalifica_con_intentos_y_motivo</t>
        </is>
      </c>
      <c r="D11" s="20" t="inlineStr">
        <is>
          <t>Descalifica el lead solo con los intentos registrados y el motivo que corresponde.</t>
        </is>
      </c>
      <c r="E11" s="20" t="inlineStr">
        <is>
          <t>ECN</t>
        </is>
      </c>
      <c r="F11" s="20" t="inlineStr">
        <is>
          <t>Comercial</t>
        </is>
      </c>
      <c r="G11" s="20" t="inlineStr">
        <is>
          <t>X</t>
        </is>
      </c>
      <c r="H11" s="20" t="n">
        <v>0</v>
      </c>
      <c r="I11" s="20" t="n"/>
      <c r="J11" s="20" t="n"/>
      <c r="K11" s="20" t="n"/>
      <c r="L11" s="20" t="inlineStr">
        <is>
          <t>X</t>
        </is>
      </c>
      <c r="M11" s="20" t="n">
        <v>0</v>
      </c>
      <c r="N11" s="20" t="inlineStr">
        <is>
          <t>X</t>
        </is>
      </c>
      <c r="O11" s="20" t="n">
        <v>0</v>
      </c>
      <c r="P11" s="20" t="n"/>
      <c r="Q11" s="20" t="n"/>
      <c r="R11" s="20" t="inlineStr">
        <is>
          <t>PV-PR-09 6.3</t>
        </is>
      </c>
    </row>
    <row r="12">
      <c r="A12" s="20" t="n">
        <v>11</v>
      </c>
      <c r="B12" s="20" t="inlineStr">
        <is>
          <t>ECN-3</t>
        </is>
      </c>
      <c r="C12" s="20" t="inlineStr">
        <is>
          <t>wa_ecn_crea_o_asocia_negocio</t>
        </is>
      </c>
      <c r="D12" s="20" t="inlineStr">
        <is>
          <t>Crea o asocia el negocio cuando la persona decide continuar.</t>
        </is>
      </c>
      <c r="E12" s="20" t="inlineStr">
        <is>
          <t>ECN</t>
        </is>
      </c>
      <c r="F12" s="20" t="inlineStr">
        <is>
          <t>Comercial</t>
        </is>
      </c>
      <c r="G12" s="20" t="inlineStr">
        <is>
          <t>X</t>
        </is>
      </c>
      <c r="H12" s="20" t="n">
        <v>0</v>
      </c>
      <c r="I12" s="20" t="n"/>
      <c r="J12" s="20" t="n"/>
      <c r="K12" s="20" t="n"/>
      <c r="L12" s="20" t="inlineStr">
        <is>
          <t>X</t>
        </is>
      </c>
      <c r="M12" s="20" t="n">
        <v>0</v>
      </c>
      <c r="N12" s="20" t="inlineStr">
        <is>
          <t>X</t>
        </is>
      </c>
      <c r="O12" s="20" t="n">
        <v>0</v>
      </c>
      <c r="P12" s="20" t="n"/>
      <c r="Q12" s="20" t="n"/>
      <c r="R12" s="20" t="inlineStr">
        <is>
          <t>PV-PR-09 6.3</t>
        </is>
      </c>
    </row>
    <row r="13">
      <c r="A13" s="20" t="n">
        <v>12</v>
      </c>
      <c r="B13" s="20" t="inlineStr">
        <is>
          <t>ECN-4</t>
        </is>
      </c>
      <c r="C13" s="20" t="inlineStr">
        <is>
          <t>wa_ecn_mueve_etapas_con_evidencia</t>
        </is>
      </c>
      <c r="D13" s="20" t="inlineStr">
        <is>
          <t>Mueve las etapas solo con evidencia (Desembolsado con fecha y referencia).</t>
        </is>
      </c>
      <c r="E13" s="20" t="inlineStr">
        <is>
          <t>ECN</t>
        </is>
      </c>
      <c r="F13" s="20" t="inlineStr">
        <is>
          <t>Comercial</t>
        </is>
      </c>
      <c r="G13" s="20" t="inlineStr">
        <is>
          <t>X</t>
        </is>
      </c>
      <c r="H13" s="20" t="n">
        <v>0</v>
      </c>
      <c r="I13" s="20" t="n"/>
      <c r="J13" s="20" t="n"/>
      <c r="K13" s="20" t="n"/>
      <c r="L13" s="20" t="inlineStr">
        <is>
          <t>X</t>
        </is>
      </c>
      <c r="M13" s="20" t="n">
        <v>0</v>
      </c>
      <c r="N13" s="20" t="inlineStr">
        <is>
          <t>X</t>
        </is>
      </c>
      <c r="O13" s="20" t="n">
        <v>0</v>
      </c>
      <c r="P13" s="20" t="n"/>
      <c r="Q13" s="20" t="n"/>
      <c r="R13" s="20" t="inlineStr">
        <is>
          <t>PV-PR-09 6.4</t>
        </is>
      </c>
    </row>
    <row r="14">
      <c r="A14" s="20" t="n">
        <v>13</v>
      </c>
      <c r="B14" s="20" t="inlineStr">
        <is>
          <t>ECN-5</t>
        </is>
      </c>
      <c r="C14" s="20" t="inlineStr">
        <is>
          <t>wa_ecn_deja_estado_proxima_accion_responsable_fecha</t>
        </is>
      </c>
      <c r="D14" s="20" t="inlineStr">
        <is>
          <t>Deja el caso con estado real, próxima acción, responsable y fecha.</t>
        </is>
      </c>
      <c r="E14" s="20" t="inlineStr">
        <is>
          <t>ECN</t>
        </is>
      </c>
      <c r="F14" s="20" t="inlineStr">
        <is>
          <t>Todos</t>
        </is>
      </c>
      <c r="G14" s="20" t="inlineStr">
        <is>
          <t>X</t>
        </is>
      </c>
      <c r="H14" s="20" t="n">
        <v>0</v>
      </c>
      <c r="I14" s="20" t="n">
        <v>0</v>
      </c>
      <c r="J14" s="20" t="n">
        <v>0</v>
      </c>
      <c r="K14" s="20" t="n"/>
      <c r="L14" s="20" t="inlineStr">
        <is>
          <t>X</t>
        </is>
      </c>
      <c r="M14" s="20" t="n">
        <v>0</v>
      </c>
      <c r="N14" s="20" t="n"/>
      <c r="O14" s="20" t="n"/>
      <c r="P14" s="20" t="n"/>
      <c r="Q14" s="20" t="n"/>
      <c r="R14" s="20" t="inlineStr">
        <is>
          <t>PV-PR-09 6.1</t>
        </is>
      </c>
    </row>
    <row r="15">
      <c r="A15" s="20" t="n">
        <v>14</v>
      </c>
      <c r="B15" s="20" t="inlineStr">
        <is>
          <t>ECC-1</t>
        </is>
      </c>
      <c r="C15" s="20" t="inlineStr">
        <is>
          <t>wa_ecc_no_promete_condiciones_no_autorizadas</t>
        </is>
      </c>
      <c r="D15" s="20" t="inlineStr">
        <is>
          <t>No promete aprobación, tasa, costo, monto, descuento ni condiciones de pago no autorizados.</t>
        </is>
      </c>
      <c r="E15" s="20" t="inlineStr">
        <is>
          <t>ECC</t>
        </is>
      </c>
      <c r="F15" s="20" t="inlineStr">
        <is>
          <t>Todos</t>
        </is>
      </c>
      <c r="G15" s="20" t="inlineStr">
        <is>
          <t>X</t>
        </is>
      </c>
      <c r="H15" s="20" t="n">
        <v>0</v>
      </c>
      <c r="I15" s="20" t="n">
        <v>0</v>
      </c>
      <c r="J15" s="20" t="n">
        <v>0</v>
      </c>
      <c r="K15" s="20" t="n"/>
      <c r="L15" s="20" t="inlineStr">
        <is>
          <t>X</t>
        </is>
      </c>
      <c r="M15" s="20" t="n">
        <v>0</v>
      </c>
      <c r="N15" s="20" t="n"/>
      <c r="O15" s="20" t="n"/>
      <c r="P15" s="20" t="n"/>
      <c r="Q15" s="20" t="n"/>
      <c r="R15" s="20" t="inlineStr">
        <is>
          <t>Política comercial y de cartera</t>
        </is>
      </c>
    </row>
    <row r="16">
      <c r="A16" s="20" t="n">
        <v>15</v>
      </c>
      <c r="B16" s="20" t="inlineStr">
        <is>
          <t>ECC-2</t>
        </is>
      </c>
      <c r="C16" s="20" t="inlineStr">
        <is>
          <t>wa_ecc_no_altera_documentos</t>
        </is>
      </c>
      <c r="D16" s="20" t="inlineStr">
        <is>
          <t>No altera ni manipula documentos.</t>
        </is>
      </c>
      <c r="E16" s="20" t="inlineStr">
        <is>
          <t>ECC</t>
        </is>
      </c>
      <c r="F16" s="20" t="inlineStr">
        <is>
          <t>Todos</t>
        </is>
      </c>
      <c r="G16" s="20" t="inlineStr">
        <is>
          <t>X</t>
        </is>
      </c>
      <c r="H16" s="20" t="n">
        <v>0</v>
      </c>
      <c r="I16" s="20" t="n">
        <v>0</v>
      </c>
      <c r="J16" s="20" t="n">
        <v>0</v>
      </c>
      <c r="K16" s="20" t="n"/>
      <c r="L16" s="20" t="inlineStr">
        <is>
          <t>X</t>
        </is>
      </c>
      <c r="M16" s="20" t="n">
        <v>0</v>
      </c>
      <c r="N16" s="20" t="inlineStr">
        <is>
          <t>X</t>
        </is>
      </c>
      <c r="O16" s="20" t="n">
        <v>0</v>
      </c>
      <c r="P16" s="20" t="n">
        <v>0</v>
      </c>
      <c r="Q16" s="20" t="n">
        <v>0</v>
      </c>
      <c r="R16" s="20" t="inlineStr">
        <is>
          <t>PV-IN-04 4.8</t>
        </is>
      </c>
    </row>
    <row r="17">
      <c r="A17" s="20" t="n">
        <v>16</v>
      </c>
      <c r="B17" s="20" t="inlineStr">
        <is>
          <t>ECC-3</t>
        </is>
      </c>
      <c r="C17" s="20" t="inlineStr">
        <is>
          <t>wa_ecc_cobra_con_respeto_y_dentro_de_la_ley</t>
        </is>
      </c>
      <c r="D17" s="20" t="inlineStr">
        <is>
          <t>Cobra con respeto y dentro de la ley: sin intimidar ni presionar, sin informar la deuda a terceros o referencias, y en los horarios y canales permitidos.</t>
        </is>
      </c>
      <c r="E17" s="20" t="inlineStr">
        <is>
          <t>ECC</t>
        </is>
      </c>
      <c r="F17" s="20" t="inlineStr">
        <is>
          <t>Cobranza</t>
        </is>
      </c>
      <c r="G17" s="20" t="inlineStr">
        <is>
          <t>X</t>
        </is>
      </c>
      <c r="H17" s="20" t="n"/>
      <c r="I17" s="20" t="n">
        <v>0</v>
      </c>
      <c r="J17" s="20" t="n">
        <v>0</v>
      </c>
      <c r="K17" s="20" t="n"/>
      <c r="L17" s="20" t="inlineStr">
        <is>
          <t>X</t>
        </is>
      </c>
      <c r="M17" s="20" t="n">
        <v>0</v>
      </c>
      <c r="N17" s="20" t="n"/>
      <c r="O17" s="20" t="n"/>
      <c r="P17" s="20" t="n"/>
      <c r="Q17" s="20" t="n"/>
      <c r="R17" s="20" t="inlineStr">
        <is>
          <t>Ley 2300 de 2023 y Ley 1266 de 2008</t>
        </is>
      </c>
    </row>
    <row r="18">
      <c r="A18" s="8" t="n">
        <v>17</v>
      </c>
      <c r="B18" s="8" t="inlineStr">
        <is>
          <t>P1-1</t>
        </is>
      </c>
      <c r="C18" s="8" t="inlineStr">
        <is>
          <t>wa_sigue_cadencia_48h_multicanal</t>
        </is>
      </c>
      <c r="D18" s="8" t="inlineStr">
        <is>
          <t>Sigue la cadencia de 48 h por varios canales (WhatsApp, llamada en franja, último intento con correo y secuencia).</t>
        </is>
      </c>
      <c r="E18" s="8" t="inlineStr">
        <is>
          <t>No crítico</t>
        </is>
      </c>
      <c r="F18" s="8" t="inlineStr">
        <is>
          <t>Comercial</t>
        </is>
      </c>
      <c r="G18" s="8" t="inlineStr">
        <is>
          <t>X</t>
        </is>
      </c>
      <c r="H18" s="8" t="n">
        <v>6</v>
      </c>
      <c r="I18" s="8" t="n"/>
      <c r="J18" s="8" t="n"/>
      <c r="K18" s="8" t="n">
        <v>18</v>
      </c>
      <c r="L18" s="8" t="inlineStr">
        <is>
          <t>X</t>
        </is>
      </c>
      <c r="M18" s="8" t="n">
        <v>0</v>
      </c>
      <c r="N18" s="8" t="inlineStr">
        <is>
          <t>X</t>
        </is>
      </c>
      <c r="O18" s="8" t="n">
        <v>6</v>
      </c>
      <c r="P18" s="8" t="n"/>
      <c r="Q18" s="8" t="n"/>
      <c r="R18" s="8" t="inlineStr">
        <is>
          <t>PV-PR-09 6.3</t>
        </is>
      </c>
    </row>
    <row r="19">
      <c r="A19" s="25" t="n">
        <v>18</v>
      </c>
      <c r="B19" s="25" t="inlineStr">
        <is>
          <t>P1-2</t>
        </is>
      </c>
      <c r="C19" s="25" t="inlineStr">
        <is>
          <t>wa_responde_a_tiempo_en_conversacion_activa</t>
        </is>
      </c>
      <c r="D19" s="25" t="inlineStr">
        <is>
          <t>Responde a tiempo en una conversación activa.</t>
        </is>
      </c>
      <c r="E19" s="25" t="inlineStr">
        <is>
          <t>No crítico</t>
        </is>
      </c>
      <c r="F19" s="25" t="inlineStr">
        <is>
          <t>Comercial</t>
        </is>
      </c>
      <c r="G19" s="25" t="inlineStr">
        <is>
          <t>X</t>
        </is>
      </c>
      <c r="H19" s="25" t="n">
        <v>3</v>
      </c>
      <c r="I19" s="25" t="n"/>
      <c r="J19" s="25" t="n"/>
      <c r="K19" s="25" t="n"/>
      <c r="L19" s="25" t="inlineStr">
        <is>
          <t>X</t>
        </is>
      </c>
      <c r="M19" s="25" t="n">
        <v>0</v>
      </c>
      <c r="N19" s="25" t="n"/>
      <c r="O19" s="25" t="n"/>
      <c r="P19" s="25" t="n"/>
      <c r="Q19" s="25" t="n"/>
      <c r="R19" s="25" t="inlineStr">
        <is>
          <t>AS-040</t>
        </is>
      </c>
    </row>
    <row r="20">
      <c r="A20" s="25" t="n">
        <v>19</v>
      </c>
      <c r="B20" s="25" t="inlineStr">
        <is>
          <t>P2-1</t>
        </is>
      </c>
      <c r="C20" s="25" t="inlineStr">
        <is>
          <t>wa_revisa_duplicados_e_historial</t>
        </is>
      </c>
      <c r="D20" s="25" t="inlineStr">
        <is>
          <t>Revisa duplicados e historial antes de gestionar.</t>
        </is>
      </c>
      <c r="E20" s="25" t="inlineStr">
        <is>
          <t>No crítico</t>
        </is>
      </c>
      <c r="F20" s="25" t="inlineStr">
        <is>
          <t>Comercial</t>
        </is>
      </c>
      <c r="G20" s="25" t="inlineStr">
        <is>
          <t>X</t>
        </is>
      </c>
      <c r="H20" s="25" t="n">
        <v>2</v>
      </c>
      <c r="I20" s="25" t="n"/>
      <c r="J20" s="25" t="n"/>
      <c r="K20" s="25" t="n"/>
      <c r="L20" s="25" t="inlineStr">
        <is>
          <t>X</t>
        </is>
      </c>
      <c r="M20" s="25" t="n">
        <v>0</v>
      </c>
      <c r="N20" s="25" t="n"/>
      <c r="O20" s="25" t="n"/>
      <c r="P20" s="25" t="n"/>
      <c r="Q20" s="25" t="n"/>
      <c r="R20" s="25" t="inlineStr">
        <is>
          <t>PV-IN-08</t>
        </is>
      </c>
    </row>
    <row r="21">
      <c r="A21" s="25" t="n">
        <v>20</v>
      </c>
      <c r="B21" s="25" t="inlineStr">
        <is>
          <t>P2-2</t>
        </is>
      </c>
      <c r="C21" s="25" t="inlineStr">
        <is>
          <t>wa_perfila_el_caso</t>
        </is>
      </c>
      <c r="D21" s="25" t="inlineStr">
        <is>
          <t>Perfila el caso: tipo, línea, ciudad, sede y canal; en educativo, universidad y modalidad.</t>
        </is>
      </c>
      <c r="E21" s="25" t="inlineStr">
        <is>
          <t>No crítico</t>
        </is>
      </c>
      <c r="F21" s="25" t="inlineStr">
        <is>
          <t>Comercial</t>
        </is>
      </c>
      <c r="G21" s="25" t="inlineStr">
        <is>
          <t>X</t>
        </is>
      </c>
      <c r="H21" s="25" t="n">
        <v>3</v>
      </c>
      <c r="I21" s="25" t="n"/>
      <c r="J21" s="25" t="n"/>
      <c r="K21" s="25" t="n"/>
      <c r="L21" s="25" t="inlineStr">
        <is>
          <t>X</t>
        </is>
      </c>
      <c r="M21" s="25" t="n">
        <v>0</v>
      </c>
      <c r="N21" s="25" t="n"/>
      <c r="O21" s="25" t="n"/>
      <c r="P21" s="25" t="n"/>
      <c r="Q21" s="25" t="n"/>
      <c r="R21" s="25" t="inlineStr">
        <is>
          <t>PV-IN-08</t>
        </is>
      </c>
    </row>
    <row r="22">
      <c r="A22" s="8" t="n">
        <v>21</v>
      </c>
      <c r="B22" s="8" t="inlineStr">
        <is>
          <t>P2-3</t>
        </is>
      </c>
      <c r="C22" s="8" t="inlineStr">
        <is>
          <t>wa_indaga_que_monto_y_cuando_financiar</t>
        </is>
      </c>
      <c r="D22" s="8" t="inlineStr">
        <is>
          <t>Indaga qué quiere financiar, por qué monto y para cuándo.</t>
        </is>
      </c>
      <c r="E22" s="8" t="inlineStr">
        <is>
          <t>No crítico</t>
        </is>
      </c>
      <c r="F22" s="8" t="inlineStr">
        <is>
          <t>Comercial</t>
        </is>
      </c>
      <c r="G22" s="8" t="inlineStr">
        <is>
          <t>X</t>
        </is>
      </c>
      <c r="H22" s="8" t="n">
        <v>4</v>
      </c>
      <c r="I22" s="8" t="n"/>
      <c r="J22" s="8" t="n"/>
      <c r="K22" s="8" t="n">
        <v>20</v>
      </c>
      <c r="L22" s="8" t="inlineStr">
        <is>
          <t>X</t>
        </is>
      </c>
      <c r="M22" s="8" t="n">
        <v>0</v>
      </c>
      <c r="N22" s="8" t="inlineStr">
        <is>
          <t>X</t>
        </is>
      </c>
      <c r="O22" s="8" t="n">
        <v>4</v>
      </c>
      <c r="P22" s="8" t="n"/>
      <c r="Q22" s="8" t="n"/>
      <c r="R22" s="8" t="inlineStr">
        <is>
          <t>PV-PR-09 6.3</t>
        </is>
      </c>
    </row>
    <row r="23">
      <c r="A23" s="8" t="n">
        <v>22</v>
      </c>
      <c r="B23" s="8" t="inlineStr">
        <is>
          <t>P2-4</t>
        </is>
      </c>
      <c r="C23" s="8" t="inlineStr">
        <is>
          <t>wa_resuelve_dudas_y_objeciones_sin_presionar</t>
        </is>
      </c>
      <c r="D23" s="8" t="inlineStr">
        <is>
          <t>Resuelve dudas y objeciones sin presionar.</t>
        </is>
      </c>
      <c r="E23" s="8" t="inlineStr">
        <is>
          <t>No crítico</t>
        </is>
      </c>
      <c r="F23" s="8" t="inlineStr">
        <is>
          <t>Comercial</t>
        </is>
      </c>
      <c r="G23" s="8" t="inlineStr">
        <is>
          <t>X</t>
        </is>
      </c>
      <c r="H23" s="8" t="n">
        <v>4</v>
      </c>
      <c r="I23" s="8" t="n"/>
      <c r="J23" s="8" t="n"/>
      <c r="K23" s="8" t="n">
        <v>20</v>
      </c>
      <c r="L23" s="8" t="inlineStr">
        <is>
          <t>X</t>
        </is>
      </c>
      <c r="M23" s="8" t="n">
        <v>0</v>
      </c>
      <c r="N23" s="8" t="inlineStr">
        <is>
          <t>X</t>
        </is>
      </c>
      <c r="O23" s="8" t="n">
        <v>4</v>
      </c>
      <c r="P23" s="8" t="n"/>
      <c r="Q23" s="8" t="n"/>
      <c r="R23" s="8" t="inlineStr">
        <is>
          <t>AS-026</t>
        </is>
      </c>
    </row>
    <row r="24">
      <c r="A24" s="8" t="n">
        <v>23</v>
      </c>
      <c r="B24" s="8" t="inlineStr">
        <is>
          <t>P2-5</t>
        </is>
      </c>
      <c r="C24" s="8" t="inlineStr">
        <is>
          <t>wa_ofrece_valor_adicional_o_alternativa</t>
        </is>
      </c>
      <c r="D24" s="8" t="inlineStr">
        <is>
          <t>Ofrece un valor adicional o una alternativa permitida cuando corresponde.</t>
        </is>
      </c>
      <c r="E24" s="8" t="inlineStr">
        <is>
          <t>No crítico</t>
        </is>
      </c>
      <c r="F24" s="8" t="inlineStr">
        <is>
          <t>Comercial</t>
        </is>
      </c>
      <c r="G24" s="8" t="inlineStr">
        <is>
          <t>X</t>
        </is>
      </c>
      <c r="H24" s="8" t="n">
        <v>2</v>
      </c>
      <c r="I24" s="8" t="n"/>
      <c r="J24" s="8" t="n"/>
      <c r="K24" s="8" t="n">
        <v>20</v>
      </c>
      <c r="L24" s="8" t="inlineStr">
        <is>
          <t>X</t>
        </is>
      </c>
      <c r="M24" s="8" t="n">
        <v>0</v>
      </c>
      <c r="N24" s="8" t="inlineStr">
        <is>
          <t>X</t>
        </is>
      </c>
      <c r="O24" s="8" t="n">
        <v>2</v>
      </c>
      <c r="P24" s="8" t="n"/>
      <c r="Q24" s="8" t="n"/>
      <c r="R24" s="8" t="inlineStr">
        <is>
          <t>PV-PR-09</t>
        </is>
      </c>
    </row>
    <row r="25">
      <c r="A25" s="8" t="n">
        <v>24</v>
      </c>
      <c r="B25" s="8" t="inlineStr">
        <is>
          <t>P3-1</t>
        </is>
      </c>
      <c r="C25" s="8" t="inlineStr">
        <is>
          <t>wa_pendientes_con_tarea_responsable_y_fecha</t>
        </is>
      </c>
      <c r="D25" s="8" t="inlineStr">
        <is>
          <t>Cada documento o pendiente tiene tarea, responsable y fecha.</t>
        </is>
      </c>
      <c r="E25" s="8" t="inlineStr">
        <is>
          <t>No crítico</t>
        </is>
      </c>
      <c r="F25" s="8" t="inlineStr">
        <is>
          <t>Comercial</t>
        </is>
      </c>
      <c r="G25" s="8" t="inlineStr">
        <is>
          <t>X</t>
        </is>
      </c>
      <c r="H25" s="8" t="n">
        <v>4</v>
      </c>
      <c r="I25" s="8" t="n"/>
      <c r="J25" s="8" t="n"/>
      <c r="K25" s="8" t="n">
        <v>39</v>
      </c>
      <c r="L25" s="8" t="inlineStr">
        <is>
          <t>X</t>
        </is>
      </c>
      <c r="M25" s="8" t="n">
        <v>0</v>
      </c>
      <c r="N25" s="8" t="inlineStr">
        <is>
          <t>X</t>
        </is>
      </c>
      <c r="O25" s="8" t="n">
        <v>4</v>
      </c>
      <c r="P25" s="8" t="n"/>
      <c r="Q25" s="8" t="n"/>
      <c r="R25" s="8" t="inlineStr">
        <is>
          <t>PV-IN-09</t>
        </is>
      </c>
    </row>
    <row r="26">
      <c r="A26" s="8" t="n">
        <v>25</v>
      </c>
      <c r="B26" s="8" t="inlineStr">
        <is>
          <t>P3-2</t>
        </is>
      </c>
      <c r="C26" s="8" t="inlineStr">
        <is>
          <t>wa_escala_estudio_y_gestiona_congelado_48h</t>
        </is>
      </c>
      <c r="D26" s="8" t="inlineStr">
        <is>
          <t>En estudio escala a las 48 h y gestiona el negocio Congelado en 48 h o menos.</t>
        </is>
      </c>
      <c r="E26" s="8" t="inlineStr">
        <is>
          <t>No crítico</t>
        </is>
      </c>
      <c r="F26" s="8" t="inlineStr">
        <is>
          <t>Comercial</t>
        </is>
      </c>
      <c r="G26" s="8" t="inlineStr">
        <is>
          <t>X</t>
        </is>
      </c>
      <c r="H26" s="8" t="n">
        <v>4</v>
      </c>
      <c r="I26" s="8" t="n"/>
      <c r="J26" s="8" t="n"/>
      <c r="K26" s="8" t="n">
        <v>39</v>
      </c>
      <c r="L26" s="8" t="inlineStr">
        <is>
          <t>X</t>
        </is>
      </c>
      <c r="M26" s="8" t="n">
        <v>0</v>
      </c>
      <c r="N26" s="8" t="inlineStr">
        <is>
          <t>X</t>
        </is>
      </c>
      <c r="O26" s="8" t="n">
        <v>4</v>
      </c>
      <c r="P26" s="8" t="n"/>
      <c r="Q26" s="8" t="n"/>
      <c r="R26" s="8" t="inlineStr">
        <is>
          <t>PV-IN-09</t>
        </is>
      </c>
    </row>
    <row r="27">
      <c r="A27" s="8" t="n">
        <v>26</v>
      </c>
      <c r="B27" s="8" t="inlineStr">
        <is>
          <t>P3-3</t>
        </is>
      </c>
      <c r="C27" s="8" t="inlineStr">
        <is>
          <t>wa_aprobado_confirma_condiciones_y_sigue_desembolso</t>
        </is>
      </c>
      <c r="D27" s="8" t="inlineStr">
        <is>
          <t>En Aprobado confirma condiciones y aceptación del asociado, y hace seguimiento al desembolso.</t>
        </is>
      </c>
      <c r="E27" s="8" t="inlineStr">
        <is>
          <t>No crítico</t>
        </is>
      </c>
      <c r="F27" s="8" t="inlineStr">
        <is>
          <t>Comercial</t>
        </is>
      </c>
      <c r="G27" s="8" t="inlineStr">
        <is>
          <t>X</t>
        </is>
      </c>
      <c r="H27" s="8" t="n">
        <v>4</v>
      </c>
      <c r="I27" s="8" t="n"/>
      <c r="J27" s="8" t="n"/>
      <c r="K27" s="8" t="n">
        <v>39</v>
      </c>
      <c r="L27" s="8" t="inlineStr">
        <is>
          <t>X</t>
        </is>
      </c>
      <c r="M27" s="8" t="n">
        <v>0</v>
      </c>
      <c r="N27" s="8" t="inlineStr">
        <is>
          <t>X</t>
        </is>
      </c>
      <c r="O27" s="8" t="n">
        <v>4</v>
      </c>
      <c r="P27" s="8" t="n"/>
      <c r="Q27" s="8" t="n"/>
      <c r="R27" s="8" t="inlineStr">
        <is>
          <t>PV-IN-09</t>
        </is>
      </c>
    </row>
    <row r="28">
      <c r="A28" s="8" t="n">
        <v>27</v>
      </c>
      <c r="B28" s="8" t="inlineStr">
        <is>
          <t>P3-4</t>
        </is>
      </c>
      <c r="C28" s="8" t="inlineStr">
        <is>
          <t>wa_usa_motivo_correcto_al_descalificar</t>
        </is>
      </c>
      <c r="D28" s="8" t="inlineStr">
        <is>
          <t>Usa el motivo correcto al descalificar un lead o descartar un negocio.</t>
        </is>
      </c>
      <c r="E28" s="8" t="inlineStr">
        <is>
          <t>No crítico</t>
        </is>
      </c>
      <c r="F28" s="8" t="inlineStr">
        <is>
          <t>Comercial</t>
        </is>
      </c>
      <c r="G28" s="8" t="inlineStr">
        <is>
          <t>X</t>
        </is>
      </c>
      <c r="H28" s="8" t="n">
        <v>2</v>
      </c>
      <c r="I28" s="8" t="n"/>
      <c r="J28" s="8" t="n"/>
      <c r="K28" s="8" t="n">
        <v>39</v>
      </c>
      <c r="L28" s="8" t="inlineStr">
        <is>
          <t>X</t>
        </is>
      </c>
      <c r="M28" s="8" t="n">
        <v>0</v>
      </c>
      <c r="N28" s="8" t="inlineStr">
        <is>
          <t>X</t>
        </is>
      </c>
      <c r="O28" s="8" t="n">
        <v>2</v>
      </c>
      <c r="P28" s="8" t="n"/>
      <c r="Q28" s="8" t="n"/>
      <c r="R28" s="8" t="inlineStr">
        <is>
          <t>PV-IN-08 / PV-IN-09</t>
        </is>
      </c>
    </row>
    <row r="29">
      <c r="A29" s="8" t="n">
        <v>28</v>
      </c>
      <c r="B29" s="8" t="inlineStr">
        <is>
          <t>P3-5</t>
        </is>
      </c>
      <c r="C29" s="8" t="inlineStr">
        <is>
          <t>wa_postventa_informa_pagos_y_registra_ticket</t>
        </is>
      </c>
      <c r="D29" s="8" t="inlineStr">
        <is>
          <t>En postventa informa fecha y medios de pago y canales oficiales, y registra novedades en ticket.</t>
        </is>
      </c>
      <c r="E29" s="8" t="inlineStr">
        <is>
          <t>No crítico</t>
        </is>
      </c>
      <c r="F29" s="8" t="inlineStr">
        <is>
          <t>Comercial</t>
        </is>
      </c>
      <c r="G29" s="8" t="inlineStr">
        <is>
          <t>X</t>
        </is>
      </c>
      <c r="H29" s="8" t="n">
        <v>2</v>
      </c>
      <c r="I29" s="8" t="n"/>
      <c r="J29" s="8" t="n"/>
      <c r="K29" s="8" t="n">
        <v>39</v>
      </c>
      <c r="L29" s="8" t="inlineStr">
        <is>
          <t>X</t>
        </is>
      </c>
      <c r="M29" s="8" t="n">
        <v>0</v>
      </c>
      <c r="N29" s="8" t="inlineStr">
        <is>
          <t>X</t>
        </is>
      </c>
      <c r="O29" s="8" t="n">
        <v>2</v>
      </c>
      <c r="P29" s="8" t="n"/>
      <c r="Q29" s="8" t="n"/>
      <c r="R29" s="8" t="inlineStr">
        <is>
          <t>PV-IN-05</t>
        </is>
      </c>
    </row>
    <row r="30">
      <c r="A30" s="25" t="n">
        <v>29</v>
      </c>
      <c r="B30" s="25" t="inlineStr">
        <is>
          <t>CB-1</t>
        </is>
      </c>
      <c r="C30" s="25" t="inlineStr">
        <is>
          <t>wa_informa_obligacion_correcta_y_vigente</t>
        </is>
      </c>
      <c r="D30" s="25" t="inlineStr">
        <is>
          <t>Da información correcta, completa y vigente de la obligación: valor a pagar, fecha límite, referencia o recibo y medios de pago oficiales.</t>
        </is>
      </c>
      <c r="E30" s="25" t="inlineStr">
        <is>
          <t>No crítico</t>
        </is>
      </c>
      <c r="F30" s="25" t="inlineStr">
        <is>
          <t>Cobranza</t>
        </is>
      </c>
      <c r="G30" s="25" t="inlineStr">
        <is>
          <t>X</t>
        </is>
      </c>
      <c r="H30" s="25" t="n"/>
      <c r="I30" s="25" t="n">
        <v>10</v>
      </c>
      <c r="J30" s="25" t="n">
        <v>10</v>
      </c>
      <c r="K30" s="25" t="n"/>
      <c r="L30" s="25" t="inlineStr">
        <is>
          <t>X</t>
        </is>
      </c>
      <c r="M30" s="25" t="n">
        <v>0</v>
      </c>
      <c r="N30" s="25" t="n"/>
      <c r="O30" s="25" t="n"/>
      <c r="P30" s="25" t="n"/>
      <c r="Q30" s="25" t="n"/>
      <c r="R30" s="25" t="inlineStr">
        <is>
          <t>Política de cartera</t>
        </is>
      </c>
    </row>
    <row r="31">
      <c r="A31" s="8" t="n">
        <v>30</v>
      </c>
      <c r="B31" s="8" t="inlineStr">
        <is>
          <t>CB-2</t>
        </is>
      </c>
      <c r="C31" s="8" t="inlineStr">
        <is>
          <t>wa_ofrece_alternativas_de_pago_autorizadas</t>
        </is>
      </c>
      <c r="D31" s="8" t="inlineStr">
        <is>
          <t>Ofrece de inmediato alternativas de pago autorizadas según la situación del asociado (fecha de compromiso, acuerdo, normalización si aplica).</t>
        </is>
      </c>
      <c r="E31" s="8" t="inlineStr">
        <is>
          <t>No crítico</t>
        </is>
      </c>
      <c r="F31" s="8" t="inlineStr">
        <is>
          <t>Cobranza</t>
        </is>
      </c>
      <c r="G31" s="8" t="inlineStr">
        <is>
          <t>X</t>
        </is>
      </c>
      <c r="H31" s="8" t="n"/>
      <c r="I31" s="8" t="n">
        <v>8</v>
      </c>
      <c r="J31" s="8" t="n">
        <v>8</v>
      </c>
      <c r="K31" s="8" t="n">
        <v>29</v>
      </c>
      <c r="L31" s="8" t="inlineStr">
        <is>
          <t>X</t>
        </is>
      </c>
      <c r="M31" s="8" t="n">
        <v>0</v>
      </c>
      <c r="N31" s="8" t="inlineStr">
        <is>
          <t>X</t>
        </is>
      </c>
      <c r="O31" s="8" t="n"/>
      <c r="P31" s="8" t="n">
        <v>8</v>
      </c>
      <c r="Q31" s="8" t="n">
        <v>8</v>
      </c>
      <c r="R31" s="8" t="inlineStr">
        <is>
          <t>Política de cartera</t>
        </is>
      </c>
    </row>
    <row r="32">
      <c r="A32" s="25" t="n">
        <v>31</v>
      </c>
      <c r="B32" s="25" t="inlineStr">
        <is>
          <t>CB-3</t>
        </is>
      </c>
      <c r="C32" s="25" t="inlineStr">
        <is>
          <t>wa_registra_resultado_cobranza_en_hubspot</t>
        </is>
      </c>
      <c r="D32" s="25" t="inlineStr">
        <is>
          <t>Registra el resultado en HubSpot: compromiso de pago (valor y fecha), novedad o motivo de no pago.</t>
        </is>
      </c>
      <c r="E32" s="25" t="inlineStr">
        <is>
          <t>No crítico</t>
        </is>
      </c>
      <c r="F32" s="25" t="inlineStr">
        <is>
          <t>Cobranza</t>
        </is>
      </c>
      <c r="G32" s="25" t="inlineStr">
        <is>
          <t>X</t>
        </is>
      </c>
      <c r="H32" s="25" t="n"/>
      <c r="I32" s="25" t="n">
        <v>6</v>
      </c>
      <c r="J32" s="25" t="n">
        <v>6</v>
      </c>
      <c r="K32" s="25" t="n"/>
      <c r="L32" s="25" t="inlineStr">
        <is>
          <t>X</t>
        </is>
      </c>
      <c r="M32" s="25" t="n">
        <v>0</v>
      </c>
      <c r="N32" s="25" t="n"/>
      <c r="O32" s="25" t="n"/>
      <c r="P32" s="25" t="n"/>
      <c r="Q32" s="25" t="n"/>
      <c r="R32" s="25" t="inlineStr">
        <is>
          <t>PV-PR-09 8</t>
        </is>
      </c>
    </row>
    <row r="33">
      <c r="A33" s="8" t="n">
        <v>32</v>
      </c>
      <c r="B33" s="8" t="inlineStr">
        <is>
          <t>CB-4</t>
        </is>
      </c>
      <c r="C33" s="8" t="inlineStr">
        <is>
          <t>wa_deja_tarea_seguimiento_compromiso_pago</t>
        </is>
      </c>
      <c r="D33" s="8" t="inlineStr">
        <is>
          <t>Deja tarea de seguimiento al compromiso de pago con fecha.</t>
        </is>
      </c>
      <c r="E33" s="8" t="inlineStr">
        <is>
          <t>No crítico</t>
        </is>
      </c>
      <c r="F33" s="8" t="inlineStr">
        <is>
          <t>Cobranza</t>
        </is>
      </c>
      <c r="G33" s="8" t="inlineStr">
        <is>
          <t>X</t>
        </is>
      </c>
      <c r="H33" s="8" t="n"/>
      <c r="I33" s="8" t="n">
        <v>4</v>
      </c>
      <c r="J33" s="8" t="n">
        <v>4</v>
      </c>
      <c r="K33" s="8" t="n">
        <v>31</v>
      </c>
      <c r="L33" s="8" t="inlineStr">
        <is>
          <t>X</t>
        </is>
      </c>
      <c r="M33" s="8" t="n">
        <v>0</v>
      </c>
      <c r="N33" s="8" t="inlineStr">
        <is>
          <t>X</t>
        </is>
      </c>
      <c r="O33" s="8" t="n"/>
      <c r="P33" s="8" t="n">
        <v>4</v>
      </c>
      <c r="Q33" s="8" t="n">
        <v>4</v>
      </c>
      <c r="R33" s="8" t="inlineStr">
        <is>
          <t>PV-PR-09 6.1</t>
        </is>
      </c>
    </row>
    <row r="34">
      <c r="A34" s="25" t="n">
        <v>33</v>
      </c>
      <c r="B34" s="25" t="inlineStr">
        <is>
          <t>CB-5</t>
        </is>
      </c>
      <c r="C34" s="25" t="inlineStr">
        <is>
          <t>wa_consulta_responde_oportunamente</t>
        </is>
      </c>
      <c r="D34" s="25" t="inlineStr">
        <is>
          <t>Consulta del asociado: responde de forma oportuna, dentro del tiempo de respuesta del canal.</t>
        </is>
      </c>
      <c r="E34" s="25" t="inlineStr">
        <is>
          <t>No crítico</t>
        </is>
      </c>
      <c r="F34" s="25" t="inlineStr">
        <is>
          <t>Cobranza - consulta</t>
        </is>
      </c>
      <c r="G34" s="25" t="inlineStr">
        <is>
          <t>X</t>
        </is>
      </c>
      <c r="H34" s="25" t="n"/>
      <c r="I34" s="25" t="n">
        <v>6</v>
      </c>
      <c r="J34" s="25" t="n"/>
      <c r="K34" s="25" t="n"/>
      <c r="L34" s="25" t="inlineStr">
        <is>
          <t>X</t>
        </is>
      </c>
      <c r="M34" s="25" t="n">
        <v>0</v>
      </c>
      <c r="N34" s="25" t="n"/>
      <c r="O34" s="25" t="n"/>
      <c r="P34" s="25" t="n"/>
      <c r="Q34" s="25" t="n"/>
      <c r="R34" s="25" t="inlineStr">
        <is>
          <t>AS-040</t>
        </is>
      </c>
    </row>
    <row r="35">
      <c r="A35" s="8" t="n">
        <v>34</v>
      </c>
      <c r="B35" s="8" t="inlineStr">
        <is>
          <t>CB-6</t>
        </is>
      </c>
      <c r="C35" s="8" t="inlineStr">
        <is>
          <t>wa_consulta_confirma_entendimiento_y_recibo_digital</t>
        </is>
      </c>
      <c r="D35" s="8" t="inlineStr">
        <is>
          <t>Consulta del asociado: confirma que entendió y le indica cómo descargar o consultar su recibo en los canales digitales.</t>
        </is>
      </c>
      <c r="E35" s="8" t="inlineStr">
        <is>
          <t>No crítico</t>
        </is>
      </c>
      <c r="F35" s="8" t="inlineStr">
        <is>
          <t>Cobranza - consulta</t>
        </is>
      </c>
      <c r="G35" s="8" t="inlineStr">
        <is>
          <t>X</t>
        </is>
      </c>
      <c r="H35" s="8" t="n"/>
      <c r="I35" s="8" t="n">
        <v>6</v>
      </c>
      <c r="J35" s="8" t="n"/>
      <c r="K35" s="8" t="n">
        <v>33</v>
      </c>
      <c r="L35" s="8" t="inlineStr">
        <is>
          <t>X</t>
        </is>
      </c>
      <c r="M35" s="8" t="n">
        <v>0</v>
      </c>
      <c r="N35" s="8" t="inlineStr">
        <is>
          <t>X</t>
        </is>
      </c>
      <c r="O35" s="8" t="n"/>
      <c r="P35" s="8" t="n">
        <v>6</v>
      </c>
      <c r="Q35" s="8" t="n"/>
      <c r="R35" s="8" t="inlineStr">
        <is>
          <t>PV-FR-59 (valor)</t>
        </is>
      </c>
    </row>
    <row r="36">
      <c r="A36" s="25" t="n">
        <v>35</v>
      </c>
      <c r="B36" s="25" t="inlineStr">
        <is>
          <t>CC-1</t>
        </is>
      </c>
      <c r="C36" s="25" t="inlineStr">
        <is>
          <t>wa_campana_responde_replica_oportunamente</t>
        </is>
      </c>
      <c r="D36" s="25" t="inlineStr">
        <is>
          <t>Campaña: responde la réplica del asociado a la plantilla masiva de cobranza de forma oportuna (tiempo definido por la coordinación).</t>
        </is>
      </c>
      <c r="E36" s="25" t="inlineStr">
        <is>
          <t>No crítico</t>
        </is>
      </c>
      <c r="F36" s="25" t="inlineStr">
        <is>
          <t>Cobranza - campaña</t>
        </is>
      </c>
      <c r="G36" s="25" t="inlineStr">
        <is>
          <t>X</t>
        </is>
      </c>
      <c r="H36" s="25" t="n"/>
      <c r="I36" s="25" t="n"/>
      <c r="J36" s="25" t="n">
        <v>6</v>
      </c>
      <c r="K36" s="25" t="n"/>
      <c r="L36" s="25" t="inlineStr">
        <is>
          <t>X</t>
        </is>
      </c>
      <c r="M36" s="25" t="n">
        <v>0</v>
      </c>
      <c r="N36" s="25" t="n"/>
      <c r="O36" s="25" t="n"/>
      <c r="P36" s="25" t="n"/>
      <c r="Q36" s="25" t="n"/>
      <c r="R36" s="25" t="inlineStr">
        <is>
          <t>Workflow de cobranza WhatsApp</t>
        </is>
      </c>
    </row>
    <row r="37">
      <c r="A37" s="25" t="n">
        <v>36</v>
      </c>
      <c r="B37" s="25" t="inlineStr">
        <is>
          <t>CC-2</t>
        </is>
      </c>
      <c r="C37" s="25" t="inlineStr">
        <is>
          <t>wa_campana_retoma_motivo_y_se_identifica</t>
        </is>
      </c>
      <c r="D37" s="25" t="inlineStr">
        <is>
          <t>Campaña: retoma el motivo del mensaje enviado, se identifica y explica por qué se le contactó, sin presionar.</t>
        </is>
      </c>
      <c r="E37" s="25" t="inlineStr">
        <is>
          <t>No crítico</t>
        </is>
      </c>
      <c r="F37" s="25" t="inlineStr">
        <is>
          <t>Cobranza - campaña</t>
        </is>
      </c>
      <c r="G37" s="25" t="inlineStr">
        <is>
          <t>X</t>
        </is>
      </c>
      <c r="H37" s="25" t="n"/>
      <c r="I37" s="25" t="n"/>
      <c r="J37" s="25" t="n">
        <v>6</v>
      </c>
      <c r="K37" s="25" t="n"/>
      <c r="L37" s="25" t="inlineStr">
        <is>
          <t>X</t>
        </is>
      </c>
      <c r="M37" s="25" t="n">
        <v>0</v>
      </c>
      <c r="N37" s="25" t="n"/>
      <c r="O37" s="25" t="n"/>
      <c r="P37" s="25" t="n"/>
      <c r="Q37" s="25" t="n"/>
      <c r="R37" s="25" t="inlineStr">
        <is>
          <t>Ley 2300 de 2023</t>
        </is>
      </c>
    </row>
    <row r="38">
      <c r="A38" s="25" t="n">
        <v>37</v>
      </c>
      <c r="B38" s="25" t="inlineStr">
        <is>
          <t>P4-1</t>
        </is>
      </c>
      <c r="C38" s="25" t="inlineStr">
        <is>
          <t>wa_registra_contacto_como_actividad_correcta</t>
        </is>
      </c>
      <c r="D38" s="25" t="inlineStr">
        <is>
          <t>Registra cada contacto como actividad del tipo correcto, con fecha y hora reales.</t>
        </is>
      </c>
      <c r="E38" s="25" t="inlineStr">
        <is>
          <t>No crítico</t>
        </is>
      </c>
      <c r="F38" s="25" t="inlineStr">
        <is>
          <t>Todos</t>
        </is>
      </c>
      <c r="G38" s="25" t="inlineStr">
        <is>
          <t>X</t>
        </is>
      </c>
      <c r="H38" s="25" t="n">
        <v>6</v>
      </c>
      <c r="I38" s="25" t="n">
        <v>6</v>
      </c>
      <c r="J38" s="25" t="n">
        <v>6</v>
      </c>
      <c r="K38" s="25" t="n"/>
      <c r="L38" s="25" t="inlineStr">
        <is>
          <t>X</t>
        </is>
      </c>
      <c r="M38" s="25" t="n">
        <v>0</v>
      </c>
      <c r="N38" s="25" t="n"/>
      <c r="O38" s="25" t="n"/>
      <c r="P38" s="25" t="n"/>
      <c r="Q38" s="25" t="n"/>
      <c r="R38" s="25" t="inlineStr">
        <is>
          <t>PV-IN-10</t>
        </is>
      </c>
    </row>
    <row r="39">
      <c r="A39" s="25" t="n">
        <v>38</v>
      </c>
      <c r="B39" s="25" t="inlineStr">
        <is>
          <t>P4-2</t>
        </is>
      </c>
      <c r="C39" s="25" t="inlineStr">
        <is>
          <t>wa_actividad_en_objeto_correcto_y_asociada</t>
        </is>
      </c>
      <c r="D39" s="25" t="inlineStr">
        <is>
          <t>La actividad queda en el objeto correcto (lead, negocio o ticket) y asociada al contacto.</t>
        </is>
      </c>
      <c r="E39" s="25" t="inlineStr">
        <is>
          <t>No crítico</t>
        </is>
      </c>
      <c r="F39" s="25" t="inlineStr">
        <is>
          <t>Todos</t>
        </is>
      </c>
      <c r="G39" s="25" t="inlineStr">
        <is>
          <t>X</t>
        </is>
      </c>
      <c r="H39" s="25" t="n">
        <v>5</v>
      </c>
      <c r="I39" s="25" t="n">
        <v>5</v>
      </c>
      <c r="J39" s="25" t="n">
        <v>5</v>
      </c>
      <c r="K39" s="25" t="n"/>
      <c r="L39" s="25" t="inlineStr">
        <is>
          <t>X</t>
        </is>
      </c>
      <c r="M39" s="25" t="n">
        <v>0</v>
      </c>
      <c r="N39" s="25" t="n"/>
      <c r="O39" s="25" t="n"/>
      <c r="P39" s="25" t="n"/>
      <c r="Q39" s="25" t="n"/>
      <c r="R39" s="25" t="inlineStr">
        <is>
          <t>PV-IN-08</t>
        </is>
      </c>
    </row>
    <row r="40">
      <c r="A40" s="25" t="n">
        <v>39</v>
      </c>
      <c r="B40" s="25" t="inlineStr">
        <is>
          <t>P4-3</t>
        </is>
      </c>
      <c r="C40" s="25" t="inlineStr">
        <is>
          <t>wa_notas_dicen_que_paso_que_falta_quien_cuando</t>
        </is>
      </c>
      <c r="D40" s="25" t="inlineStr">
        <is>
          <t>Las notas dicen qué pasó, qué falta, quién lo hace y cuándo.</t>
        </is>
      </c>
      <c r="E40" s="25" t="inlineStr">
        <is>
          <t>No crítico</t>
        </is>
      </c>
      <c r="F40" s="25" t="inlineStr">
        <is>
          <t>Todos</t>
        </is>
      </c>
      <c r="G40" s="25" t="inlineStr">
        <is>
          <t>X</t>
        </is>
      </c>
      <c r="H40" s="25" t="n">
        <v>9</v>
      </c>
      <c r="I40" s="25" t="n">
        <v>9</v>
      </c>
      <c r="J40" s="25" t="n">
        <v>9</v>
      </c>
      <c r="K40" s="25" t="n"/>
      <c r="L40" s="25" t="inlineStr">
        <is>
          <t>X</t>
        </is>
      </c>
      <c r="M40" s="25" t="n">
        <v>0</v>
      </c>
      <c r="N40" s="25" t="n"/>
      <c r="O40" s="25" t="n"/>
      <c r="P40" s="25" t="n"/>
      <c r="Q40" s="25" t="n"/>
      <c r="R40" s="25" t="inlineStr">
        <is>
          <t>PV-PR-09 8</t>
        </is>
      </c>
    </row>
    <row r="41">
      <c r="A41" s="8" t="n">
        <v>40</v>
      </c>
      <c r="B41" s="8" t="inlineStr">
        <is>
          <t>P4-4</t>
        </is>
      </c>
      <c r="C41" s="8" t="inlineStr">
        <is>
          <t>wa_no_pide_de_nuevo_y_resume_al_transferir</t>
        </is>
      </c>
      <c r="D41" s="8" t="inlineStr">
        <is>
          <t>No pide de nuevo lo ya entregado y deja resumen si transfiere el caso.</t>
        </is>
      </c>
      <c r="E41" s="8" t="inlineStr">
        <is>
          <t>No crítico</t>
        </is>
      </c>
      <c r="F41" s="8" t="inlineStr">
        <is>
          <t>Todos</t>
        </is>
      </c>
      <c r="G41" s="8" t="inlineStr">
        <is>
          <t>X</t>
        </is>
      </c>
      <c r="H41" s="8" t="n">
        <v>5</v>
      </c>
      <c r="I41" s="8" t="n">
        <v>5</v>
      </c>
      <c r="J41" s="8" t="n">
        <v>5</v>
      </c>
      <c r="K41" s="8" t="n">
        <v>39</v>
      </c>
      <c r="L41" s="8" t="inlineStr">
        <is>
          <t>X</t>
        </is>
      </c>
      <c r="M41" s="8" t="n">
        <v>0</v>
      </c>
      <c r="N41" s="8" t="inlineStr">
        <is>
          <t>X</t>
        </is>
      </c>
      <c r="O41" s="8" t="n">
        <v>5</v>
      </c>
      <c r="P41" s="8" t="n">
        <v>5</v>
      </c>
      <c r="Q41" s="8" t="n">
        <v>5</v>
      </c>
      <c r="R41" s="8" t="inlineStr">
        <is>
          <t>AS-026</t>
        </is>
      </c>
    </row>
    <row r="42">
      <c r="A42" s="8" t="n">
        <v>41</v>
      </c>
      <c r="B42" s="8" t="inlineStr">
        <is>
          <t>P4-5</t>
        </is>
      </c>
      <c r="C42" s="8" t="inlineStr">
        <is>
          <t>wa_registra_datos_correctos_en_hubspot</t>
        </is>
      </c>
      <c r="D42" s="8" t="inlineStr">
        <is>
          <t>Registra correctamente los datos en HubSpot (documento, ID, radicado, correo, teléfono), sin errores.</t>
        </is>
      </c>
      <c r="E42" s="8" t="inlineStr">
        <is>
          <t>No crítico</t>
        </is>
      </c>
      <c r="F42" s="8" t="inlineStr">
        <is>
          <t>Todos</t>
        </is>
      </c>
      <c r="G42" s="8" t="inlineStr">
        <is>
          <t>X</t>
        </is>
      </c>
      <c r="H42" s="8" t="n">
        <v>3</v>
      </c>
      <c r="I42" s="8" t="n">
        <v>3</v>
      </c>
      <c r="J42" s="8" t="n">
        <v>3</v>
      </c>
      <c r="K42" s="8" t="n">
        <v>38</v>
      </c>
      <c r="L42" s="8" t="inlineStr">
        <is>
          <t>X</t>
        </is>
      </c>
      <c r="M42" s="8" t="n">
        <v>0</v>
      </c>
      <c r="N42" s="8" t="inlineStr">
        <is>
          <t>X</t>
        </is>
      </c>
      <c r="O42" s="8" t="n">
        <v>3</v>
      </c>
      <c r="P42" s="8" t="n">
        <v>3</v>
      </c>
      <c r="Q42" s="8" t="n">
        <v>3</v>
      </c>
      <c r="R42" s="8" t="inlineStr">
        <is>
          <t>PV-FR-59</t>
        </is>
      </c>
    </row>
    <row r="43">
      <c r="A43" s="25" t="n">
        <v>42</v>
      </c>
      <c r="B43" s="25" t="inlineStr">
        <is>
          <t>P5-1</t>
        </is>
      </c>
      <c r="C43" s="25" t="inlineStr">
        <is>
          <t>wa_cordial_claro_transmite_confianza_empatia</t>
        </is>
      </c>
      <c r="D43" s="25" t="inlineStr">
        <is>
          <t>Es cordial y claro, y transmite confianza y empatía.</t>
        </is>
      </c>
      <c r="E43" s="25" t="inlineStr">
        <is>
          <t>No crítico</t>
        </is>
      </c>
      <c r="F43" s="25" t="inlineStr">
        <is>
          <t>Todos</t>
        </is>
      </c>
      <c r="G43" s="25" t="inlineStr">
        <is>
          <t>X</t>
        </is>
      </c>
      <c r="H43" s="25" t="n">
        <v>8</v>
      </c>
      <c r="I43" s="25" t="n">
        <v>8</v>
      </c>
      <c r="J43" s="25" t="n">
        <v>8</v>
      </c>
      <c r="K43" s="25" t="n"/>
      <c r="L43" s="25" t="inlineStr">
        <is>
          <t>X</t>
        </is>
      </c>
      <c r="M43" s="25" t="n">
        <v>0</v>
      </c>
      <c r="N43" s="25" t="n"/>
      <c r="O43" s="25" t="n"/>
      <c r="P43" s="25" t="n"/>
      <c r="Q43" s="25" t="n"/>
      <c r="R43" s="25" t="inlineStr">
        <is>
          <t>AS-026</t>
        </is>
      </c>
    </row>
    <row r="44">
      <c r="A44" s="25" t="n">
        <v>43</v>
      </c>
      <c r="B44" s="25" t="inlineStr">
        <is>
          <t>P5-2</t>
        </is>
      </c>
      <c r="C44" s="25" t="inlineStr">
        <is>
          <t>wa_escucha_sin_interrumpir_no_discute</t>
        </is>
      </c>
      <c r="D44" s="25" t="inlineStr">
        <is>
          <t>Escucha sin interrumpir y no discute.</t>
        </is>
      </c>
      <c r="E44" s="25" t="inlineStr">
        <is>
          <t>No crítico</t>
        </is>
      </c>
      <c r="F44" s="25" t="inlineStr">
        <is>
          <t>Todos</t>
        </is>
      </c>
      <c r="G44" s="25" t="inlineStr">
        <is>
          <t>X</t>
        </is>
      </c>
      <c r="H44" s="25" t="n">
        <v>6</v>
      </c>
      <c r="I44" s="25" t="n">
        <v>6</v>
      </c>
      <c r="J44" s="25" t="n">
        <v>6</v>
      </c>
      <c r="K44" s="25" t="n"/>
      <c r="L44" s="25" t="inlineStr">
        <is>
          <t>X</t>
        </is>
      </c>
      <c r="M44" s="25" t="n">
        <v>0</v>
      </c>
      <c r="N44" s="25" t="n"/>
      <c r="O44" s="25" t="n"/>
      <c r="P44" s="25" t="n"/>
      <c r="Q44" s="25" t="n"/>
      <c r="R44" s="25" t="inlineStr">
        <is>
          <t>AS-026</t>
        </is>
      </c>
    </row>
    <row r="45">
      <c r="A45" s="25" t="n">
        <v>44</v>
      </c>
      <c r="B45" s="25" t="inlineStr">
        <is>
          <t>P5-3</t>
        </is>
      </c>
      <c r="C45" s="25" t="inlineStr">
        <is>
          <t>wa_cierra_con_compromiso_y_proximo_paso</t>
        </is>
      </c>
      <c r="D45" s="25" t="inlineStr">
        <is>
          <t>Cierra con un compromiso y el próximo paso acordado.</t>
        </is>
      </c>
      <c r="E45" s="25" t="inlineStr">
        <is>
          <t>No crítico</t>
        </is>
      </c>
      <c r="F45" s="25" t="inlineStr">
        <is>
          <t>Todos</t>
        </is>
      </c>
      <c r="G45" s="25" t="inlineStr">
        <is>
          <t>X</t>
        </is>
      </c>
      <c r="H45" s="25" t="n">
        <v>9</v>
      </c>
      <c r="I45" s="25" t="n">
        <v>9</v>
      </c>
      <c r="J45" s="25" t="n">
        <v>9</v>
      </c>
      <c r="K45" s="25" t="n"/>
      <c r="L45" s="25" t="inlineStr">
        <is>
          <t>X</t>
        </is>
      </c>
      <c r="M45" s="25" t="n">
        <v>0</v>
      </c>
      <c r="N45" s="25" t="n"/>
      <c r="O45" s="25" t="n"/>
      <c r="P45" s="25" t="n"/>
      <c r="Q45" s="25" t="n"/>
      <c r="R45" s="25" t="inlineStr">
        <is>
          <t>AS-026</t>
        </is>
      </c>
    </row>
    <row r="46">
      <c r="A46" s="25" t="n">
        <v>45</v>
      </c>
      <c r="B46" s="25" t="inlineStr">
        <is>
          <t>P5-4</t>
        </is>
      </c>
      <c r="C46" s="25" t="inlineStr">
        <is>
          <t>wa_usa_bien_el_tiempo</t>
        </is>
      </c>
      <c r="D46" s="25" t="inlineStr">
        <is>
          <t>Usa bien el tiempo de la interacción.</t>
        </is>
      </c>
      <c r="E46" s="25" t="inlineStr">
        <is>
          <t>No crítico</t>
        </is>
      </c>
      <c r="F46" s="25" t="inlineStr">
        <is>
          <t>Todos</t>
        </is>
      </c>
      <c r="G46" s="25" t="inlineStr">
        <is>
          <t>X</t>
        </is>
      </c>
      <c r="H46" s="25" t="n">
        <v>5</v>
      </c>
      <c r="I46" s="25" t="n">
        <v>5</v>
      </c>
      <c r="J46" s="25" t="n">
        <v>5</v>
      </c>
      <c r="K46" s="25" t="n"/>
      <c r="L46" s="25" t="inlineStr">
        <is>
          <t>X</t>
        </is>
      </c>
      <c r="M46" s="25" t="n">
        <v>0</v>
      </c>
      <c r="N46" s="25" t="n"/>
      <c r="O46" s="25" t="n"/>
      <c r="P46" s="25" t="n"/>
      <c r="Q46" s="25" t="n"/>
      <c r="R46" s="25" t="inlineStr">
        <is>
          <t>AS-026</t>
        </is>
      </c>
    </row>
    <row r="47">
      <c r="A47" s="25" t="n">
        <v>46</v>
      </c>
      <c r="B47" s="25" t="inlineStr">
        <is>
          <t>WA-1</t>
        </is>
      </c>
      <c r="C47" s="25" t="inlineStr">
        <is>
          <t>wa_adapta_plantillas_y_buena_redaccion</t>
        </is>
      </c>
      <c r="D47" s="25" t="inlineStr">
        <is>
          <t>Adapta las plantillas al caso (no las envía sin ajustar) y escribe con buena redacción y ortografía.</t>
        </is>
      </c>
      <c r="E47" s="25" t="inlineStr">
        <is>
          <t>No crítico</t>
        </is>
      </c>
      <c r="F47" s="25" t="inlineStr">
        <is>
          <t>Todos</t>
        </is>
      </c>
      <c r="G47" s="25" t="inlineStr">
        <is>
          <t>X</t>
        </is>
      </c>
      <c r="H47" s="25" t="n">
        <v>1</v>
      </c>
      <c r="I47" s="25" t="n">
        <v>1</v>
      </c>
      <c r="J47" s="25" t="n">
        <v>1</v>
      </c>
      <c r="K47" s="25" t="n"/>
      <c r="L47" s="25" t="inlineStr">
        <is>
          <t>X</t>
        </is>
      </c>
      <c r="M47" s="25" t="n">
        <v>0</v>
      </c>
      <c r="N47" s="25" t="n"/>
      <c r="O47" s="25" t="n"/>
      <c r="P47" s="25" t="n"/>
      <c r="Q47" s="25" t="n"/>
      <c r="R47" s="25" t="inlineStr">
        <is>
          <t>AS-040</t>
        </is>
      </c>
    </row>
    <row r="48">
      <c r="A48" s="25" t="n">
        <v>47</v>
      </c>
      <c r="B48" s="25" t="inlineStr">
        <is>
          <t>WA-3</t>
        </is>
      </c>
      <c r="C48" s="25" t="inlineStr">
        <is>
          <t>wa_crea_o_asocia_contacto_en_crm</t>
        </is>
      </c>
      <c r="D48" s="25" t="inlineStr">
        <is>
          <t>Crea el contacto en el CRM si no existe y asocia la cuenta del asociado (PV-IN-02).</t>
        </is>
      </c>
      <c r="E48" s="25" t="inlineStr">
        <is>
          <t>No crítico</t>
        </is>
      </c>
      <c r="F48" s="25" t="inlineStr">
        <is>
          <t>Todos</t>
        </is>
      </c>
      <c r="G48" s="25" t="inlineStr">
        <is>
          <t>X</t>
        </is>
      </c>
      <c r="H48" s="25" t="n">
        <v>1</v>
      </c>
      <c r="I48" s="25" t="n">
        <v>1</v>
      </c>
      <c r="J48" s="25" t="n">
        <v>1</v>
      </c>
      <c r="K48" s="25" t="n"/>
      <c r="L48" s="25" t="inlineStr">
        <is>
          <t>X</t>
        </is>
      </c>
      <c r="M48" s="25" t="n">
        <v>0</v>
      </c>
      <c r="N48" s="25" t="n"/>
      <c r="O48" s="25" t="n"/>
      <c r="P48" s="25" t="n"/>
      <c r="Q48" s="25" t="n"/>
      <c r="R48" s="25" t="inlineStr">
        <is>
          <t>Proceso WhatsApp sedes comerciales 9-11</t>
        </is>
      </c>
    </row>
    <row r="49">
      <c r="A49" s="8" t="n">
        <v>48</v>
      </c>
      <c r="B49" s="8" t="inlineStr">
        <is>
          <t>WA-4</t>
        </is>
      </c>
      <c r="C49" s="8" t="inlineStr">
        <is>
          <t>wa_solicita_documentos_segun_perfilamiento</t>
        </is>
      </c>
      <c r="D49" s="8" t="inlineStr">
        <is>
          <t>Solicita los documentos de cada línea según el perfilamiento realizado.</t>
        </is>
      </c>
      <c r="E49" s="8" t="inlineStr">
        <is>
          <t>No crítico</t>
        </is>
      </c>
      <c r="F49" s="8" t="inlineStr">
        <is>
          <t>Todos</t>
        </is>
      </c>
      <c r="G49" s="8" t="inlineStr">
        <is>
          <t>X</t>
        </is>
      </c>
      <c r="H49" s="8" t="n">
        <v>1</v>
      </c>
      <c r="I49" s="8" t="n">
        <v>1</v>
      </c>
      <c r="J49" s="8" t="n">
        <v>1</v>
      </c>
      <c r="K49" s="8" t="n">
        <v>46</v>
      </c>
      <c r="L49" s="8" t="inlineStr">
        <is>
          <t>X</t>
        </is>
      </c>
      <c r="M49" s="8" t="n">
        <v>0</v>
      </c>
      <c r="N49" s="8" t="inlineStr">
        <is>
          <t>X</t>
        </is>
      </c>
      <c r="O49" s="8" t="n">
        <v>1</v>
      </c>
      <c r="P49" s="8" t="n">
        <v>1</v>
      </c>
      <c r="Q49" s="8" t="n">
        <v>1</v>
      </c>
      <c r="R49" s="8" t="inlineStr">
        <is>
          <t>Proceso WhatsApp sedes comerciales 15.4</t>
        </is>
      </c>
    </row>
    <row r="50">
      <c r="A50" s="25" t="n">
        <v>49</v>
      </c>
      <c r="B50" s="25" t="inlineStr">
        <is>
          <t>WA-5</t>
        </is>
      </c>
      <c r="C50" s="25" t="inlineStr">
        <is>
          <t>wa_envia_encuesta_y_cierra_conversacion</t>
        </is>
      </c>
      <c r="D50" s="25" t="inlineStr">
        <is>
          <t>Envía la encuesta de satisfacción y cierra la conversación.</t>
        </is>
      </c>
      <c r="E50" s="25" t="inlineStr">
        <is>
          <t>No crítico</t>
        </is>
      </c>
      <c r="F50" s="25" t="inlineStr">
        <is>
          <t>Todos</t>
        </is>
      </c>
      <c r="G50" s="25" t="inlineStr">
        <is>
          <t>X</t>
        </is>
      </c>
      <c r="H50" s="25" t="n">
        <v>1</v>
      </c>
      <c r="I50" s="25" t="n">
        <v>1</v>
      </c>
      <c r="J50" s="25" t="n">
        <v>1</v>
      </c>
      <c r="K50" s="25" t="n"/>
      <c r="L50" s="25" t="inlineStr">
        <is>
          <t>X</t>
        </is>
      </c>
      <c r="M50" s="25" t="n">
        <v>0</v>
      </c>
      <c r="N50" s="25" t="n"/>
      <c r="O50" s="25" t="n"/>
      <c r="P50" s="25" t="n"/>
      <c r="Q50" s="25" t="n"/>
      <c r="R50" s="25" t="inlineStr">
        <is>
          <t>Proceso WhatsApp sedes comerciales 15.6 y 16</t>
        </is>
      </c>
    </row>
    <row r="51">
      <c r="G51" s="4" t="inlineStr">
        <is>
          <t>Total</t>
        </is>
      </c>
      <c r="H51" s="4">
        <f>SUM(H2:H50)</f>
        <v/>
      </c>
      <c r="I51" s="4">
        <f>SUM(I2:I50)</f>
        <v/>
      </c>
      <c r="J51" s="4">
        <f>SUM(J2:J50)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52" customWidth="1" min="3" max="3"/>
    <col width="70" customWidth="1" min="4" max="4"/>
    <col width="11" customWidth="1" min="5" max="5"/>
    <col width="18" customWidth="1" min="6" max="6"/>
    <col width="5" customWidth="1" min="7" max="7"/>
    <col width="10" customWidth="1" min="8" max="8"/>
    <col width="10" customWidth="1" min="9" max="9"/>
    <col width="10" customWidth="1" min="10" max="10"/>
    <col width="11" customWidth="1" min="11" max="11"/>
    <col width="5" customWidth="1" min="12" max="12"/>
    <col width="7" customWidth="1" min="13" max="13"/>
    <col width="5" customWidth="1" min="14" max="14"/>
    <col width="10" customWidth="1" min="15" max="15"/>
    <col width="10" customWidth="1" min="16" max="16"/>
    <col width="10" customWidth="1" min="17" max="17"/>
    <col width="28" customWidth="1" min="18" max="18"/>
  </cols>
  <sheetData>
    <row r="1" ht="45" customHeight="1">
      <c r="A1" s="6" t="inlineStr">
        <is>
          <t>#</t>
        </is>
      </c>
      <c r="B1" s="6" t="inlineStr">
        <is>
          <t>Código</t>
        </is>
      </c>
      <c r="C1" s="6" t="inlineStr">
        <is>
          <t>Propiedad</t>
        </is>
      </c>
      <c r="D1" s="6" t="inlineStr">
        <is>
          <t>Descripción</t>
        </is>
      </c>
      <c r="E1" s="6" t="inlineStr">
        <is>
          <t>Tipo</t>
        </is>
      </c>
      <c r="F1" s="6" t="inlineStr">
        <is>
          <t>Aplica a</t>
        </is>
      </c>
      <c r="G1" s="6" t="inlineStr">
        <is>
          <t>SI</t>
        </is>
      </c>
      <c r="H1" s="6" t="inlineStr">
        <is>
          <t>Peso SI Comercial</t>
        </is>
      </c>
      <c r="I1" s="6" t="inlineStr">
        <is>
          <t>Peso SI Cob. consulta</t>
        </is>
      </c>
      <c r="J1" s="6" t="inlineStr">
        <is>
          <t>Peso SI Cob. campaña</t>
        </is>
      </c>
      <c r="K1" s="6" t="inlineStr">
        <is>
          <t>Guion donde reposa (#)</t>
        </is>
      </c>
      <c r="L1" s="6" t="inlineStr">
        <is>
          <t>NO</t>
        </is>
      </c>
      <c r="M1" s="6" t="inlineStr">
        <is>
          <t>Peso NO</t>
        </is>
      </c>
      <c r="N1" s="6" t="inlineStr">
        <is>
          <t>N/A</t>
        </is>
      </c>
      <c r="O1" s="6" t="inlineStr">
        <is>
          <t>Peso N/A Comercial</t>
        </is>
      </c>
      <c r="P1" s="6" t="inlineStr">
        <is>
          <t>Peso N/A Cob. consulta</t>
        </is>
      </c>
      <c r="Q1" s="6" t="inlineStr">
        <is>
          <t>Peso N/A Cob. campaña</t>
        </is>
      </c>
      <c r="R1" s="6" t="inlineStr">
        <is>
          <t>Fuente</t>
        </is>
      </c>
    </row>
    <row r="2">
      <c r="A2" s="20" t="n">
        <v>1</v>
      </c>
      <c r="B2" s="20" t="inlineStr">
        <is>
          <t>HD-1</t>
        </is>
      </c>
      <c r="C2" s="20" t="inlineStr">
        <is>
          <t>ll_hd_preguntas_seguridad_antes_de_informar</t>
        </is>
      </c>
      <c r="D2" s="20" t="inlineStr">
        <is>
          <t>Realiza las preguntas de seguridad (filtro de titularidad) ANTES de dar cualquier información del crédito, la obligación, el saldo o el recibo de pago.</t>
        </is>
      </c>
      <c r="E2" s="20" t="inlineStr">
        <is>
          <t>Control HD</t>
        </is>
      </c>
      <c r="F2" s="20" t="inlineStr">
        <is>
          <t>Todos</t>
        </is>
      </c>
      <c r="G2" s="20" t="inlineStr">
        <is>
          <t>X</t>
        </is>
      </c>
      <c r="H2" s="20" t="n">
        <v>0</v>
      </c>
      <c r="I2" s="20" t="n">
        <v>0</v>
      </c>
      <c r="J2" s="20" t="n">
        <v>0</v>
      </c>
      <c r="K2" s="20" t="n"/>
      <c r="L2" s="20" t="inlineStr">
        <is>
          <t>X</t>
        </is>
      </c>
      <c r="M2" s="20" t="n">
        <v>0</v>
      </c>
      <c r="N2" s="20" t="n"/>
      <c r="O2" s="20" t="n"/>
      <c r="P2" s="20" t="n"/>
      <c r="Q2" s="20" t="n"/>
      <c r="R2" s="20" t="inlineStr">
        <is>
          <t>PV-IN-04 4.7</t>
        </is>
      </c>
    </row>
    <row r="3">
      <c r="A3" s="20" t="n">
        <v>2</v>
      </c>
      <c r="B3" s="20" t="inlineStr">
        <is>
          <t>HD-2</t>
        </is>
      </c>
      <c r="C3" s="20" t="inlineStr">
        <is>
          <t>ll_hd_preguntas_seguridad_completas</t>
        </is>
      </c>
      <c r="D3" s="20" t="inlineStr">
        <is>
          <t>Hace las preguntas de seguridad COMPLETAS, según el protocolo vigente (no omite ni resume preguntas).</t>
        </is>
      </c>
      <c r="E3" s="20" t="inlineStr">
        <is>
          <t>Control HD</t>
        </is>
      </c>
      <c r="F3" s="20" t="inlineStr">
        <is>
          <t>Todos</t>
        </is>
      </c>
      <c r="G3" s="20" t="inlineStr">
        <is>
          <t>X</t>
        </is>
      </c>
      <c r="H3" s="20" t="n">
        <v>0</v>
      </c>
      <c r="I3" s="20" t="n">
        <v>0</v>
      </c>
      <c r="J3" s="20" t="n">
        <v>0</v>
      </c>
      <c r="K3" s="20" t="n"/>
      <c r="L3" s="20" t="inlineStr">
        <is>
          <t>X</t>
        </is>
      </c>
      <c r="M3" s="20" t="n">
        <v>0</v>
      </c>
      <c r="N3" s="20" t="n"/>
      <c r="O3" s="20" t="n"/>
      <c r="P3" s="20" t="n"/>
      <c r="Q3" s="20" t="n"/>
      <c r="R3" s="20" t="inlineStr">
        <is>
          <t>PV-IN-04 4.7</t>
        </is>
      </c>
    </row>
    <row r="4">
      <c r="A4" s="20" t="n">
        <v>3</v>
      </c>
      <c r="B4" s="20" t="inlineStr">
        <is>
          <t>HD-3</t>
        </is>
      </c>
      <c r="C4" s="20" t="inlineStr">
        <is>
          <t>ll_hd_no_informa_a_terceros_no_autorizados</t>
        </is>
      </c>
      <c r="D4" s="20" t="inlineStr">
        <is>
          <t>No entrega información a terceros no autorizados (familiares, codeudores, referencias, IES sin autorización).</t>
        </is>
      </c>
      <c r="E4" s="20" t="inlineStr">
        <is>
          <t>Control HD</t>
        </is>
      </c>
      <c r="F4" s="20" t="inlineStr">
        <is>
          <t>Todos</t>
        </is>
      </c>
      <c r="G4" s="20" t="inlineStr">
        <is>
          <t>X</t>
        </is>
      </c>
      <c r="H4" s="20" t="n">
        <v>0</v>
      </c>
      <c r="I4" s="20" t="n">
        <v>0</v>
      </c>
      <c r="J4" s="20" t="n">
        <v>0</v>
      </c>
      <c r="K4" s="20" t="n"/>
      <c r="L4" s="20" t="inlineStr">
        <is>
          <t>X</t>
        </is>
      </c>
      <c r="M4" s="20" t="n">
        <v>0</v>
      </c>
      <c r="N4" s="20" t="n"/>
      <c r="O4" s="20" t="n"/>
      <c r="P4" s="20" t="n"/>
      <c r="Q4" s="20" t="n"/>
      <c r="R4" s="20" t="inlineStr">
        <is>
          <t>PV-IN-04 4.7 · Ley 1581 de 2012</t>
        </is>
      </c>
    </row>
    <row r="5">
      <c r="A5" s="20" t="n">
        <v>4</v>
      </c>
      <c r="B5" s="20" t="inlineStr">
        <is>
          <t>HD-4</t>
        </is>
      </c>
      <c r="C5" s="20" t="inlineStr">
        <is>
          <t>ll_hd_protege_datos_y_usa_canales_oficiales</t>
        </is>
      </c>
      <c r="D5" s="20" t="inlineStr">
        <is>
          <t>Protege los datos: no expone datos completos del titular en el canal y no pide ni envía documentos por canales no oficiales.</t>
        </is>
      </c>
      <c r="E5" s="20" t="inlineStr">
        <is>
          <t>Control HD</t>
        </is>
      </c>
      <c r="F5" s="20" t="inlineStr">
        <is>
          <t>Todos</t>
        </is>
      </c>
      <c r="G5" s="20" t="inlineStr">
        <is>
          <t>X</t>
        </is>
      </c>
      <c r="H5" s="20" t="n">
        <v>0</v>
      </c>
      <c r="I5" s="20" t="n">
        <v>0</v>
      </c>
      <c r="J5" s="20" t="n">
        <v>0</v>
      </c>
      <c r="K5" s="20" t="n"/>
      <c r="L5" s="20" t="inlineStr">
        <is>
          <t>X</t>
        </is>
      </c>
      <c r="M5" s="20" t="n">
        <v>0</v>
      </c>
      <c r="N5" s="20" t="n"/>
      <c r="O5" s="20" t="n"/>
      <c r="P5" s="20" t="n"/>
      <c r="Q5" s="20" t="n"/>
      <c r="R5" s="20" t="inlineStr">
        <is>
          <t>Ley 1581 de 2012</t>
        </is>
      </c>
    </row>
    <row r="6">
      <c r="A6" s="20" t="n">
        <v>5</v>
      </c>
      <c r="B6" s="20" t="inlineStr">
        <is>
          <t>HD-5</t>
        </is>
      </c>
      <c r="C6" s="20" t="inlineStr">
        <is>
          <t>ll_hd_respeta_autorizacion_de_contacto</t>
        </is>
      </c>
      <c r="D6" s="20" t="inlineStr">
        <is>
          <t>Respeta la autorización de tratamiento de datos y contacta solo por los canales que el asociado autorizó.</t>
        </is>
      </c>
      <c r="E6" s="20" t="inlineStr">
        <is>
          <t>Control HD</t>
        </is>
      </c>
      <c r="F6" s="20" t="inlineStr">
        <is>
          <t>Todos</t>
        </is>
      </c>
      <c r="G6" s="20" t="inlineStr">
        <is>
          <t>X</t>
        </is>
      </c>
      <c r="H6" s="20" t="n">
        <v>0</v>
      </c>
      <c r="I6" s="20" t="n">
        <v>0</v>
      </c>
      <c r="J6" s="20" t="n">
        <v>0</v>
      </c>
      <c r="K6" s="20" t="n"/>
      <c r="L6" s="20" t="inlineStr">
        <is>
          <t>X</t>
        </is>
      </c>
      <c r="M6" s="20" t="n">
        <v>0</v>
      </c>
      <c r="N6" s="20" t="n"/>
      <c r="O6" s="20" t="n"/>
      <c r="P6" s="20" t="n"/>
      <c r="Q6" s="20" t="n"/>
      <c r="R6" s="20" t="inlineStr">
        <is>
          <t>Ley 1581 de 2012 · Ley 2300 de 2023</t>
        </is>
      </c>
    </row>
    <row r="7">
      <c r="A7" s="20" t="n">
        <v>6</v>
      </c>
      <c r="B7" s="20" t="inlineStr">
        <is>
          <t>ECU-1</t>
        </is>
      </c>
      <c r="C7" s="20" t="inlineStr">
        <is>
          <t>ll_ecu_informacion_correcta_y_completa</t>
        </is>
      </c>
      <c r="D7" s="20" t="inlineStr">
        <is>
          <t>Da información correcta y completa (requisitos, documentos, condiciones, estado del crédito o de la obligación).</t>
        </is>
      </c>
      <c r="E7" s="20" t="inlineStr">
        <is>
          <t>ECU</t>
        </is>
      </c>
      <c r="F7" s="20" t="inlineStr">
        <is>
          <t>Todos</t>
        </is>
      </c>
      <c r="G7" s="20" t="inlineStr">
        <is>
          <t>X</t>
        </is>
      </c>
      <c r="H7" s="20" t="n">
        <v>0</v>
      </c>
      <c r="I7" s="20" t="n">
        <v>0</v>
      </c>
      <c r="J7" s="20" t="n">
        <v>0</v>
      </c>
      <c r="K7" s="20" t="n"/>
      <c r="L7" s="20" t="inlineStr">
        <is>
          <t>X</t>
        </is>
      </c>
      <c r="M7" s="20" t="n">
        <v>0</v>
      </c>
      <c r="N7" s="20" t="n"/>
      <c r="O7" s="20" t="n"/>
      <c r="P7" s="20" t="n"/>
      <c r="Q7" s="20" t="n"/>
      <c r="R7" s="20" t="inlineStr">
        <is>
          <t>PV-PR-09 6.3</t>
        </is>
      </c>
    </row>
    <row r="8">
      <c r="A8" s="20" t="n">
        <v>7</v>
      </c>
      <c r="B8" s="20" t="inlineStr">
        <is>
          <t>ECU-2</t>
        </is>
      </c>
      <c r="C8" s="20" t="inlineStr">
        <is>
          <t>ll_ecu_trato_respetuoso</t>
        </is>
      </c>
      <c r="D8" s="20" t="inlineStr">
        <is>
          <t>Trata al asociado con respeto (sin maltrato ni trato inadecuado).</t>
        </is>
      </c>
      <c r="E8" s="20" t="inlineStr">
        <is>
          <t>ECU</t>
        </is>
      </c>
      <c r="F8" s="20" t="inlineStr">
        <is>
          <t>Todos</t>
        </is>
      </c>
      <c r="G8" s="20" t="inlineStr">
        <is>
          <t>X</t>
        </is>
      </c>
      <c r="H8" s="20" t="n">
        <v>0</v>
      </c>
      <c r="I8" s="20" t="n">
        <v>0</v>
      </c>
      <c r="J8" s="20" t="n">
        <v>0</v>
      </c>
      <c r="K8" s="20" t="n"/>
      <c r="L8" s="20" t="inlineStr">
        <is>
          <t>X</t>
        </is>
      </c>
      <c r="M8" s="20" t="n">
        <v>0</v>
      </c>
      <c r="N8" s="20" t="n"/>
      <c r="O8" s="20" t="n"/>
      <c r="P8" s="20" t="n"/>
      <c r="Q8" s="20" t="n"/>
      <c r="R8" s="20" t="inlineStr">
        <is>
          <t>PV-IN-04 4.8</t>
        </is>
      </c>
    </row>
    <row r="9">
      <c r="A9" s="20" t="n">
        <v>8</v>
      </c>
      <c r="B9" s="20" t="inlineStr">
        <is>
          <t>ECU-3</t>
        </is>
      </c>
      <c r="C9" s="20" t="inlineStr">
        <is>
          <t>ll_ecu_da_respuesta_y_cierre_a_solicitudes</t>
        </is>
      </c>
      <c r="D9" s="20" t="inlineStr">
        <is>
          <t>Da respuesta y cierre a toda solicitud o compromiso con el asociado (no abandona el caso ni deja sin respuesta un mensaje).</t>
        </is>
      </c>
      <c r="E9" s="20" t="inlineStr">
        <is>
          <t>ECU</t>
        </is>
      </c>
      <c r="F9" s="20" t="inlineStr">
        <is>
          <t>Todos</t>
        </is>
      </c>
      <c r="G9" s="20" t="inlineStr">
        <is>
          <t>X</t>
        </is>
      </c>
      <c r="H9" s="20" t="n">
        <v>0</v>
      </c>
      <c r="I9" s="20" t="n">
        <v>0</v>
      </c>
      <c r="J9" s="20" t="n">
        <v>0</v>
      </c>
      <c r="K9" s="20" t="n"/>
      <c r="L9" s="20" t="inlineStr">
        <is>
          <t>X</t>
        </is>
      </c>
      <c r="M9" s="20" t="n">
        <v>0</v>
      </c>
      <c r="N9" s="20" t="n"/>
      <c r="O9" s="20" t="n"/>
      <c r="P9" s="20" t="n"/>
      <c r="Q9" s="20" t="n"/>
      <c r="R9" s="20" t="inlineStr">
        <is>
          <t>PV-PR-09 6.2</t>
        </is>
      </c>
    </row>
    <row r="10">
      <c r="A10" s="20" t="n">
        <v>9</v>
      </c>
      <c r="B10" s="20" t="inlineStr">
        <is>
          <t>ECN-1</t>
        </is>
      </c>
      <c r="C10" s="20" t="inlineStr">
        <is>
          <t>ll_ecn_primer_contacto_dentro_de_sla</t>
        </is>
      </c>
      <c r="D10" s="20" t="inlineStr">
        <is>
          <t>Realiza el primer contacto con el lead dentro del SLA (3 h hábiles desde la asignación).</t>
        </is>
      </c>
      <c r="E10" s="20" t="inlineStr">
        <is>
          <t>ECN</t>
        </is>
      </c>
      <c r="F10" s="20" t="inlineStr">
        <is>
          <t>Comercial</t>
        </is>
      </c>
      <c r="G10" s="20" t="inlineStr">
        <is>
          <t>X</t>
        </is>
      </c>
      <c r="H10" s="20" t="n">
        <v>0</v>
      </c>
      <c r="I10" s="20" t="n"/>
      <c r="J10" s="20" t="n"/>
      <c r="K10" s="20" t="n"/>
      <c r="L10" s="20" t="inlineStr">
        <is>
          <t>X</t>
        </is>
      </c>
      <c r="M10" s="20" t="n">
        <v>0</v>
      </c>
      <c r="N10" s="20" t="inlineStr">
        <is>
          <t>X</t>
        </is>
      </c>
      <c r="O10" s="20" t="n">
        <v>0</v>
      </c>
      <c r="P10" s="20" t="n"/>
      <c r="Q10" s="20" t="n"/>
      <c r="R10" s="20" t="inlineStr">
        <is>
          <t>PV-PR-09 4 y 6.3</t>
        </is>
      </c>
    </row>
    <row r="11">
      <c r="A11" s="20" t="n">
        <v>10</v>
      </c>
      <c r="B11" s="20" t="inlineStr">
        <is>
          <t>ECN-2</t>
        </is>
      </c>
      <c r="C11" s="20" t="inlineStr">
        <is>
          <t>ll_ecn_descalifica_con_intentos_y_motivo</t>
        </is>
      </c>
      <c r="D11" s="20" t="inlineStr">
        <is>
          <t>Descalifica el lead solo con los intentos registrados y el motivo que corresponde.</t>
        </is>
      </c>
      <c r="E11" s="20" t="inlineStr">
        <is>
          <t>ECN</t>
        </is>
      </c>
      <c r="F11" s="20" t="inlineStr">
        <is>
          <t>Comercial</t>
        </is>
      </c>
      <c r="G11" s="20" t="inlineStr">
        <is>
          <t>X</t>
        </is>
      </c>
      <c r="H11" s="20" t="n">
        <v>0</v>
      </c>
      <c r="I11" s="20" t="n"/>
      <c r="J11" s="20" t="n"/>
      <c r="K11" s="20" t="n"/>
      <c r="L11" s="20" t="inlineStr">
        <is>
          <t>X</t>
        </is>
      </c>
      <c r="M11" s="20" t="n">
        <v>0</v>
      </c>
      <c r="N11" s="20" t="inlineStr">
        <is>
          <t>X</t>
        </is>
      </c>
      <c r="O11" s="20" t="n">
        <v>0</v>
      </c>
      <c r="P11" s="20" t="n"/>
      <c r="Q11" s="20" t="n"/>
      <c r="R11" s="20" t="inlineStr">
        <is>
          <t>PV-PR-09 6.3</t>
        </is>
      </c>
    </row>
    <row r="12">
      <c r="A12" s="20" t="n">
        <v>11</v>
      </c>
      <c r="B12" s="20" t="inlineStr">
        <is>
          <t>ECN-3</t>
        </is>
      </c>
      <c r="C12" s="20" t="inlineStr">
        <is>
          <t>ll_ecn_crea_o_asocia_negocio</t>
        </is>
      </c>
      <c r="D12" s="20" t="inlineStr">
        <is>
          <t>Crea o asocia el negocio cuando la persona decide continuar.</t>
        </is>
      </c>
      <c r="E12" s="20" t="inlineStr">
        <is>
          <t>ECN</t>
        </is>
      </c>
      <c r="F12" s="20" t="inlineStr">
        <is>
          <t>Comercial</t>
        </is>
      </c>
      <c r="G12" s="20" t="inlineStr">
        <is>
          <t>X</t>
        </is>
      </c>
      <c r="H12" s="20" t="n">
        <v>0</v>
      </c>
      <c r="I12" s="20" t="n"/>
      <c r="J12" s="20" t="n"/>
      <c r="K12" s="20" t="n"/>
      <c r="L12" s="20" t="inlineStr">
        <is>
          <t>X</t>
        </is>
      </c>
      <c r="M12" s="20" t="n">
        <v>0</v>
      </c>
      <c r="N12" s="20" t="inlineStr">
        <is>
          <t>X</t>
        </is>
      </c>
      <c r="O12" s="20" t="n">
        <v>0</v>
      </c>
      <c r="P12" s="20" t="n"/>
      <c r="Q12" s="20" t="n"/>
      <c r="R12" s="20" t="inlineStr">
        <is>
          <t>PV-PR-09 6.3</t>
        </is>
      </c>
    </row>
    <row r="13">
      <c r="A13" s="20" t="n">
        <v>12</v>
      </c>
      <c r="B13" s="20" t="inlineStr">
        <is>
          <t>ECN-4</t>
        </is>
      </c>
      <c r="C13" s="20" t="inlineStr">
        <is>
          <t>ll_ecn_mueve_etapas_con_evidencia</t>
        </is>
      </c>
      <c r="D13" s="20" t="inlineStr">
        <is>
          <t>Mueve las etapas solo con evidencia (Desembolsado con fecha y referencia).</t>
        </is>
      </c>
      <c r="E13" s="20" t="inlineStr">
        <is>
          <t>ECN</t>
        </is>
      </c>
      <c r="F13" s="20" t="inlineStr">
        <is>
          <t>Comercial</t>
        </is>
      </c>
      <c r="G13" s="20" t="inlineStr">
        <is>
          <t>X</t>
        </is>
      </c>
      <c r="H13" s="20" t="n">
        <v>0</v>
      </c>
      <c r="I13" s="20" t="n"/>
      <c r="J13" s="20" t="n"/>
      <c r="K13" s="20" t="n"/>
      <c r="L13" s="20" t="inlineStr">
        <is>
          <t>X</t>
        </is>
      </c>
      <c r="M13" s="20" t="n">
        <v>0</v>
      </c>
      <c r="N13" s="20" t="inlineStr">
        <is>
          <t>X</t>
        </is>
      </c>
      <c r="O13" s="20" t="n">
        <v>0</v>
      </c>
      <c r="P13" s="20" t="n"/>
      <c r="Q13" s="20" t="n"/>
      <c r="R13" s="20" t="inlineStr">
        <is>
          <t>PV-PR-09 6.4</t>
        </is>
      </c>
    </row>
    <row r="14">
      <c r="A14" s="20" t="n">
        <v>13</v>
      </c>
      <c r="B14" s="20" t="inlineStr">
        <is>
          <t>ECN-5</t>
        </is>
      </c>
      <c r="C14" s="20" t="inlineStr">
        <is>
          <t>ll_ecn_deja_estado_proxima_accion_responsable_fecha</t>
        </is>
      </c>
      <c r="D14" s="20" t="inlineStr">
        <is>
          <t>Deja el caso con estado real, próxima acción, responsable y fecha.</t>
        </is>
      </c>
      <c r="E14" s="20" t="inlineStr">
        <is>
          <t>ECN</t>
        </is>
      </c>
      <c r="F14" s="20" t="inlineStr">
        <is>
          <t>Todos</t>
        </is>
      </c>
      <c r="G14" s="20" t="inlineStr">
        <is>
          <t>X</t>
        </is>
      </c>
      <c r="H14" s="20" t="n">
        <v>0</v>
      </c>
      <c r="I14" s="20" t="n">
        <v>0</v>
      </c>
      <c r="J14" s="20" t="n">
        <v>0</v>
      </c>
      <c r="K14" s="20" t="n"/>
      <c r="L14" s="20" t="inlineStr">
        <is>
          <t>X</t>
        </is>
      </c>
      <c r="M14" s="20" t="n">
        <v>0</v>
      </c>
      <c r="N14" s="20" t="n"/>
      <c r="O14" s="20" t="n"/>
      <c r="P14" s="20" t="n"/>
      <c r="Q14" s="20" t="n"/>
      <c r="R14" s="20" t="inlineStr">
        <is>
          <t>PV-PR-09 6.1</t>
        </is>
      </c>
    </row>
    <row r="15">
      <c r="A15" s="20" t="n">
        <v>14</v>
      </c>
      <c r="B15" s="20" t="inlineStr">
        <is>
          <t>ECC-1</t>
        </is>
      </c>
      <c r="C15" s="20" t="inlineStr">
        <is>
          <t>ll_ecc_no_promete_condiciones_no_autorizadas</t>
        </is>
      </c>
      <c r="D15" s="20" t="inlineStr">
        <is>
          <t>No promete aprobación, tasa, costo, monto, descuento ni condiciones de pago no autorizados.</t>
        </is>
      </c>
      <c r="E15" s="20" t="inlineStr">
        <is>
          <t>ECC</t>
        </is>
      </c>
      <c r="F15" s="20" t="inlineStr">
        <is>
          <t>Todos</t>
        </is>
      </c>
      <c r="G15" s="20" t="inlineStr">
        <is>
          <t>X</t>
        </is>
      </c>
      <c r="H15" s="20" t="n">
        <v>0</v>
      </c>
      <c r="I15" s="20" t="n">
        <v>0</v>
      </c>
      <c r="J15" s="20" t="n">
        <v>0</v>
      </c>
      <c r="K15" s="20" t="n"/>
      <c r="L15" s="20" t="inlineStr">
        <is>
          <t>X</t>
        </is>
      </c>
      <c r="M15" s="20" t="n">
        <v>0</v>
      </c>
      <c r="N15" s="20" t="n"/>
      <c r="O15" s="20" t="n"/>
      <c r="P15" s="20" t="n"/>
      <c r="Q15" s="20" t="n"/>
      <c r="R15" s="20" t="inlineStr">
        <is>
          <t>Política comercial y de cartera</t>
        </is>
      </c>
    </row>
    <row r="16">
      <c r="A16" s="20" t="n">
        <v>15</v>
      </c>
      <c r="B16" s="20" t="inlineStr">
        <is>
          <t>ECC-2</t>
        </is>
      </c>
      <c r="C16" s="20" t="inlineStr">
        <is>
          <t>ll_ecc_no_altera_documentos</t>
        </is>
      </c>
      <c r="D16" s="20" t="inlineStr">
        <is>
          <t>No altera ni manipula documentos.</t>
        </is>
      </c>
      <c r="E16" s="20" t="inlineStr">
        <is>
          <t>ECC</t>
        </is>
      </c>
      <c r="F16" s="20" t="inlineStr">
        <is>
          <t>Todos</t>
        </is>
      </c>
      <c r="G16" s="20" t="inlineStr">
        <is>
          <t>X</t>
        </is>
      </c>
      <c r="H16" s="20" t="n">
        <v>0</v>
      </c>
      <c r="I16" s="20" t="n">
        <v>0</v>
      </c>
      <c r="J16" s="20" t="n">
        <v>0</v>
      </c>
      <c r="K16" s="20" t="n"/>
      <c r="L16" s="20" t="inlineStr">
        <is>
          <t>X</t>
        </is>
      </c>
      <c r="M16" s="20" t="n">
        <v>0</v>
      </c>
      <c r="N16" s="20" t="inlineStr">
        <is>
          <t>X</t>
        </is>
      </c>
      <c r="O16" s="20" t="n">
        <v>0</v>
      </c>
      <c r="P16" s="20" t="n">
        <v>0</v>
      </c>
      <c r="Q16" s="20" t="n">
        <v>0</v>
      </c>
      <c r="R16" s="20" t="inlineStr">
        <is>
          <t>PV-IN-04 4.8</t>
        </is>
      </c>
    </row>
    <row r="17">
      <c r="A17" s="20" t="n">
        <v>16</v>
      </c>
      <c r="B17" s="20" t="inlineStr">
        <is>
          <t>ECC-3</t>
        </is>
      </c>
      <c r="C17" s="20" t="inlineStr">
        <is>
          <t>ll_ecc_cobra_con_respeto_y_dentro_de_la_ley</t>
        </is>
      </c>
      <c r="D17" s="20" t="inlineStr">
        <is>
          <t>Cobra con respeto y dentro de la ley: sin intimidar ni presionar, sin informar la deuda a terceros o referencias, y en los horarios y canales permitidos.</t>
        </is>
      </c>
      <c r="E17" s="20" t="inlineStr">
        <is>
          <t>ECC</t>
        </is>
      </c>
      <c r="F17" s="20" t="inlineStr">
        <is>
          <t>Cobranza</t>
        </is>
      </c>
      <c r="G17" s="20" t="inlineStr">
        <is>
          <t>X</t>
        </is>
      </c>
      <c r="H17" s="20" t="n"/>
      <c r="I17" s="20" t="n">
        <v>0</v>
      </c>
      <c r="J17" s="20" t="n">
        <v>0</v>
      </c>
      <c r="K17" s="20" t="n"/>
      <c r="L17" s="20" t="inlineStr">
        <is>
          <t>X</t>
        </is>
      </c>
      <c r="M17" s="20" t="n">
        <v>0</v>
      </c>
      <c r="N17" s="20" t="n"/>
      <c r="O17" s="20" t="n"/>
      <c r="P17" s="20" t="n"/>
      <c r="Q17" s="20" t="n"/>
      <c r="R17" s="20" t="inlineStr">
        <is>
          <t>Ley 2300 de 2023 y Ley 1266 de 2008</t>
        </is>
      </c>
    </row>
    <row r="18">
      <c r="A18" s="8" t="n">
        <v>17</v>
      </c>
      <c r="B18" s="8" t="inlineStr">
        <is>
          <t>P1-1</t>
        </is>
      </c>
      <c r="C18" s="8" t="inlineStr">
        <is>
          <t>ll_sigue_cadencia_48h_multicanal</t>
        </is>
      </c>
      <c r="D18" s="8" t="inlineStr">
        <is>
          <t>Sigue la cadencia de 48 h por varios canales (WhatsApp, llamada en franja, último intento con correo y secuencia).</t>
        </is>
      </c>
      <c r="E18" s="8" t="inlineStr">
        <is>
          <t>No crítico</t>
        </is>
      </c>
      <c r="F18" s="8" t="inlineStr">
        <is>
          <t>Comercial</t>
        </is>
      </c>
      <c r="G18" s="8" t="inlineStr">
        <is>
          <t>X</t>
        </is>
      </c>
      <c r="H18" s="8" t="n">
        <v>6</v>
      </c>
      <c r="I18" s="8" t="n"/>
      <c r="J18" s="8" t="n"/>
      <c r="K18" s="8" t="n">
        <v>18</v>
      </c>
      <c r="L18" s="8" t="inlineStr">
        <is>
          <t>X</t>
        </is>
      </c>
      <c r="M18" s="8" t="n">
        <v>0</v>
      </c>
      <c r="N18" s="8" t="inlineStr">
        <is>
          <t>X</t>
        </is>
      </c>
      <c r="O18" s="8" t="n">
        <v>6</v>
      </c>
      <c r="P18" s="8" t="n"/>
      <c r="Q18" s="8" t="n"/>
      <c r="R18" s="8" t="inlineStr">
        <is>
          <t>PV-PR-09 6.3</t>
        </is>
      </c>
    </row>
    <row r="19">
      <c r="A19" s="25" t="n">
        <v>18</v>
      </c>
      <c r="B19" s="25" t="inlineStr">
        <is>
          <t>P1-2</t>
        </is>
      </c>
      <c r="C19" s="25" t="inlineStr">
        <is>
          <t>ll_responde_a_tiempo_en_conversacion_activa</t>
        </is>
      </c>
      <c r="D19" s="25" t="inlineStr">
        <is>
          <t>Responde a tiempo en una conversación activa.</t>
        </is>
      </c>
      <c r="E19" s="25" t="inlineStr">
        <is>
          <t>No crítico</t>
        </is>
      </c>
      <c r="F19" s="25" t="inlineStr">
        <is>
          <t>Comercial</t>
        </is>
      </c>
      <c r="G19" s="25" t="inlineStr">
        <is>
          <t>X</t>
        </is>
      </c>
      <c r="H19" s="25" t="n">
        <v>3</v>
      </c>
      <c r="I19" s="25" t="n"/>
      <c r="J19" s="25" t="n"/>
      <c r="K19" s="25" t="n"/>
      <c r="L19" s="25" t="inlineStr">
        <is>
          <t>X</t>
        </is>
      </c>
      <c r="M19" s="25" t="n">
        <v>0</v>
      </c>
      <c r="N19" s="25" t="n"/>
      <c r="O19" s="25" t="n"/>
      <c r="P19" s="25" t="n"/>
      <c r="Q19" s="25" t="n"/>
      <c r="R19" s="25" t="inlineStr">
        <is>
          <t>AS-040</t>
        </is>
      </c>
    </row>
    <row r="20">
      <c r="A20" s="25" t="n">
        <v>19</v>
      </c>
      <c r="B20" s="25" t="inlineStr">
        <is>
          <t>P2-1</t>
        </is>
      </c>
      <c r="C20" s="25" t="inlineStr">
        <is>
          <t>ll_revisa_duplicados_e_historial</t>
        </is>
      </c>
      <c r="D20" s="25" t="inlineStr">
        <is>
          <t>Revisa duplicados e historial antes de gestionar.</t>
        </is>
      </c>
      <c r="E20" s="25" t="inlineStr">
        <is>
          <t>No crítico</t>
        </is>
      </c>
      <c r="F20" s="25" t="inlineStr">
        <is>
          <t>Comercial</t>
        </is>
      </c>
      <c r="G20" s="25" t="inlineStr">
        <is>
          <t>X</t>
        </is>
      </c>
      <c r="H20" s="25" t="n">
        <v>2</v>
      </c>
      <c r="I20" s="25" t="n"/>
      <c r="J20" s="25" t="n"/>
      <c r="K20" s="25" t="n"/>
      <c r="L20" s="25" t="inlineStr">
        <is>
          <t>X</t>
        </is>
      </c>
      <c r="M20" s="25" t="n">
        <v>0</v>
      </c>
      <c r="N20" s="25" t="n"/>
      <c r="O20" s="25" t="n"/>
      <c r="P20" s="25" t="n"/>
      <c r="Q20" s="25" t="n"/>
      <c r="R20" s="25" t="inlineStr">
        <is>
          <t>PV-IN-08</t>
        </is>
      </c>
    </row>
    <row r="21">
      <c r="A21" s="25" t="n">
        <v>20</v>
      </c>
      <c r="B21" s="25" t="inlineStr">
        <is>
          <t>P2-2</t>
        </is>
      </c>
      <c r="C21" s="25" t="inlineStr">
        <is>
          <t>ll_perfila_el_caso</t>
        </is>
      </c>
      <c r="D21" s="25" t="inlineStr">
        <is>
          <t>Perfila el caso: tipo, línea, ciudad, sede y canal; en educativo, universidad y modalidad.</t>
        </is>
      </c>
      <c r="E21" s="25" t="inlineStr">
        <is>
          <t>No crítico</t>
        </is>
      </c>
      <c r="F21" s="25" t="inlineStr">
        <is>
          <t>Comercial</t>
        </is>
      </c>
      <c r="G21" s="25" t="inlineStr">
        <is>
          <t>X</t>
        </is>
      </c>
      <c r="H21" s="25" t="n">
        <v>3</v>
      </c>
      <c r="I21" s="25" t="n"/>
      <c r="J21" s="25" t="n"/>
      <c r="K21" s="25" t="n"/>
      <c r="L21" s="25" t="inlineStr">
        <is>
          <t>X</t>
        </is>
      </c>
      <c r="M21" s="25" t="n">
        <v>0</v>
      </c>
      <c r="N21" s="25" t="n"/>
      <c r="O21" s="25" t="n"/>
      <c r="P21" s="25" t="n"/>
      <c r="Q21" s="25" t="n"/>
      <c r="R21" s="25" t="inlineStr">
        <is>
          <t>PV-IN-08</t>
        </is>
      </c>
    </row>
    <row r="22">
      <c r="A22" s="8" t="n">
        <v>21</v>
      </c>
      <c r="B22" s="8" t="inlineStr">
        <is>
          <t>P2-3</t>
        </is>
      </c>
      <c r="C22" s="8" t="inlineStr">
        <is>
          <t>ll_indaga_que_monto_y_cuando_financiar</t>
        </is>
      </c>
      <c r="D22" s="8" t="inlineStr">
        <is>
          <t>Indaga qué quiere financiar, por qué monto y para cuándo.</t>
        </is>
      </c>
      <c r="E22" s="8" t="inlineStr">
        <is>
          <t>No crítico</t>
        </is>
      </c>
      <c r="F22" s="8" t="inlineStr">
        <is>
          <t>Comercial</t>
        </is>
      </c>
      <c r="G22" s="8" t="inlineStr">
        <is>
          <t>X</t>
        </is>
      </c>
      <c r="H22" s="8" t="n">
        <v>4</v>
      </c>
      <c r="I22" s="8" t="n"/>
      <c r="J22" s="8" t="n"/>
      <c r="K22" s="8" t="n">
        <v>20</v>
      </c>
      <c r="L22" s="8" t="inlineStr">
        <is>
          <t>X</t>
        </is>
      </c>
      <c r="M22" s="8" t="n">
        <v>0</v>
      </c>
      <c r="N22" s="8" t="inlineStr">
        <is>
          <t>X</t>
        </is>
      </c>
      <c r="O22" s="8" t="n">
        <v>4</v>
      </c>
      <c r="P22" s="8" t="n"/>
      <c r="Q22" s="8" t="n"/>
      <c r="R22" s="8" t="inlineStr">
        <is>
          <t>PV-PR-09 6.3</t>
        </is>
      </c>
    </row>
    <row r="23">
      <c r="A23" s="8" t="n">
        <v>22</v>
      </c>
      <c r="B23" s="8" t="inlineStr">
        <is>
          <t>P2-4</t>
        </is>
      </c>
      <c r="C23" s="8" t="inlineStr">
        <is>
          <t>ll_resuelve_dudas_y_objeciones_sin_presionar</t>
        </is>
      </c>
      <c r="D23" s="8" t="inlineStr">
        <is>
          <t>Resuelve dudas y objeciones sin presionar.</t>
        </is>
      </c>
      <c r="E23" s="8" t="inlineStr">
        <is>
          <t>No crítico</t>
        </is>
      </c>
      <c r="F23" s="8" t="inlineStr">
        <is>
          <t>Comercial</t>
        </is>
      </c>
      <c r="G23" s="8" t="inlineStr">
        <is>
          <t>X</t>
        </is>
      </c>
      <c r="H23" s="8" t="n">
        <v>4</v>
      </c>
      <c r="I23" s="8" t="n"/>
      <c r="J23" s="8" t="n"/>
      <c r="K23" s="8" t="n">
        <v>20</v>
      </c>
      <c r="L23" s="8" t="inlineStr">
        <is>
          <t>X</t>
        </is>
      </c>
      <c r="M23" s="8" t="n">
        <v>0</v>
      </c>
      <c r="N23" s="8" t="inlineStr">
        <is>
          <t>X</t>
        </is>
      </c>
      <c r="O23" s="8" t="n">
        <v>4</v>
      </c>
      <c r="P23" s="8" t="n"/>
      <c r="Q23" s="8" t="n"/>
      <c r="R23" s="8" t="inlineStr">
        <is>
          <t>AS-026</t>
        </is>
      </c>
    </row>
    <row r="24">
      <c r="A24" s="8" t="n">
        <v>23</v>
      </c>
      <c r="B24" s="8" t="inlineStr">
        <is>
          <t>P2-5</t>
        </is>
      </c>
      <c r="C24" s="8" t="inlineStr">
        <is>
          <t>ll_ofrece_valor_adicional_o_alternativa</t>
        </is>
      </c>
      <c r="D24" s="8" t="inlineStr">
        <is>
          <t>Ofrece un valor adicional o una alternativa permitida cuando corresponde.</t>
        </is>
      </c>
      <c r="E24" s="8" t="inlineStr">
        <is>
          <t>No crítico</t>
        </is>
      </c>
      <c r="F24" s="8" t="inlineStr">
        <is>
          <t>Comercial</t>
        </is>
      </c>
      <c r="G24" s="8" t="inlineStr">
        <is>
          <t>X</t>
        </is>
      </c>
      <c r="H24" s="8" t="n">
        <v>2</v>
      </c>
      <c r="I24" s="8" t="n"/>
      <c r="J24" s="8" t="n"/>
      <c r="K24" s="8" t="n">
        <v>20</v>
      </c>
      <c r="L24" s="8" t="inlineStr">
        <is>
          <t>X</t>
        </is>
      </c>
      <c r="M24" s="8" t="n">
        <v>0</v>
      </c>
      <c r="N24" s="8" t="inlineStr">
        <is>
          <t>X</t>
        </is>
      </c>
      <c r="O24" s="8" t="n">
        <v>2</v>
      </c>
      <c r="P24" s="8" t="n"/>
      <c r="Q24" s="8" t="n"/>
      <c r="R24" s="8" t="inlineStr">
        <is>
          <t>PV-PR-09</t>
        </is>
      </c>
    </row>
    <row r="25">
      <c r="A25" s="8" t="n">
        <v>24</v>
      </c>
      <c r="B25" s="8" t="inlineStr">
        <is>
          <t>P3-1</t>
        </is>
      </c>
      <c r="C25" s="8" t="inlineStr">
        <is>
          <t>ll_pendientes_con_tarea_responsable_y_fecha</t>
        </is>
      </c>
      <c r="D25" s="8" t="inlineStr">
        <is>
          <t>Cada documento o pendiente tiene tarea, responsable y fecha.</t>
        </is>
      </c>
      <c r="E25" s="8" t="inlineStr">
        <is>
          <t>No crítico</t>
        </is>
      </c>
      <c r="F25" s="8" t="inlineStr">
        <is>
          <t>Comercial</t>
        </is>
      </c>
      <c r="G25" s="8" t="inlineStr">
        <is>
          <t>X</t>
        </is>
      </c>
      <c r="H25" s="8" t="n">
        <v>4</v>
      </c>
      <c r="I25" s="8" t="n"/>
      <c r="J25" s="8" t="n"/>
      <c r="K25" s="8" t="n">
        <v>39</v>
      </c>
      <c r="L25" s="8" t="inlineStr">
        <is>
          <t>X</t>
        </is>
      </c>
      <c r="M25" s="8" t="n">
        <v>0</v>
      </c>
      <c r="N25" s="8" t="inlineStr">
        <is>
          <t>X</t>
        </is>
      </c>
      <c r="O25" s="8" t="n">
        <v>4</v>
      </c>
      <c r="P25" s="8" t="n"/>
      <c r="Q25" s="8" t="n"/>
      <c r="R25" s="8" t="inlineStr">
        <is>
          <t>PV-IN-09</t>
        </is>
      </c>
    </row>
    <row r="26">
      <c r="A26" s="8" t="n">
        <v>25</v>
      </c>
      <c r="B26" s="8" t="inlineStr">
        <is>
          <t>P3-2</t>
        </is>
      </c>
      <c r="C26" s="8" t="inlineStr">
        <is>
          <t>ll_escala_estudio_y_gestiona_congelado_48h</t>
        </is>
      </c>
      <c r="D26" s="8" t="inlineStr">
        <is>
          <t>En estudio escala a las 48 h y gestiona el negocio Congelado en 48 h o menos.</t>
        </is>
      </c>
      <c r="E26" s="8" t="inlineStr">
        <is>
          <t>No crítico</t>
        </is>
      </c>
      <c r="F26" s="8" t="inlineStr">
        <is>
          <t>Comercial</t>
        </is>
      </c>
      <c r="G26" s="8" t="inlineStr">
        <is>
          <t>X</t>
        </is>
      </c>
      <c r="H26" s="8" t="n">
        <v>4</v>
      </c>
      <c r="I26" s="8" t="n"/>
      <c r="J26" s="8" t="n"/>
      <c r="K26" s="8" t="n">
        <v>39</v>
      </c>
      <c r="L26" s="8" t="inlineStr">
        <is>
          <t>X</t>
        </is>
      </c>
      <c r="M26" s="8" t="n">
        <v>0</v>
      </c>
      <c r="N26" s="8" t="inlineStr">
        <is>
          <t>X</t>
        </is>
      </c>
      <c r="O26" s="8" t="n">
        <v>4</v>
      </c>
      <c r="P26" s="8" t="n"/>
      <c r="Q26" s="8" t="n"/>
      <c r="R26" s="8" t="inlineStr">
        <is>
          <t>PV-IN-09</t>
        </is>
      </c>
    </row>
    <row r="27">
      <c r="A27" s="8" t="n">
        <v>26</v>
      </c>
      <c r="B27" s="8" t="inlineStr">
        <is>
          <t>P3-3</t>
        </is>
      </c>
      <c r="C27" s="8" t="inlineStr">
        <is>
          <t>ll_aprobado_confirma_condiciones_y_sigue_desembolso</t>
        </is>
      </c>
      <c r="D27" s="8" t="inlineStr">
        <is>
          <t>En Aprobado confirma condiciones y aceptación del asociado, y hace seguimiento al desembolso.</t>
        </is>
      </c>
      <c r="E27" s="8" t="inlineStr">
        <is>
          <t>No crítico</t>
        </is>
      </c>
      <c r="F27" s="8" t="inlineStr">
        <is>
          <t>Comercial</t>
        </is>
      </c>
      <c r="G27" s="8" t="inlineStr">
        <is>
          <t>X</t>
        </is>
      </c>
      <c r="H27" s="8" t="n">
        <v>4</v>
      </c>
      <c r="I27" s="8" t="n"/>
      <c r="J27" s="8" t="n"/>
      <c r="K27" s="8" t="n">
        <v>39</v>
      </c>
      <c r="L27" s="8" t="inlineStr">
        <is>
          <t>X</t>
        </is>
      </c>
      <c r="M27" s="8" t="n">
        <v>0</v>
      </c>
      <c r="N27" s="8" t="inlineStr">
        <is>
          <t>X</t>
        </is>
      </c>
      <c r="O27" s="8" t="n">
        <v>4</v>
      </c>
      <c r="P27" s="8" t="n"/>
      <c r="Q27" s="8" t="n"/>
      <c r="R27" s="8" t="inlineStr">
        <is>
          <t>PV-IN-09</t>
        </is>
      </c>
    </row>
    <row r="28">
      <c r="A28" s="8" t="n">
        <v>27</v>
      </c>
      <c r="B28" s="8" t="inlineStr">
        <is>
          <t>P3-4</t>
        </is>
      </c>
      <c r="C28" s="8" t="inlineStr">
        <is>
          <t>ll_usa_motivo_correcto_al_descalificar</t>
        </is>
      </c>
      <c r="D28" s="8" t="inlineStr">
        <is>
          <t>Usa el motivo correcto al descalificar un lead o descartar un negocio.</t>
        </is>
      </c>
      <c r="E28" s="8" t="inlineStr">
        <is>
          <t>No crítico</t>
        </is>
      </c>
      <c r="F28" s="8" t="inlineStr">
        <is>
          <t>Comercial</t>
        </is>
      </c>
      <c r="G28" s="8" t="inlineStr">
        <is>
          <t>X</t>
        </is>
      </c>
      <c r="H28" s="8" t="n">
        <v>2</v>
      </c>
      <c r="I28" s="8" t="n"/>
      <c r="J28" s="8" t="n"/>
      <c r="K28" s="8" t="n">
        <v>39</v>
      </c>
      <c r="L28" s="8" t="inlineStr">
        <is>
          <t>X</t>
        </is>
      </c>
      <c r="M28" s="8" t="n">
        <v>0</v>
      </c>
      <c r="N28" s="8" t="inlineStr">
        <is>
          <t>X</t>
        </is>
      </c>
      <c r="O28" s="8" t="n">
        <v>2</v>
      </c>
      <c r="P28" s="8" t="n"/>
      <c r="Q28" s="8" t="n"/>
      <c r="R28" s="8" t="inlineStr">
        <is>
          <t>PV-IN-08 / PV-IN-09</t>
        </is>
      </c>
    </row>
    <row r="29">
      <c r="A29" s="8" t="n">
        <v>28</v>
      </c>
      <c r="B29" s="8" t="inlineStr">
        <is>
          <t>P3-5</t>
        </is>
      </c>
      <c r="C29" s="8" t="inlineStr">
        <is>
          <t>ll_postventa_informa_pagos_y_registra_ticket</t>
        </is>
      </c>
      <c r="D29" s="8" t="inlineStr">
        <is>
          <t>En postventa informa fecha y medios de pago y canales oficiales, y registra novedades en ticket.</t>
        </is>
      </c>
      <c r="E29" s="8" t="inlineStr">
        <is>
          <t>No crítico</t>
        </is>
      </c>
      <c r="F29" s="8" t="inlineStr">
        <is>
          <t>Comercial</t>
        </is>
      </c>
      <c r="G29" s="8" t="inlineStr">
        <is>
          <t>X</t>
        </is>
      </c>
      <c r="H29" s="8" t="n">
        <v>2</v>
      </c>
      <c r="I29" s="8" t="n"/>
      <c r="J29" s="8" t="n"/>
      <c r="K29" s="8" t="n">
        <v>39</v>
      </c>
      <c r="L29" s="8" t="inlineStr">
        <is>
          <t>X</t>
        </is>
      </c>
      <c r="M29" s="8" t="n">
        <v>0</v>
      </c>
      <c r="N29" s="8" t="inlineStr">
        <is>
          <t>X</t>
        </is>
      </c>
      <c r="O29" s="8" t="n">
        <v>2</v>
      </c>
      <c r="P29" s="8" t="n"/>
      <c r="Q29" s="8" t="n"/>
      <c r="R29" s="8" t="inlineStr">
        <is>
          <t>PV-IN-05</t>
        </is>
      </c>
    </row>
    <row r="30">
      <c r="A30" s="25" t="n">
        <v>29</v>
      </c>
      <c r="B30" s="25" t="inlineStr">
        <is>
          <t>CB-1</t>
        </is>
      </c>
      <c r="C30" s="25" t="inlineStr">
        <is>
          <t>ll_informa_obligacion_correcta_y_vigente</t>
        </is>
      </c>
      <c r="D30" s="25" t="inlineStr">
        <is>
          <t>Da información correcta, completa y vigente de la obligación: valor a pagar, fecha límite, referencia o recibo y medios de pago oficiales.</t>
        </is>
      </c>
      <c r="E30" s="25" t="inlineStr">
        <is>
          <t>No crítico</t>
        </is>
      </c>
      <c r="F30" s="25" t="inlineStr">
        <is>
          <t>Cobranza</t>
        </is>
      </c>
      <c r="G30" s="25" t="inlineStr">
        <is>
          <t>X</t>
        </is>
      </c>
      <c r="H30" s="25" t="n"/>
      <c r="I30" s="25" t="n">
        <v>10</v>
      </c>
      <c r="J30" s="25" t="n">
        <v>10</v>
      </c>
      <c r="K30" s="25" t="n"/>
      <c r="L30" s="25" t="inlineStr">
        <is>
          <t>X</t>
        </is>
      </c>
      <c r="M30" s="25" t="n">
        <v>0</v>
      </c>
      <c r="N30" s="25" t="n"/>
      <c r="O30" s="25" t="n"/>
      <c r="P30" s="25" t="n"/>
      <c r="Q30" s="25" t="n"/>
      <c r="R30" s="25" t="inlineStr">
        <is>
          <t>Política de cartera</t>
        </is>
      </c>
    </row>
    <row r="31">
      <c r="A31" s="8" t="n">
        <v>30</v>
      </c>
      <c r="B31" s="8" t="inlineStr">
        <is>
          <t>CB-2</t>
        </is>
      </c>
      <c r="C31" s="8" t="inlineStr">
        <is>
          <t>ll_ofrece_alternativas_de_pago_autorizadas</t>
        </is>
      </c>
      <c r="D31" s="8" t="inlineStr">
        <is>
          <t>Ofrece de inmediato alternativas de pago autorizadas según la situación del asociado (fecha de compromiso, acuerdo, normalización si aplica).</t>
        </is>
      </c>
      <c r="E31" s="8" t="inlineStr">
        <is>
          <t>No crítico</t>
        </is>
      </c>
      <c r="F31" s="8" t="inlineStr">
        <is>
          <t>Cobranza</t>
        </is>
      </c>
      <c r="G31" s="8" t="inlineStr">
        <is>
          <t>X</t>
        </is>
      </c>
      <c r="H31" s="8" t="n"/>
      <c r="I31" s="8" t="n">
        <v>8</v>
      </c>
      <c r="J31" s="8" t="n">
        <v>8</v>
      </c>
      <c r="K31" s="8" t="n">
        <v>29</v>
      </c>
      <c r="L31" s="8" t="inlineStr">
        <is>
          <t>X</t>
        </is>
      </c>
      <c r="M31" s="8" t="n">
        <v>0</v>
      </c>
      <c r="N31" s="8" t="inlineStr">
        <is>
          <t>X</t>
        </is>
      </c>
      <c r="O31" s="8" t="n"/>
      <c r="P31" s="8" t="n">
        <v>8</v>
      </c>
      <c r="Q31" s="8" t="n">
        <v>8</v>
      </c>
      <c r="R31" s="8" t="inlineStr">
        <is>
          <t>Política de cartera</t>
        </is>
      </c>
    </row>
    <row r="32">
      <c r="A32" s="25" t="n">
        <v>31</v>
      </c>
      <c r="B32" s="25" t="inlineStr">
        <is>
          <t>CB-3</t>
        </is>
      </c>
      <c r="C32" s="25" t="inlineStr">
        <is>
          <t>ll_registra_resultado_cobranza_en_hubspot</t>
        </is>
      </c>
      <c r="D32" s="25" t="inlineStr">
        <is>
          <t>Registra el resultado en HubSpot: compromiso de pago (valor y fecha), novedad o motivo de no pago.</t>
        </is>
      </c>
      <c r="E32" s="25" t="inlineStr">
        <is>
          <t>No crítico</t>
        </is>
      </c>
      <c r="F32" s="25" t="inlineStr">
        <is>
          <t>Cobranza</t>
        </is>
      </c>
      <c r="G32" s="25" t="inlineStr">
        <is>
          <t>X</t>
        </is>
      </c>
      <c r="H32" s="25" t="n"/>
      <c r="I32" s="25" t="n">
        <v>6</v>
      </c>
      <c r="J32" s="25" t="n">
        <v>6</v>
      </c>
      <c r="K32" s="25" t="n"/>
      <c r="L32" s="25" t="inlineStr">
        <is>
          <t>X</t>
        </is>
      </c>
      <c r="M32" s="25" t="n">
        <v>0</v>
      </c>
      <c r="N32" s="25" t="n"/>
      <c r="O32" s="25" t="n"/>
      <c r="P32" s="25" t="n"/>
      <c r="Q32" s="25" t="n"/>
      <c r="R32" s="25" t="inlineStr">
        <is>
          <t>PV-PR-09 8</t>
        </is>
      </c>
    </row>
    <row r="33">
      <c r="A33" s="8" t="n">
        <v>32</v>
      </c>
      <c r="B33" s="8" t="inlineStr">
        <is>
          <t>CB-4</t>
        </is>
      </c>
      <c r="C33" s="8" t="inlineStr">
        <is>
          <t>ll_deja_tarea_seguimiento_compromiso_pago</t>
        </is>
      </c>
      <c r="D33" s="8" t="inlineStr">
        <is>
          <t>Deja tarea de seguimiento al compromiso de pago con fecha.</t>
        </is>
      </c>
      <c r="E33" s="8" t="inlineStr">
        <is>
          <t>No crítico</t>
        </is>
      </c>
      <c r="F33" s="8" t="inlineStr">
        <is>
          <t>Cobranza</t>
        </is>
      </c>
      <c r="G33" s="8" t="inlineStr">
        <is>
          <t>X</t>
        </is>
      </c>
      <c r="H33" s="8" t="n"/>
      <c r="I33" s="8" t="n">
        <v>4</v>
      </c>
      <c r="J33" s="8" t="n">
        <v>4</v>
      </c>
      <c r="K33" s="8" t="n">
        <v>31</v>
      </c>
      <c r="L33" s="8" t="inlineStr">
        <is>
          <t>X</t>
        </is>
      </c>
      <c r="M33" s="8" t="n">
        <v>0</v>
      </c>
      <c r="N33" s="8" t="inlineStr">
        <is>
          <t>X</t>
        </is>
      </c>
      <c r="O33" s="8" t="n"/>
      <c r="P33" s="8" t="n">
        <v>4</v>
      </c>
      <c r="Q33" s="8" t="n">
        <v>4</v>
      </c>
      <c r="R33" s="8" t="inlineStr">
        <is>
          <t>PV-PR-09 6.1</t>
        </is>
      </c>
    </row>
    <row r="34">
      <c r="A34" s="25" t="n">
        <v>33</v>
      </c>
      <c r="B34" s="25" t="inlineStr">
        <is>
          <t>CB-5</t>
        </is>
      </c>
      <c r="C34" s="25" t="inlineStr">
        <is>
          <t>ll_consulta_responde_oportunamente</t>
        </is>
      </c>
      <c r="D34" s="25" t="inlineStr">
        <is>
          <t>Consulta del asociado: responde de forma oportuna, dentro del tiempo de respuesta del canal.</t>
        </is>
      </c>
      <c r="E34" s="25" t="inlineStr">
        <is>
          <t>No crítico</t>
        </is>
      </c>
      <c r="F34" s="25" t="inlineStr">
        <is>
          <t>Cobranza - consulta</t>
        </is>
      </c>
      <c r="G34" s="25" t="inlineStr">
        <is>
          <t>X</t>
        </is>
      </c>
      <c r="H34" s="25" t="n"/>
      <c r="I34" s="25" t="n">
        <v>6</v>
      </c>
      <c r="J34" s="25" t="n"/>
      <c r="K34" s="25" t="n"/>
      <c r="L34" s="25" t="inlineStr">
        <is>
          <t>X</t>
        </is>
      </c>
      <c r="M34" s="25" t="n">
        <v>0</v>
      </c>
      <c r="N34" s="25" t="n"/>
      <c r="O34" s="25" t="n"/>
      <c r="P34" s="25" t="n"/>
      <c r="Q34" s="25" t="n"/>
      <c r="R34" s="25" t="inlineStr">
        <is>
          <t>AS-040</t>
        </is>
      </c>
    </row>
    <row r="35">
      <c r="A35" s="8" t="n">
        <v>34</v>
      </c>
      <c r="B35" s="8" t="inlineStr">
        <is>
          <t>CB-6</t>
        </is>
      </c>
      <c r="C35" s="8" t="inlineStr">
        <is>
          <t>ll_consulta_confirma_entendimiento_y_recibo_digital</t>
        </is>
      </c>
      <c r="D35" s="8" t="inlineStr">
        <is>
          <t>Consulta del asociado: confirma que entendió y le indica cómo descargar o consultar su recibo en los canales digitales.</t>
        </is>
      </c>
      <c r="E35" s="8" t="inlineStr">
        <is>
          <t>No crítico</t>
        </is>
      </c>
      <c r="F35" s="8" t="inlineStr">
        <is>
          <t>Cobranza - consulta</t>
        </is>
      </c>
      <c r="G35" s="8" t="inlineStr">
        <is>
          <t>X</t>
        </is>
      </c>
      <c r="H35" s="8" t="n"/>
      <c r="I35" s="8" t="n">
        <v>6</v>
      </c>
      <c r="J35" s="8" t="n"/>
      <c r="K35" s="8" t="n">
        <v>33</v>
      </c>
      <c r="L35" s="8" t="inlineStr">
        <is>
          <t>X</t>
        </is>
      </c>
      <c r="M35" s="8" t="n">
        <v>0</v>
      </c>
      <c r="N35" s="8" t="inlineStr">
        <is>
          <t>X</t>
        </is>
      </c>
      <c r="O35" s="8" t="n"/>
      <c r="P35" s="8" t="n">
        <v>6</v>
      </c>
      <c r="Q35" s="8" t="n"/>
      <c r="R35" s="8" t="inlineStr">
        <is>
          <t>PV-FR-59 (valor)</t>
        </is>
      </c>
    </row>
    <row r="36">
      <c r="A36" s="25" t="n">
        <v>35</v>
      </c>
      <c r="B36" s="25" t="inlineStr">
        <is>
          <t>CC-1</t>
        </is>
      </c>
      <c r="C36" s="25" t="inlineStr">
        <is>
          <t>ll_campana_responde_replica_oportunamente</t>
        </is>
      </c>
      <c r="D36" s="25" t="inlineStr">
        <is>
          <t>Campaña: responde la réplica del asociado a la plantilla masiva de cobranza de forma oportuna (tiempo definido por la coordinación).</t>
        </is>
      </c>
      <c r="E36" s="25" t="inlineStr">
        <is>
          <t>No crítico</t>
        </is>
      </c>
      <c r="F36" s="25" t="inlineStr">
        <is>
          <t>Cobranza - campaña</t>
        </is>
      </c>
      <c r="G36" s="25" t="inlineStr">
        <is>
          <t>X</t>
        </is>
      </c>
      <c r="H36" s="25" t="n"/>
      <c r="I36" s="25" t="n"/>
      <c r="J36" s="25" t="n">
        <v>6</v>
      </c>
      <c r="K36" s="25" t="n"/>
      <c r="L36" s="25" t="inlineStr">
        <is>
          <t>X</t>
        </is>
      </c>
      <c r="M36" s="25" t="n">
        <v>0</v>
      </c>
      <c r="N36" s="25" t="n"/>
      <c r="O36" s="25" t="n"/>
      <c r="P36" s="25" t="n"/>
      <c r="Q36" s="25" t="n"/>
      <c r="R36" s="25" t="inlineStr">
        <is>
          <t>Workflow de cobranza WhatsApp</t>
        </is>
      </c>
    </row>
    <row r="37">
      <c r="A37" s="25" t="n">
        <v>36</v>
      </c>
      <c r="B37" s="25" t="inlineStr">
        <is>
          <t>CC-2</t>
        </is>
      </c>
      <c r="C37" s="25" t="inlineStr">
        <is>
          <t>ll_campana_retoma_motivo_y_se_identifica</t>
        </is>
      </c>
      <c r="D37" s="25" t="inlineStr">
        <is>
          <t>Campaña: retoma el motivo del mensaje enviado, se identifica y explica por qué se le contactó, sin presionar.</t>
        </is>
      </c>
      <c r="E37" s="25" t="inlineStr">
        <is>
          <t>No crítico</t>
        </is>
      </c>
      <c r="F37" s="25" t="inlineStr">
        <is>
          <t>Cobranza - campaña</t>
        </is>
      </c>
      <c r="G37" s="25" t="inlineStr">
        <is>
          <t>X</t>
        </is>
      </c>
      <c r="H37" s="25" t="n"/>
      <c r="I37" s="25" t="n"/>
      <c r="J37" s="25" t="n">
        <v>6</v>
      </c>
      <c r="K37" s="25" t="n"/>
      <c r="L37" s="25" t="inlineStr">
        <is>
          <t>X</t>
        </is>
      </c>
      <c r="M37" s="25" t="n">
        <v>0</v>
      </c>
      <c r="N37" s="25" t="n"/>
      <c r="O37" s="25" t="n"/>
      <c r="P37" s="25" t="n"/>
      <c r="Q37" s="25" t="n"/>
      <c r="R37" s="25" t="inlineStr">
        <is>
          <t>Ley 2300 de 2023</t>
        </is>
      </c>
    </row>
    <row r="38">
      <c r="A38" s="25" t="n">
        <v>37</v>
      </c>
      <c r="B38" s="25" t="inlineStr">
        <is>
          <t>P4-1</t>
        </is>
      </c>
      <c r="C38" s="25" t="inlineStr">
        <is>
          <t>ll_registra_contacto_como_actividad_correcta</t>
        </is>
      </c>
      <c r="D38" s="25" t="inlineStr">
        <is>
          <t>Registra cada contacto como actividad del tipo correcto, con fecha y hora reales.</t>
        </is>
      </c>
      <c r="E38" s="25" t="inlineStr">
        <is>
          <t>No crítico</t>
        </is>
      </c>
      <c r="F38" s="25" t="inlineStr">
        <is>
          <t>Todos</t>
        </is>
      </c>
      <c r="G38" s="25" t="inlineStr">
        <is>
          <t>X</t>
        </is>
      </c>
      <c r="H38" s="25" t="n">
        <v>6</v>
      </c>
      <c r="I38" s="25" t="n">
        <v>6</v>
      </c>
      <c r="J38" s="25" t="n">
        <v>6</v>
      </c>
      <c r="K38" s="25" t="n"/>
      <c r="L38" s="25" t="inlineStr">
        <is>
          <t>X</t>
        </is>
      </c>
      <c r="M38" s="25" t="n">
        <v>0</v>
      </c>
      <c r="N38" s="25" t="n"/>
      <c r="O38" s="25" t="n"/>
      <c r="P38" s="25" t="n"/>
      <c r="Q38" s="25" t="n"/>
      <c r="R38" s="25" t="inlineStr">
        <is>
          <t>PV-IN-10</t>
        </is>
      </c>
    </row>
    <row r="39">
      <c r="A39" s="25" t="n">
        <v>38</v>
      </c>
      <c r="B39" s="25" t="inlineStr">
        <is>
          <t>P4-2</t>
        </is>
      </c>
      <c r="C39" s="25" t="inlineStr">
        <is>
          <t>ll_actividad_en_objeto_correcto_y_asociada</t>
        </is>
      </c>
      <c r="D39" s="25" t="inlineStr">
        <is>
          <t>La actividad queda en el objeto correcto (lead, negocio o ticket) y asociada al contacto.</t>
        </is>
      </c>
      <c r="E39" s="25" t="inlineStr">
        <is>
          <t>No crítico</t>
        </is>
      </c>
      <c r="F39" s="25" t="inlineStr">
        <is>
          <t>Todos</t>
        </is>
      </c>
      <c r="G39" s="25" t="inlineStr">
        <is>
          <t>X</t>
        </is>
      </c>
      <c r="H39" s="25" t="n">
        <v>5</v>
      </c>
      <c r="I39" s="25" t="n">
        <v>5</v>
      </c>
      <c r="J39" s="25" t="n">
        <v>5</v>
      </c>
      <c r="K39" s="25" t="n"/>
      <c r="L39" s="25" t="inlineStr">
        <is>
          <t>X</t>
        </is>
      </c>
      <c r="M39" s="25" t="n">
        <v>0</v>
      </c>
      <c r="N39" s="25" t="n"/>
      <c r="O39" s="25" t="n"/>
      <c r="P39" s="25" t="n"/>
      <c r="Q39" s="25" t="n"/>
      <c r="R39" s="25" t="inlineStr">
        <is>
          <t>PV-IN-08</t>
        </is>
      </c>
    </row>
    <row r="40">
      <c r="A40" s="25" t="n">
        <v>39</v>
      </c>
      <c r="B40" s="25" t="inlineStr">
        <is>
          <t>P4-3</t>
        </is>
      </c>
      <c r="C40" s="25" t="inlineStr">
        <is>
          <t>ll_notas_dicen_que_paso_que_falta_quien_cuando</t>
        </is>
      </c>
      <c r="D40" s="25" t="inlineStr">
        <is>
          <t>Las notas dicen qué pasó, qué falta, quién lo hace y cuándo.</t>
        </is>
      </c>
      <c r="E40" s="25" t="inlineStr">
        <is>
          <t>No crítico</t>
        </is>
      </c>
      <c r="F40" s="25" t="inlineStr">
        <is>
          <t>Todos</t>
        </is>
      </c>
      <c r="G40" s="25" t="inlineStr">
        <is>
          <t>X</t>
        </is>
      </c>
      <c r="H40" s="25" t="n">
        <v>9</v>
      </c>
      <c r="I40" s="25" t="n">
        <v>9</v>
      </c>
      <c r="J40" s="25" t="n">
        <v>9</v>
      </c>
      <c r="K40" s="25" t="n"/>
      <c r="L40" s="25" t="inlineStr">
        <is>
          <t>X</t>
        </is>
      </c>
      <c r="M40" s="25" t="n">
        <v>0</v>
      </c>
      <c r="N40" s="25" t="n"/>
      <c r="O40" s="25" t="n"/>
      <c r="P40" s="25" t="n"/>
      <c r="Q40" s="25" t="n"/>
      <c r="R40" s="25" t="inlineStr">
        <is>
          <t>PV-PR-09 8</t>
        </is>
      </c>
    </row>
    <row r="41">
      <c r="A41" s="8" t="n">
        <v>40</v>
      </c>
      <c r="B41" s="8" t="inlineStr">
        <is>
          <t>P4-4</t>
        </is>
      </c>
      <c r="C41" s="8" t="inlineStr">
        <is>
          <t>ll_no_pide_de_nuevo_y_resume_al_transferir</t>
        </is>
      </c>
      <c r="D41" s="8" t="inlineStr">
        <is>
          <t>No pide de nuevo lo ya entregado y deja resumen si transfiere el caso.</t>
        </is>
      </c>
      <c r="E41" s="8" t="inlineStr">
        <is>
          <t>No crítico</t>
        </is>
      </c>
      <c r="F41" s="8" t="inlineStr">
        <is>
          <t>Todos</t>
        </is>
      </c>
      <c r="G41" s="8" t="inlineStr">
        <is>
          <t>X</t>
        </is>
      </c>
      <c r="H41" s="8" t="n">
        <v>5</v>
      </c>
      <c r="I41" s="8" t="n">
        <v>5</v>
      </c>
      <c r="J41" s="8" t="n">
        <v>5</v>
      </c>
      <c r="K41" s="8" t="n">
        <v>39</v>
      </c>
      <c r="L41" s="8" t="inlineStr">
        <is>
          <t>X</t>
        </is>
      </c>
      <c r="M41" s="8" t="n">
        <v>0</v>
      </c>
      <c r="N41" s="8" t="inlineStr">
        <is>
          <t>X</t>
        </is>
      </c>
      <c r="O41" s="8" t="n">
        <v>5</v>
      </c>
      <c r="P41" s="8" t="n">
        <v>5</v>
      </c>
      <c r="Q41" s="8" t="n">
        <v>5</v>
      </c>
      <c r="R41" s="8" t="inlineStr">
        <is>
          <t>AS-026</t>
        </is>
      </c>
    </row>
    <row r="42">
      <c r="A42" s="8" t="n">
        <v>41</v>
      </c>
      <c r="B42" s="8" t="inlineStr">
        <is>
          <t>P4-5</t>
        </is>
      </c>
      <c r="C42" s="8" t="inlineStr">
        <is>
          <t>ll_registra_datos_correctos_en_hubspot</t>
        </is>
      </c>
      <c r="D42" s="8" t="inlineStr">
        <is>
          <t>Registra correctamente los datos en HubSpot (documento, ID, radicado, correo, teléfono), sin errores.</t>
        </is>
      </c>
      <c r="E42" s="8" t="inlineStr">
        <is>
          <t>No crítico</t>
        </is>
      </c>
      <c r="F42" s="8" t="inlineStr">
        <is>
          <t>Todos</t>
        </is>
      </c>
      <c r="G42" s="8" t="inlineStr">
        <is>
          <t>X</t>
        </is>
      </c>
      <c r="H42" s="8" t="n">
        <v>3</v>
      </c>
      <c r="I42" s="8" t="n">
        <v>3</v>
      </c>
      <c r="J42" s="8" t="n">
        <v>3</v>
      </c>
      <c r="K42" s="8" t="n">
        <v>38</v>
      </c>
      <c r="L42" s="8" t="inlineStr">
        <is>
          <t>X</t>
        </is>
      </c>
      <c r="M42" s="8" t="n">
        <v>0</v>
      </c>
      <c r="N42" s="8" t="inlineStr">
        <is>
          <t>X</t>
        </is>
      </c>
      <c r="O42" s="8" t="n">
        <v>3</v>
      </c>
      <c r="P42" s="8" t="n">
        <v>3</v>
      </c>
      <c r="Q42" s="8" t="n">
        <v>3</v>
      </c>
      <c r="R42" s="8" t="inlineStr">
        <is>
          <t>PV-FR-59</t>
        </is>
      </c>
    </row>
    <row r="43">
      <c r="A43" s="25" t="n">
        <v>42</v>
      </c>
      <c r="B43" s="25" t="inlineStr">
        <is>
          <t>P5-1</t>
        </is>
      </c>
      <c r="C43" s="25" t="inlineStr">
        <is>
          <t>ll_cordial_claro_transmite_confianza_empatia</t>
        </is>
      </c>
      <c r="D43" s="25" t="inlineStr">
        <is>
          <t>Es cordial y claro, y transmite confianza y empatía.</t>
        </is>
      </c>
      <c r="E43" s="25" t="inlineStr">
        <is>
          <t>No crítico</t>
        </is>
      </c>
      <c r="F43" s="25" t="inlineStr">
        <is>
          <t>Todos</t>
        </is>
      </c>
      <c r="G43" s="25" t="inlineStr">
        <is>
          <t>X</t>
        </is>
      </c>
      <c r="H43" s="25" t="n">
        <v>8</v>
      </c>
      <c r="I43" s="25" t="n">
        <v>8</v>
      </c>
      <c r="J43" s="25" t="n">
        <v>8</v>
      </c>
      <c r="K43" s="25" t="n"/>
      <c r="L43" s="25" t="inlineStr">
        <is>
          <t>X</t>
        </is>
      </c>
      <c r="M43" s="25" t="n">
        <v>0</v>
      </c>
      <c r="N43" s="25" t="n"/>
      <c r="O43" s="25" t="n"/>
      <c r="P43" s="25" t="n"/>
      <c r="Q43" s="25" t="n"/>
      <c r="R43" s="25" t="inlineStr">
        <is>
          <t>AS-026</t>
        </is>
      </c>
    </row>
    <row r="44">
      <c r="A44" s="25" t="n">
        <v>43</v>
      </c>
      <c r="B44" s="25" t="inlineStr">
        <is>
          <t>P5-2</t>
        </is>
      </c>
      <c r="C44" s="25" t="inlineStr">
        <is>
          <t>ll_escucha_sin_interrumpir_no_discute</t>
        </is>
      </c>
      <c r="D44" s="25" t="inlineStr">
        <is>
          <t>Escucha sin interrumpir y no discute.</t>
        </is>
      </c>
      <c r="E44" s="25" t="inlineStr">
        <is>
          <t>No crítico</t>
        </is>
      </c>
      <c r="F44" s="25" t="inlineStr">
        <is>
          <t>Todos</t>
        </is>
      </c>
      <c r="G44" s="25" t="inlineStr">
        <is>
          <t>X</t>
        </is>
      </c>
      <c r="H44" s="25" t="n">
        <v>6</v>
      </c>
      <c r="I44" s="25" t="n">
        <v>6</v>
      </c>
      <c r="J44" s="25" t="n">
        <v>6</v>
      </c>
      <c r="K44" s="25" t="n"/>
      <c r="L44" s="25" t="inlineStr">
        <is>
          <t>X</t>
        </is>
      </c>
      <c r="M44" s="25" t="n">
        <v>0</v>
      </c>
      <c r="N44" s="25" t="n"/>
      <c r="O44" s="25" t="n"/>
      <c r="P44" s="25" t="n"/>
      <c r="Q44" s="25" t="n"/>
      <c r="R44" s="25" t="inlineStr">
        <is>
          <t>AS-026</t>
        </is>
      </c>
    </row>
    <row r="45">
      <c r="A45" s="25" t="n">
        <v>44</v>
      </c>
      <c r="B45" s="25" t="inlineStr">
        <is>
          <t>P5-3</t>
        </is>
      </c>
      <c r="C45" s="25" t="inlineStr">
        <is>
          <t>ll_cierra_con_compromiso_y_proximo_paso</t>
        </is>
      </c>
      <c r="D45" s="25" t="inlineStr">
        <is>
          <t>Cierra con un compromiso y el próximo paso acordado.</t>
        </is>
      </c>
      <c r="E45" s="25" t="inlineStr">
        <is>
          <t>No crítico</t>
        </is>
      </c>
      <c r="F45" s="25" t="inlineStr">
        <is>
          <t>Todos</t>
        </is>
      </c>
      <c r="G45" s="25" t="inlineStr">
        <is>
          <t>X</t>
        </is>
      </c>
      <c r="H45" s="25" t="n">
        <v>9</v>
      </c>
      <c r="I45" s="25" t="n">
        <v>9</v>
      </c>
      <c r="J45" s="25" t="n">
        <v>9</v>
      </c>
      <c r="K45" s="25" t="n"/>
      <c r="L45" s="25" t="inlineStr">
        <is>
          <t>X</t>
        </is>
      </c>
      <c r="M45" s="25" t="n">
        <v>0</v>
      </c>
      <c r="N45" s="25" t="n"/>
      <c r="O45" s="25" t="n"/>
      <c r="P45" s="25" t="n"/>
      <c r="Q45" s="25" t="n"/>
      <c r="R45" s="25" t="inlineStr">
        <is>
          <t>AS-026</t>
        </is>
      </c>
    </row>
    <row r="46">
      <c r="A46" s="25" t="n">
        <v>45</v>
      </c>
      <c r="B46" s="25" t="inlineStr">
        <is>
          <t>P5-4</t>
        </is>
      </c>
      <c r="C46" s="25" t="inlineStr">
        <is>
          <t>ll_usa_bien_el_tiempo</t>
        </is>
      </c>
      <c r="D46" s="25" t="inlineStr">
        <is>
          <t>Usa bien el tiempo de la interacción.</t>
        </is>
      </c>
      <c r="E46" s="25" t="inlineStr">
        <is>
          <t>No crítico</t>
        </is>
      </c>
      <c r="F46" s="25" t="inlineStr">
        <is>
          <t>Todos</t>
        </is>
      </c>
      <c r="G46" s="25" t="inlineStr">
        <is>
          <t>X</t>
        </is>
      </c>
      <c r="H46" s="25" t="n">
        <v>5</v>
      </c>
      <c r="I46" s="25" t="n">
        <v>5</v>
      </c>
      <c r="J46" s="25" t="n">
        <v>5</v>
      </c>
      <c r="K46" s="25" t="n"/>
      <c r="L46" s="25" t="inlineStr">
        <is>
          <t>X</t>
        </is>
      </c>
      <c r="M46" s="25" t="n">
        <v>0</v>
      </c>
      <c r="N46" s="25" t="n"/>
      <c r="O46" s="25" t="n"/>
      <c r="P46" s="25" t="n"/>
      <c r="Q46" s="25" t="n"/>
      <c r="R46" s="25" t="inlineStr">
        <is>
          <t>AS-026</t>
        </is>
      </c>
    </row>
    <row r="47">
      <c r="A47" s="25" t="n">
        <v>46</v>
      </c>
      <c r="B47" s="25" t="inlineStr">
        <is>
          <t>LL-1</t>
        </is>
      </c>
      <c r="C47" s="25" t="inlineStr">
        <is>
          <t>ll_se_presenta_al_abrir</t>
        </is>
      </c>
      <c r="D47" s="25" t="inlineStr">
        <is>
          <t>Se presenta al abrir la llamada.</t>
        </is>
      </c>
      <c r="E47" s="25" t="inlineStr">
        <is>
          <t>No crítico</t>
        </is>
      </c>
      <c r="F47" s="25" t="inlineStr">
        <is>
          <t>Todos</t>
        </is>
      </c>
      <c r="G47" s="25" t="inlineStr">
        <is>
          <t>X</t>
        </is>
      </c>
      <c r="H47" s="25" t="n">
        <v>1</v>
      </c>
      <c r="I47" s="25" t="n">
        <v>1</v>
      </c>
      <c r="J47" s="25" t="n">
        <v>1</v>
      </c>
      <c r="K47" s="25" t="n"/>
      <c r="L47" s="25" t="inlineStr">
        <is>
          <t>X</t>
        </is>
      </c>
      <c r="M47" s="25" t="n">
        <v>0</v>
      </c>
      <c r="N47" s="25" t="n"/>
      <c r="O47" s="25" t="n"/>
      <c r="P47" s="25" t="n"/>
      <c r="Q47" s="25" t="n"/>
      <c r="R47" s="25" t="inlineStr">
        <is>
          <t>AS-026</t>
        </is>
      </c>
    </row>
    <row r="48">
      <c r="A48" s="8" t="n">
        <v>47</v>
      </c>
      <c r="B48" s="8" t="inlineStr">
        <is>
          <t>LL-2</t>
        </is>
      </c>
      <c r="C48" s="8" t="inlineStr">
        <is>
          <t>ll_maneja_bien_la_espera</t>
        </is>
      </c>
      <c r="D48" s="8" t="inlineStr">
        <is>
          <t>Maneja bien la espera (informa y retoma).</t>
        </is>
      </c>
      <c r="E48" s="8" t="inlineStr">
        <is>
          <t>No crítico</t>
        </is>
      </c>
      <c r="F48" s="8" t="inlineStr">
        <is>
          <t>Todos</t>
        </is>
      </c>
      <c r="G48" s="8" t="inlineStr">
        <is>
          <t>X</t>
        </is>
      </c>
      <c r="H48" s="8" t="n">
        <v>1</v>
      </c>
      <c r="I48" s="8" t="n">
        <v>1</v>
      </c>
      <c r="J48" s="8" t="n">
        <v>1</v>
      </c>
      <c r="K48" s="8" t="n">
        <v>48</v>
      </c>
      <c r="L48" s="8" t="inlineStr">
        <is>
          <t>X</t>
        </is>
      </c>
      <c r="M48" s="8" t="n">
        <v>0</v>
      </c>
      <c r="N48" s="8" t="inlineStr">
        <is>
          <t>X</t>
        </is>
      </c>
      <c r="O48" s="8" t="n">
        <v>1</v>
      </c>
      <c r="P48" s="8" t="n">
        <v>1</v>
      </c>
      <c r="Q48" s="8" t="n">
        <v>1</v>
      </c>
      <c r="R48" s="8" t="inlineStr">
        <is>
          <t>AS-026</t>
        </is>
      </c>
    </row>
    <row r="49">
      <c r="A49" s="25" t="n">
        <v>48</v>
      </c>
      <c r="B49" s="25" t="inlineStr">
        <is>
          <t>LL-3</t>
        </is>
      </c>
      <c r="C49" s="25" t="inlineStr">
        <is>
          <t>ll_resume_acuerdos_al_cerrar</t>
        </is>
      </c>
      <c r="D49" s="25" t="inlineStr">
        <is>
          <t>Resume los acuerdos al cerrar.</t>
        </is>
      </c>
      <c r="E49" s="25" t="inlineStr">
        <is>
          <t>No crítico</t>
        </is>
      </c>
      <c r="F49" s="25" t="inlineStr">
        <is>
          <t>Todos</t>
        </is>
      </c>
      <c r="G49" s="25" t="inlineStr">
        <is>
          <t>X</t>
        </is>
      </c>
      <c r="H49" s="25" t="n">
        <v>2</v>
      </c>
      <c r="I49" s="25" t="n">
        <v>2</v>
      </c>
      <c r="J49" s="25" t="n">
        <v>2</v>
      </c>
      <c r="K49" s="25" t="n"/>
      <c r="L49" s="25" t="inlineStr">
        <is>
          <t>X</t>
        </is>
      </c>
      <c r="M49" s="25" t="n">
        <v>0</v>
      </c>
      <c r="N49" s="25" t="n"/>
      <c r="O49" s="25" t="n"/>
      <c r="P49" s="25" t="n"/>
      <c r="Q49" s="25" t="n"/>
      <c r="R49" s="25" t="inlineStr">
        <is>
          <t>AS-026</t>
        </is>
      </c>
    </row>
    <row r="50">
      <c r="G50" s="4" t="inlineStr">
        <is>
          <t>Total</t>
        </is>
      </c>
      <c r="H50" s="4">
        <f>SUM(H2:H49)</f>
        <v/>
      </c>
      <c r="I50" s="4">
        <f>SUM(I2:I49)</f>
        <v/>
      </c>
      <c r="J50" s="4">
        <f>SUM(J2:J49)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52" customWidth="1" min="3" max="3"/>
    <col width="70" customWidth="1" min="4" max="4"/>
    <col width="11" customWidth="1" min="5" max="5"/>
    <col width="18" customWidth="1" min="6" max="6"/>
    <col width="5" customWidth="1" min="7" max="7"/>
    <col width="10" customWidth="1" min="8" max="8"/>
    <col width="10" customWidth="1" min="9" max="9"/>
    <col width="10" customWidth="1" min="10" max="10"/>
    <col width="11" customWidth="1" min="11" max="11"/>
    <col width="5" customWidth="1" min="12" max="12"/>
    <col width="7" customWidth="1" min="13" max="13"/>
    <col width="5" customWidth="1" min="14" max="14"/>
    <col width="10" customWidth="1" min="15" max="15"/>
    <col width="10" customWidth="1" min="16" max="16"/>
    <col width="10" customWidth="1" min="17" max="17"/>
    <col width="28" customWidth="1" min="18" max="18"/>
  </cols>
  <sheetData>
    <row r="1" ht="45" customHeight="1">
      <c r="A1" s="6" t="inlineStr">
        <is>
          <t>#</t>
        </is>
      </c>
      <c r="B1" s="6" t="inlineStr">
        <is>
          <t>Código</t>
        </is>
      </c>
      <c r="C1" s="6" t="inlineStr">
        <is>
          <t>Propiedad</t>
        </is>
      </c>
      <c r="D1" s="6" t="inlineStr">
        <is>
          <t>Descripción</t>
        </is>
      </c>
      <c r="E1" s="6" t="inlineStr">
        <is>
          <t>Tipo</t>
        </is>
      </c>
      <c r="F1" s="6" t="inlineStr">
        <is>
          <t>Aplica a</t>
        </is>
      </c>
      <c r="G1" s="6" t="inlineStr">
        <is>
          <t>SI</t>
        </is>
      </c>
      <c r="H1" s="6" t="inlineStr">
        <is>
          <t>Peso SI Comercial</t>
        </is>
      </c>
      <c r="I1" s="6" t="inlineStr">
        <is>
          <t>Peso SI Cob. consulta</t>
        </is>
      </c>
      <c r="J1" s="6" t="inlineStr">
        <is>
          <t>Peso SI Cob. campaña</t>
        </is>
      </c>
      <c r="K1" s="6" t="inlineStr">
        <is>
          <t>Guion donde reposa (#)</t>
        </is>
      </c>
      <c r="L1" s="6" t="inlineStr">
        <is>
          <t>NO</t>
        </is>
      </c>
      <c r="M1" s="6" t="inlineStr">
        <is>
          <t>Peso NO</t>
        </is>
      </c>
      <c r="N1" s="6" t="inlineStr">
        <is>
          <t>N/A</t>
        </is>
      </c>
      <c r="O1" s="6" t="inlineStr">
        <is>
          <t>Peso N/A Comercial</t>
        </is>
      </c>
      <c r="P1" s="6" t="inlineStr">
        <is>
          <t>Peso N/A Cob. consulta</t>
        </is>
      </c>
      <c r="Q1" s="6" t="inlineStr">
        <is>
          <t>Peso N/A Cob. campaña</t>
        </is>
      </c>
      <c r="R1" s="6" t="inlineStr">
        <is>
          <t>Fuente</t>
        </is>
      </c>
    </row>
    <row r="2">
      <c r="A2" s="20" t="n">
        <v>1</v>
      </c>
      <c r="B2" s="20" t="inlineStr">
        <is>
          <t>HD-1</t>
        </is>
      </c>
      <c r="C2" s="20" t="inlineStr">
        <is>
          <t>co_hd_preguntas_seguridad_antes_de_informar</t>
        </is>
      </c>
      <c r="D2" s="20" t="inlineStr">
        <is>
          <t>Realiza las preguntas de seguridad (filtro de titularidad) ANTES de dar cualquier información del crédito, la obligación, el saldo o el recibo de pago.</t>
        </is>
      </c>
      <c r="E2" s="20" t="inlineStr">
        <is>
          <t>Control HD</t>
        </is>
      </c>
      <c r="F2" s="20" t="inlineStr">
        <is>
          <t>Todos</t>
        </is>
      </c>
      <c r="G2" s="20" t="inlineStr">
        <is>
          <t>X</t>
        </is>
      </c>
      <c r="H2" s="20" t="n">
        <v>0</v>
      </c>
      <c r="I2" s="20" t="n">
        <v>0</v>
      </c>
      <c r="J2" s="20" t="n">
        <v>0</v>
      </c>
      <c r="K2" s="20" t="n"/>
      <c r="L2" s="20" t="inlineStr">
        <is>
          <t>X</t>
        </is>
      </c>
      <c r="M2" s="20" t="n">
        <v>0</v>
      </c>
      <c r="N2" s="20" t="n"/>
      <c r="O2" s="20" t="n"/>
      <c r="P2" s="20" t="n"/>
      <c r="Q2" s="20" t="n"/>
      <c r="R2" s="20" t="inlineStr">
        <is>
          <t>PV-IN-04 4.7</t>
        </is>
      </c>
    </row>
    <row r="3">
      <c r="A3" s="20" t="n">
        <v>2</v>
      </c>
      <c r="B3" s="20" t="inlineStr">
        <is>
          <t>HD-2</t>
        </is>
      </c>
      <c r="C3" s="20" t="inlineStr">
        <is>
          <t>co_hd_preguntas_seguridad_completas</t>
        </is>
      </c>
      <c r="D3" s="20" t="inlineStr">
        <is>
          <t>Hace las preguntas de seguridad COMPLETAS, según el protocolo vigente (no omite ni resume preguntas).</t>
        </is>
      </c>
      <c r="E3" s="20" t="inlineStr">
        <is>
          <t>Control HD</t>
        </is>
      </c>
      <c r="F3" s="20" t="inlineStr">
        <is>
          <t>Todos</t>
        </is>
      </c>
      <c r="G3" s="20" t="inlineStr">
        <is>
          <t>X</t>
        </is>
      </c>
      <c r="H3" s="20" t="n">
        <v>0</v>
      </c>
      <c r="I3" s="20" t="n">
        <v>0</v>
      </c>
      <c r="J3" s="20" t="n">
        <v>0</v>
      </c>
      <c r="K3" s="20" t="n"/>
      <c r="L3" s="20" t="inlineStr">
        <is>
          <t>X</t>
        </is>
      </c>
      <c r="M3" s="20" t="n">
        <v>0</v>
      </c>
      <c r="N3" s="20" t="n"/>
      <c r="O3" s="20" t="n"/>
      <c r="P3" s="20" t="n"/>
      <c r="Q3" s="20" t="n"/>
      <c r="R3" s="20" t="inlineStr">
        <is>
          <t>PV-IN-04 4.7</t>
        </is>
      </c>
    </row>
    <row r="4">
      <c r="A4" s="20" t="n">
        <v>3</v>
      </c>
      <c r="B4" s="20" t="inlineStr">
        <is>
          <t>HD-3</t>
        </is>
      </c>
      <c r="C4" s="20" t="inlineStr">
        <is>
          <t>co_hd_no_informa_a_terceros_no_autorizados</t>
        </is>
      </c>
      <c r="D4" s="20" t="inlineStr">
        <is>
          <t>No entrega información a terceros no autorizados (familiares, codeudores, referencias, IES sin autorización).</t>
        </is>
      </c>
      <c r="E4" s="20" t="inlineStr">
        <is>
          <t>Control HD</t>
        </is>
      </c>
      <c r="F4" s="20" t="inlineStr">
        <is>
          <t>Todos</t>
        </is>
      </c>
      <c r="G4" s="20" t="inlineStr">
        <is>
          <t>X</t>
        </is>
      </c>
      <c r="H4" s="20" t="n">
        <v>0</v>
      </c>
      <c r="I4" s="20" t="n">
        <v>0</v>
      </c>
      <c r="J4" s="20" t="n">
        <v>0</v>
      </c>
      <c r="K4" s="20" t="n"/>
      <c r="L4" s="20" t="inlineStr">
        <is>
          <t>X</t>
        </is>
      </c>
      <c r="M4" s="20" t="n">
        <v>0</v>
      </c>
      <c r="N4" s="20" t="n"/>
      <c r="O4" s="20" t="n"/>
      <c r="P4" s="20" t="n"/>
      <c r="Q4" s="20" t="n"/>
      <c r="R4" s="20" t="inlineStr">
        <is>
          <t>PV-IN-04 4.7 · Ley 1581 de 2012</t>
        </is>
      </c>
    </row>
    <row r="5">
      <c r="A5" s="20" t="n">
        <v>4</v>
      </c>
      <c r="B5" s="20" t="inlineStr">
        <is>
          <t>HD-4</t>
        </is>
      </c>
      <c r="C5" s="20" t="inlineStr">
        <is>
          <t>co_hd_protege_datos_y_usa_canales_oficiales</t>
        </is>
      </c>
      <c r="D5" s="20" t="inlineStr">
        <is>
          <t>Protege los datos: no expone datos completos del titular en el canal y no pide ni envía documentos por canales no oficiales.</t>
        </is>
      </c>
      <c r="E5" s="20" t="inlineStr">
        <is>
          <t>Control HD</t>
        </is>
      </c>
      <c r="F5" s="20" t="inlineStr">
        <is>
          <t>Todos</t>
        </is>
      </c>
      <c r="G5" s="20" t="inlineStr">
        <is>
          <t>X</t>
        </is>
      </c>
      <c r="H5" s="20" t="n">
        <v>0</v>
      </c>
      <c r="I5" s="20" t="n">
        <v>0</v>
      </c>
      <c r="J5" s="20" t="n">
        <v>0</v>
      </c>
      <c r="K5" s="20" t="n"/>
      <c r="L5" s="20" t="inlineStr">
        <is>
          <t>X</t>
        </is>
      </c>
      <c r="M5" s="20" t="n">
        <v>0</v>
      </c>
      <c r="N5" s="20" t="n"/>
      <c r="O5" s="20" t="n"/>
      <c r="P5" s="20" t="n"/>
      <c r="Q5" s="20" t="n"/>
      <c r="R5" s="20" t="inlineStr">
        <is>
          <t>Ley 1581 de 2012</t>
        </is>
      </c>
    </row>
    <row r="6">
      <c r="A6" s="20" t="n">
        <v>5</v>
      </c>
      <c r="B6" s="20" t="inlineStr">
        <is>
          <t>HD-5</t>
        </is>
      </c>
      <c r="C6" s="20" t="inlineStr">
        <is>
          <t>co_hd_respeta_autorizacion_de_contacto</t>
        </is>
      </c>
      <c r="D6" s="20" t="inlineStr">
        <is>
          <t>Respeta la autorización de tratamiento de datos y contacta solo por los canales que el asociado autorizó.</t>
        </is>
      </c>
      <c r="E6" s="20" t="inlineStr">
        <is>
          <t>Control HD</t>
        </is>
      </c>
      <c r="F6" s="20" t="inlineStr">
        <is>
          <t>Todos</t>
        </is>
      </c>
      <c r="G6" s="20" t="inlineStr">
        <is>
          <t>X</t>
        </is>
      </c>
      <c r="H6" s="20" t="n">
        <v>0</v>
      </c>
      <c r="I6" s="20" t="n">
        <v>0</v>
      </c>
      <c r="J6" s="20" t="n">
        <v>0</v>
      </c>
      <c r="K6" s="20" t="n"/>
      <c r="L6" s="20" t="inlineStr">
        <is>
          <t>X</t>
        </is>
      </c>
      <c r="M6" s="20" t="n">
        <v>0</v>
      </c>
      <c r="N6" s="20" t="n"/>
      <c r="O6" s="20" t="n"/>
      <c r="P6" s="20" t="n"/>
      <c r="Q6" s="20" t="n"/>
      <c r="R6" s="20" t="inlineStr">
        <is>
          <t>Ley 1581 de 2012 · Ley 2300 de 2023</t>
        </is>
      </c>
    </row>
    <row r="7">
      <c r="A7" s="20" t="n">
        <v>6</v>
      </c>
      <c r="B7" s="20" t="inlineStr">
        <is>
          <t>ECU-1</t>
        </is>
      </c>
      <c r="C7" s="20" t="inlineStr">
        <is>
          <t>co_ecu_informacion_correcta_y_completa</t>
        </is>
      </c>
      <c r="D7" s="20" t="inlineStr">
        <is>
          <t>Da información correcta y completa (requisitos, documentos, condiciones, estado del crédito o de la obligación).</t>
        </is>
      </c>
      <c r="E7" s="20" t="inlineStr">
        <is>
          <t>ECU</t>
        </is>
      </c>
      <c r="F7" s="20" t="inlineStr">
        <is>
          <t>Todos</t>
        </is>
      </c>
      <c r="G7" s="20" t="inlineStr">
        <is>
          <t>X</t>
        </is>
      </c>
      <c r="H7" s="20" t="n">
        <v>0</v>
      </c>
      <c r="I7" s="20" t="n">
        <v>0</v>
      </c>
      <c r="J7" s="20" t="n">
        <v>0</v>
      </c>
      <c r="K7" s="20" t="n"/>
      <c r="L7" s="20" t="inlineStr">
        <is>
          <t>X</t>
        </is>
      </c>
      <c r="M7" s="20" t="n">
        <v>0</v>
      </c>
      <c r="N7" s="20" t="n"/>
      <c r="O7" s="20" t="n"/>
      <c r="P7" s="20" t="n"/>
      <c r="Q7" s="20" t="n"/>
      <c r="R7" s="20" t="inlineStr">
        <is>
          <t>PV-PR-09 6.3</t>
        </is>
      </c>
    </row>
    <row r="8">
      <c r="A8" s="20" t="n">
        <v>7</v>
      </c>
      <c r="B8" s="20" t="inlineStr">
        <is>
          <t>ECU-2</t>
        </is>
      </c>
      <c r="C8" s="20" t="inlineStr">
        <is>
          <t>co_ecu_trato_respetuoso</t>
        </is>
      </c>
      <c r="D8" s="20" t="inlineStr">
        <is>
          <t>Trata al asociado con respeto (sin maltrato ni trato inadecuado).</t>
        </is>
      </c>
      <c r="E8" s="20" t="inlineStr">
        <is>
          <t>ECU</t>
        </is>
      </c>
      <c r="F8" s="20" t="inlineStr">
        <is>
          <t>Todos</t>
        </is>
      </c>
      <c r="G8" s="20" t="inlineStr">
        <is>
          <t>X</t>
        </is>
      </c>
      <c r="H8" s="20" t="n">
        <v>0</v>
      </c>
      <c r="I8" s="20" t="n">
        <v>0</v>
      </c>
      <c r="J8" s="20" t="n">
        <v>0</v>
      </c>
      <c r="K8" s="20" t="n"/>
      <c r="L8" s="20" t="inlineStr">
        <is>
          <t>X</t>
        </is>
      </c>
      <c r="M8" s="20" t="n">
        <v>0</v>
      </c>
      <c r="N8" s="20" t="n"/>
      <c r="O8" s="20" t="n"/>
      <c r="P8" s="20" t="n"/>
      <c r="Q8" s="20" t="n"/>
      <c r="R8" s="20" t="inlineStr">
        <is>
          <t>PV-IN-04 4.8</t>
        </is>
      </c>
    </row>
    <row r="9">
      <c r="A9" s="20" t="n">
        <v>8</v>
      </c>
      <c r="B9" s="20" t="inlineStr">
        <is>
          <t>ECU-3</t>
        </is>
      </c>
      <c r="C9" s="20" t="inlineStr">
        <is>
          <t>co_ecu_da_respuesta_y_cierre_a_solicitudes</t>
        </is>
      </c>
      <c r="D9" s="20" t="inlineStr">
        <is>
          <t>Da respuesta y cierre a toda solicitud o compromiso con el asociado (no abandona el caso ni deja sin respuesta un mensaje).</t>
        </is>
      </c>
      <c r="E9" s="20" t="inlineStr">
        <is>
          <t>ECU</t>
        </is>
      </c>
      <c r="F9" s="20" t="inlineStr">
        <is>
          <t>Todos</t>
        </is>
      </c>
      <c r="G9" s="20" t="inlineStr">
        <is>
          <t>X</t>
        </is>
      </c>
      <c r="H9" s="20" t="n">
        <v>0</v>
      </c>
      <c r="I9" s="20" t="n">
        <v>0</v>
      </c>
      <c r="J9" s="20" t="n">
        <v>0</v>
      </c>
      <c r="K9" s="20" t="n"/>
      <c r="L9" s="20" t="inlineStr">
        <is>
          <t>X</t>
        </is>
      </c>
      <c r="M9" s="20" t="n">
        <v>0</v>
      </c>
      <c r="N9" s="20" t="n"/>
      <c r="O9" s="20" t="n"/>
      <c r="P9" s="20" t="n"/>
      <c r="Q9" s="20" t="n"/>
      <c r="R9" s="20" t="inlineStr">
        <is>
          <t>PV-PR-09 6.2</t>
        </is>
      </c>
    </row>
    <row r="10">
      <c r="A10" s="20" t="n">
        <v>9</v>
      </c>
      <c r="B10" s="20" t="inlineStr">
        <is>
          <t>ECN-1</t>
        </is>
      </c>
      <c r="C10" s="20" t="inlineStr">
        <is>
          <t>co_ecn_primer_contacto_dentro_de_sla</t>
        </is>
      </c>
      <c r="D10" s="20" t="inlineStr">
        <is>
          <t>Realiza el primer contacto con el lead dentro del SLA (3 h hábiles desde la asignación).</t>
        </is>
      </c>
      <c r="E10" s="20" t="inlineStr">
        <is>
          <t>ECN</t>
        </is>
      </c>
      <c r="F10" s="20" t="inlineStr">
        <is>
          <t>Comercial</t>
        </is>
      </c>
      <c r="G10" s="20" t="inlineStr">
        <is>
          <t>X</t>
        </is>
      </c>
      <c r="H10" s="20" t="n">
        <v>0</v>
      </c>
      <c r="I10" s="20" t="n"/>
      <c r="J10" s="20" t="n"/>
      <c r="K10" s="20" t="n"/>
      <c r="L10" s="20" t="inlineStr">
        <is>
          <t>X</t>
        </is>
      </c>
      <c r="M10" s="20" t="n">
        <v>0</v>
      </c>
      <c r="N10" s="20" t="inlineStr">
        <is>
          <t>X</t>
        </is>
      </c>
      <c r="O10" s="20" t="n">
        <v>0</v>
      </c>
      <c r="P10" s="20" t="n"/>
      <c r="Q10" s="20" t="n"/>
      <c r="R10" s="20" t="inlineStr">
        <is>
          <t>PV-PR-09 4 y 6.3</t>
        </is>
      </c>
    </row>
    <row r="11">
      <c r="A11" s="20" t="n">
        <v>10</v>
      </c>
      <c r="B11" s="20" t="inlineStr">
        <is>
          <t>ECN-2</t>
        </is>
      </c>
      <c r="C11" s="20" t="inlineStr">
        <is>
          <t>co_ecn_descalifica_con_intentos_y_motivo</t>
        </is>
      </c>
      <c r="D11" s="20" t="inlineStr">
        <is>
          <t>Descalifica el lead solo con los intentos registrados y el motivo que corresponde.</t>
        </is>
      </c>
      <c r="E11" s="20" t="inlineStr">
        <is>
          <t>ECN</t>
        </is>
      </c>
      <c r="F11" s="20" t="inlineStr">
        <is>
          <t>Comercial</t>
        </is>
      </c>
      <c r="G11" s="20" t="inlineStr">
        <is>
          <t>X</t>
        </is>
      </c>
      <c r="H11" s="20" t="n">
        <v>0</v>
      </c>
      <c r="I11" s="20" t="n"/>
      <c r="J11" s="20" t="n"/>
      <c r="K11" s="20" t="n"/>
      <c r="L11" s="20" t="inlineStr">
        <is>
          <t>X</t>
        </is>
      </c>
      <c r="M11" s="20" t="n">
        <v>0</v>
      </c>
      <c r="N11" s="20" t="inlineStr">
        <is>
          <t>X</t>
        </is>
      </c>
      <c r="O11" s="20" t="n">
        <v>0</v>
      </c>
      <c r="P11" s="20" t="n"/>
      <c r="Q11" s="20" t="n"/>
      <c r="R11" s="20" t="inlineStr">
        <is>
          <t>PV-PR-09 6.3</t>
        </is>
      </c>
    </row>
    <row r="12">
      <c r="A12" s="20" t="n">
        <v>11</v>
      </c>
      <c r="B12" s="20" t="inlineStr">
        <is>
          <t>ECN-3</t>
        </is>
      </c>
      <c r="C12" s="20" t="inlineStr">
        <is>
          <t>co_ecn_crea_o_asocia_negocio</t>
        </is>
      </c>
      <c r="D12" s="20" t="inlineStr">
        <is>
          <t>Crea o asocia el negocio cuando la persona decide continuar.</t>
        </is>
      </c>
      <c r="E12" s="20" t="inlineStr">
        <is>
          <t>ECN</t>
        </is>
      </c>
      <c r="F12" s="20" t="inlineStr">
        <is>
          <t>Comercial</t>
        </is>
      </c>
      <c r="G12" s="20" t="inlineStr">
        <is>
          <t>X</t>
        </is>
      </c>
      <c r="H12" s="20" t="n">
        <v>0</v>
      </c>
      <c r="I12" s="20" t="n"/>
      <c r="J12" s="20" t="n"/>
      <c r="K12" s="20" t="n"/>
      <c r="L12" s="20" t="inlineStr">
        <is>
          <t>X</t>
        </is>
      </c>
      <c r="M12" s="20" t="n">
        <v>0</v>
      </c>
      <c r="N12" s="20" t="inlineStr">
        <is>
          <t>X</t>
        </is>
      </c>
      <c r="O12" s="20" t="n">
        <v>0</v>
      </c>
      <c r="P12" s="20" t="n"/>
      <c r="Q12" s="20" t="n"/>
      <c r="R12" s="20" t="inlineStr">
        <is>
          <t>PV-PR-09 6.3</t>
        </is>
      </c>
    </row>
    <row r="13">
      <c r="A13" s="20" t="n">
        <v>12</v>
      </c>
      <c r="B13" s="20" t="inlineStr">
        <is>
          <t>ECN-4</t>
        </is>
      </c>
      <c r="C13" s="20" t="inlineStr">
        <is>
          <t>co_ecn_mueve_etapas_con_evidencia</t>
        </is>
      </c>
      <c r="D13" s="20" t="inlineStr">
        <is>
          <t>Mueve las etapas solo con evidencia (Desembolsado con fecha y referencia).</t>
        </is>
      </c>
      <c r="E13" s="20" t="inlineStr">
        <is>
          <t>ECN</t>
        </is>
      </c>
      <c r="F13" s="20" t="inlineStr">
        <is>
          <t>Comercial</t>
        </is>
      </c>
      <c r="G13" s="20" t="inlineStr">
        <is>
          <t>X</t>
        </is>
      </c>
      <c r="H13" s="20" t="n">
        <v>0</v>
      </c>
      <c r="I13" s="20" t="n"/>
      <c r="J13" s="20" t="n"/>
      <c r="K13" s="20" t="n"/>
      <c r="L13" s="20" t="inlineStr">
        <is>
          <t>X</t>
        </is>
      </c>
      <c r="M13" s="20" t="n">
        <v>0</v>
      </c>
      <c r="N13" s="20" t="inlineStr">
        <is>
          <t>X</t>
        </is>
      </c>
      <c r="O13" s="20" t="n">
        <v>0</v>
      </c>
      <c r="P13" s="20" t="n"/>
      <c r="Q13" s="20" t="n"/>
      <c r="R13" s="20" t="inlineStr">
        <is>
          <t>PV-PR-09 6.4</t>
        </is>
      </c>
    </row>
    <row r="14">
      <c r="A14" s="20" t="n">
        <v>13</v>
      </c>
      <c r="B14" s="20" t="inlineStr">
        <is>
          <t>ECN-5</t>
        </is>
      </c>
      <c r="C14" s="20" t="inlineStr">
        <is>
          <t>co_ecn_deja_estado_proxima_accion_responsable_fecha</t>
        </is>
      </c>
      <c r="D14" s="20" t="inlineStr">
        <is>
          <t>Deja el caso con estado real, próxima acción, responsable y fecha.</t>
        </is>
      </c>
      <c r="E14" s="20" t="inlineStr">
        <is>
          <t>ECN</t>
        </is>
      </c>
      <c r="F14" s="20" t="inlineStr">
        <is>
          <t>Todos</t>
        </is>
      </c>
      <c r="G14" s="20" t="inlineStr">
        <is>
          <t>X</t>
        </is>
      </c>
      <c r="H14" s="20" t="n">
        <v>0</v>
      </c>
      <c r="I14" s="20" t="n">
        <v>0</v>
      </c>
      <c r="J14" s="20" t="n">
        <v>0</v>
      </c>
      <c r="K14" s="20" t="n"/>
      <c r="L14" s="20" t="inlineStr">
        <is>
          <t>X</t>
        </is>
      </c>
      <c r="M14" s="20" t="n">
        <v>0</v>
      </c>
      <c r="N14" s="20" t="n"/>
      <c r="O14" s="20" t="n"/>
      <c r="P14" s="20" t="n"/>
      <c r="Q14" s="20" t="n"/>
      <c r="R14" s="20" t="inlineStr">
        <is>
          <t>PV-PR-09 6.1</t>
        </is>
      </c>
    </row>
    <row r="15">
      <c r="A15" s="20" t="n">
        <v>14</v>
      </c>
      <c r="B15" s="20" t="inlineStr">
        <is>
          <t>ECC-1</t>
        </is>
      </c>
      <c r="C15" s="20" t="inlineStr">
        <is>
          <t>co_ecc_no_promete_condiciones_no_autorizadas</t>
        </is>
      </c>
      <c r="D15" s="20" t="inlineStr">
        <is>
          <t>No promete aprobación, tasa, costo, monto, descuento ni condiciones de pago no autorizados.</t>
        </is>
      </c>
      <c r="E15" s="20" t="inlineStr">
        <is>
          <t>ECC</t>
        </is>
      </c>
      <c r="F15" s="20" t="inlineStr">
        <is>
          <t>Todos</t>
        </is>
      </c>
      <c r="G15" s="20" t="inlineStr">
        <is>
          <t>X</t>
        </is>
      </c>
      <c r="H15" s="20" t="n">
        <v>0</v>
      </c>
      <c r="I15" s="20" t="n">
        <v>0</v>
      </c>
      <c r="J15" s="20" t="n">
        <v>0</v>
      </c>
      <c r="K15" s="20" t="n"/>
      <c r="L15" s="20" t="inlineStr">
        <is>
          <t>X</t>
        </is>
      </c>
      <c r="M15" s="20" t="n">
        <v>0</v>
      </c>
      <c r="N15" s="20" t="n"/>
      <c r="O15" s="20" t="n"/>
      <c r="P15" s="20" t="n"/>
      <c r="Q15" s="20" t="n"/>
      <c r="R15" s="20" t="inlineStr">
        <is>
          <t>Política comercial y de cartera</t>
        </is>
      </c>
    </row>
    <row r="16">
      <c r="A16" s="20" t="n">
        <v>15</v>
      </c>
      <c r="B16" s="20" t="inlineStr">
        <is>
          <t>ECC-2</t>
        </is>
      </c>
      <c r="C16" s="20" t="inlineStr">
        <is>
          <t>co_ecc_no_altera_documentos</t>
        </is>
      </c>
      <c r="D16" s="20" t="inlineStr">
        <is>
          <t>No altera ni manipula documentos.</t>
        </is>
      </c>
      <c r="E16" s="20" t="inlineStr">
        <is>
          <t>ECC</t>
        </is>
      </c>
      <c r="F16" s="20" t="inlineStr">
        <is>
          <t>Todos</t>
        </is>
      </c>
      <c r="G16" s="20" t="inlineStr">
        <is>
          <t>X</t>
        </is>
      </c>
      <c r="H16" s="20" t="n">
        <v>0</v>
      </c>
      <c r="I16" s="20" t="n">
        <v>0</v>
      </c>
      <c r="J16" s="20" t="n">
        <v>0</v>
      </c>
      <c r="K16" s="20" t="n"/>
      <c r="L16" s="20" t="inlineStr">
        <is>
          <t>X</t>
        </is>
      </c>
      <c r="M16" s="20" t="n">
        <v>0</v>
      </c>
      <c r="N16" s="20" t="inlineStr">
        <is>
          <t>X</t>
        </is>
      </c>
      <c r="O16" s="20" t="n">
        <v>0</v>
      </c>
      <c r="P16" s="20" t="n">
        <v>0</v>
      </c>
      <c r="Q16" s="20" t="n">
        <v>0</v>
      </c>
      <c r="R16" s="20" t="inlineStr">
        <is>
          <t>PV-IN-04 4.8</t>
        </is>
      </c>
    </row>
    <row r="17">
      <c r="A17" s="20" t="n">
        <v>16</v>
      </c>
      <c r="B17" s="20" t="inlineStr">
        <is>
          <t>ECC-3</t>
        </is>
      </c>
      <c r="C17" s="20" t="inlineStr">
        <is>
          <t>co_ecc_cobra_con_respeto_y_dentro_de_la_ley</t>
        </is>
      </c>
      <c r="D17" s="20" t="inlineStr">
        <is>
          <t>Cobra con respeto y dentro de la ley: sin intimidar ni presionar, sin informar la deuda a terceros o referencias, y en los horarios y canales permitidos.</t>
        </is>
      </c>
      <c r="E17" s="20" t="inlineStr">
        <is>
          <t>ECC</t>
        </is>
      </c>
      <c r="F17" s="20" t="inlineStr">
        <is>
          <t>Cobranza</t>
        </is>
      </c>
      <c r="G17" s="20" t="inlineStr">
        <is>
          <t>X</t>
        </is>
      </c>
      <c r="H17" s="20" t="n"/>
      <c r="I17" s="20" t="n">
        <v>0</v>
      </c>
      <c r="J17" s="20" t="n">
        <v>0</v>
      </c>
      <c r="K17" s="20" t="n"/>
      <c r="L17" s="20" t="inlineStr">
        <is>
          <t>X</t>
        </is>
      </c>
      <c r="M17" s="20" t="n">
        <v>0</v>
      </c>
      <c r="N17" s="20" t="n"/>
      <c r="O17" s="20" t="n"/>
      <c r="P17" s="20" t="n"/>
      <c r="Q17" s="20" t="n"/>
      <c r="R17" s="20" t="inlineStr">
        <is>
          <t>Ley 2300 de 2023 y Ley 1266 de 2008</t>
        </is>
      </c>
    </row>
    <row r="18">
      <c r="A18" s="8" t="n">
        <v>17</v>
      </c>
      <c r="B18" s="8" t="inlineStr">
        <is>
          <t>P1-1</t>
        </is>
      </c>
      <c r="C18" s="8" t="inlineStr">
        <is>
          <t>co_sigue_cadencia_48h_multicanal</t>
        </is>
      </c>
      <c r="D18" s="8" t="inlineStr">
        <is>
          <t>Sigue la cadencia de 48 h por varios canales (WhatsApp, llamada en franja, último intento con correo y secuencia).</t>
        </is>
      </c>
      <c r="E18" s="8" t="inlineStr">
        <is>
          <t>No crítico</t>
        </is>
      </c>
      <c r="F18" s="8" t="inlineStr">
        <is>
          <t>Comercial</t>
        </is>
      </c>
      <c r="G18" s="8" t="inlineStr">
        <is>
          <t>X</t>
        </is>
      </c>
      <c r="H18" s="8" t="n">
        <v>6</v>
      </c>
      <c r="I18" s="8" t="n"/>
      <c r="J18" s="8" t="n"/>
      <c r="K18" s="8" t="n">
        <v>18</v>
      </c>
      <c r="L18" s="8" t="inlineStr">
        <is>
          <t>X</t>
        </is>
      </c>
      <c r="M18" s="8" t="n">
        <v>0</v>
      </c>
      <c r="N18" s="8" t="inlineStr">
        <is>
          <t>X</t>
        </is>
      </c>
      <c r="O18" s="8" t="n">
        <v>6</v>
      </c>
      <c r="P18" s="8" t="n"/>
      <c r="Q18" s="8" t="n"/>
      <c r="R18" s="8" t="inlineStr">
        <is>
          <t>PV-PR-09 6.3</t>
        </is>
      </c>
    </row>
    <row r="19">
      <c r="A19" s="25" t="n">
        <v>18</v>
      </c>
      <c r="B19" s="25" t="inlineStr">
        <is>
          <t>P1-2</t>
        </is>
      </c>
      <c r="C19" s="25" t="inlineStr">
        <is>
          <t>co_responde_a_tiempo_en_conversacion_activa</t>
        </is>
      </c>
      <c r="D19" s="25" t="inlineStr">
        <is>
          <t>Responde a tiempo en una conversación activa.</t>
        </is>
      </c>
      <c r="E19" s="25" t="inlineStr">
        <is>
          <t>No crítico</t>
        </is>
      </c>
      <c r="F19" s="25" t="inlineStr">
        <is>
          <t>Comercial</t>
        </is>
      </c>
      <c r="G19" s="25" t="inlineStr">
        <is>
          <t>X</t>
        </is>
      </c>
      <c r="H19" s="25" t="n">
        <v>3</v>
      </c>
      <c r="I19" s="25" t="n"/>
      <c r="J19" s="25" t="n"/>
      <c r="K19" s="25" t="n"/>
      <c r="L19" s="25" t="inlineStr">
        <is>
          <t>X</t>
        </is>
      </c>
      <c r="M19" s="25" t="n">
        <v>0</v>
      </c>
      <c r="N19" s="25" t="n"/>
      <c r="O19" s="25" t="n"/>
      <c r="P19" s="25" t="n"/>
      <c r="Q19" s="25" t="n"/>
      <c r="R19" s="25" t="inlineStr">
        <is>
          <t>AS-040</t>
        </is>
      </c>
    </row>
    <row r="20">
      <c r="A20" s="25" t="n">
        <v>19</v>
      </c>
      <c r="B20" s="25" t="inlineStr">
        <is>
          <t>P2-1</t>
        </is>
      </c>
      <c r="C20" s="25" t="inlineStr">
        <is>
          <t>co_revisa_duplicados_e_historial</t>
        </is>
      </c>
      <c r="D20" s="25" t="inlineStr">
        <is>
          <t>Revisa duplicados e historial antes de gestionar.</t>
        </is>
      </c>
      <c r="E20" s="25" t="inlineStr">
        <is>
          <t>No crítico</t>
        </is>
      </c>
      <c r="F20" s="25" t="inlineStr">
        <is>
          <t>Comercial</t>
        </is>
      </c>
      <c r="G20" s="25" t="inlineStr">
        <is>
          <t>X</t>
        </is>
      </c>
      <c r="H20" s="25" t="n">
        <v>2</v>
      </c>
      <c r="I20" s="25" t="n"/>
      <c r="J20" s="25" t="n"/>
      <c r="K20" s="25" t="n"/>
      <c r="L20" s="25" t="inlineStr">
        <is>
          <t>X</t>
        </is>
      </c>
      <c r="M20" s="25" t="n">
        <v>0</v>
      </c>
      <c r="N20" s="25" t="n"/>
      <c r="O20" s="25" t="n"/>
      <c r="P20" s="25" t="n"/>
      <c r="Q20" s="25" t="n"/>
      <c r="R20" s="25" t="inlineStr">
        <is>
          <t>PV-IN-08</t>
        </is>
      </c>
    </row>
    <row r="21">
      <c r="A21" s="25" t="n">
        <v>20</v>
      </c>
      <c r="B21" s="25" t="inlineStr">
        <is>
          <t>P2-2</t>
        </is>
      </c>
      <c r="C21" s="25" t="inlineStr">
        <is>
          <t>co_perfila_el_caso</t>
        </is>
      </c>
      <c r="D21" s="25" t="inlineStr">
        <is>
          <t>Perfila el caso: tipo, línea, ciudad, sede y canal; en educativo, universidad y modalidad.</t>
        </is>
      </c>
      <c r="E21" s="25" t="inlineStr">
        <is>
          <t>No crítico</t>
        </is>
      </c>
      <c r="F21" s="25" t="inlineStr">
        <is>
          <t>Comercial</t>
        </is>
      </c>
      <c r="G21" s="25" t="inlineStr">
        <is>
          <t>X</t>
        </is>
      </c>
      <c r="H21" s="25" t="n">
        <v>3</v>
      </c>
      <c r="I21" s="25" t="n"/>
      <c r="J21" s="25" t="n"/>
      <c r="K21" s="25" t="n"/>
      <c r="L21" s="25" t="inlineStr">
        <is>
          <t>X</t>
        </is>
      </c>
      <c r="M21" s="25" t="n">
        <v>0</v>
      </c>
      <c r="N21" s="25" t="n"/>
      <c r="O21" s="25" t="n"/>
      <c r="P21" s="25" t="n"/>
      <c r="Q21" s="25" t="n"/>
      <c r="R21" s="25" t="inlineStr">
        <is>
          <t>PV-IN-08</t>
        </is>
      </c>
    </row>
    <row r="22">
      <c r="A22" s="8" t="n">
        <v>21</v>
      </c>
      <c r="B22" s="8" t="inlineStr">
        <is>
          <t>P2-3</t>
        </is>
      </c>
      <c r="C22" s="8" t="inlineStr">
        <is>
          <t>co_indaga_que_monto_y_cuando_financiar</t>
        </is>
      </c>
      <c r="D22" s="8" t="inlineStr">
        <is>
          <t>Indaga qué quiere financiar, por qué monto y para cuándo.</t>
        </is>
      </c>
      <c r="E22" s="8" t="inlineStr">
        <is>
          <t>No crítico</t>
        </is>
      </c>
      <c r="F22" s="8" t="inlineStr">
        <is>
          <t>Comercial</t>
        </is>
      </c>
      <c r="G22" s="8" t="inlineStr">
        <is>
          <t>X</t>
        </is>
      </c>
      <c r="H22" s="8" t="n">
        <v>4</v>
      </c>
      <c r="I22" s="8" t="n"/>
      <c r="J22" s="8" t="n"/>
      <c r="K22" s="8" t="n">
        <v>20</v>
      </c>
      <c r="L22" s="8" t="inlineStr">
        <is>
          <t>X</t>
        </is>
      </c>
      <c r="M22" s="8" t="n">
        <v>0</v>
      </c>
      <c r="N22" s="8" t="inlineStr">
        <is>
          <t>X</t>
        </is>
      </c>
      <c r="O22" s="8" t="n">
        <v>4</v>
      </c>
      <c r="P22" s="8" t="n"/>
      <c r="Q22" s="8" t="n"/>
      <c r="R22" s="8" t="inlineStr">
        <is>
          <t>PV-PR-09 6.3</t>
        </is>
      </c>
    </row>
    <row r="23">
      <c r="A23" s="8" t="n">
        <v>22</v>
      </c>
      <c r="B23" s="8" t="inlineStr">
        <is>
          <t>P2-4</t>
        </is>
      </c>
      <c r="C23" s="8" t="inlineStr">
        <is>
          <t>co_resuelve_dudas_y_objeciones_sin_presionar</t>
        </is>
      </c>
      <c r="D23" s="8" t="inlineStr">
        <is>
          <t>Resuelve dudas y objeciones sin presionar.</t>
        </is>
      </c>
      <c r="E23" s="8" t="inlineStr">
        <is>
          <t>No crítico</t>
        </is>
      </c>
      <c r="F23" s="8" t="inlineStr">
        <is>
          <t>Comercial</t>
        </is>
      </c>
      <c r="G23" s="8" t="inlineStr">
        <is>
          <t>X</t>
        </is>
      </c>
      <c r="H23" s="8" t="n">
        <v>4</v>
      </c>
      <c r="I23" s="8" t="n"/>
      <c r="J23" s="8" t="n"/>
      <c r="K23" s="8" t="n">
        <v>20</v>
      </c>
      <c r="L23" s="8" t="inlineStr">
        <is>
          <t>X</t>
        </is>
      </c>
      <c r="M23" s="8" t="n">
        <v>0</v>
      </c>
      <c r="N23" s="8" t="inlineStr">
        <is>
          <t>X</t>
        </is>
      </c>
      <c r="O23" s="8" t="n">
        <v>4</v>
      </c>
      <c r="P23" s="8" t="n"/>
      <c r="Q23" s="8" t="n"/>
      <c r="R23" s="8" t="inlineStr">
        <is>
          <t>AS-026</t>
        </is>
      </c>
    </row>
    <row r="24">
      <c r="A24" s="8" t="n">
        <v>23</v>
      </c>
      <c r="B24" s="8" t="inlineStr">
        <is>
          <t>P2-5</t>
        </is>
      </c>
      <c r="C24" s="8" t="inlineStr">
        <is>
          <t>co_ofrece_valor_adicional_o_alternativa</t>
        </is>
      </c>
      <c r="D24" s="8" t="inlineStr">
        <is>
          <t>Ofrece un valor adicional o una alternativa permitida cuando corresponde.</t>
        </is>
      </c>
      <c r="E24" s="8" t="inlineStr">
        <is>
          <t>No crítico</t>
        </is>
      </c>
      <c r="F24" s="8" t="inlineStr">
        <is>
          <t>Comercial</t>
        </is>
      </c>
      <c r="G24" s="8" t="inlineStr">
        <is>
          <t>X</t>
        </is>
      </c>
      <c r="H24" s="8" t="n">
        <v>2</v>
      </c>
      <c r="I24" s="8" t="n"/>
      <c r="J24" s="8" t="n"/>
      <c r="K24" s="8" t="n">
        <v>20</v>
      </c>
      <c r="L24" s="8" t="inlineStr">
        <is>
          <t>X</t>
        </is>
      </c>
      <c r="M24" s="8" t="n">
        <v>0</v>
      </c>
      <c r="N24" s="8" t="inlineStr">
        <is>
          <t>X</t>
        </is>
      </c>
      <c r="O24" s="8" t="n">
        <v>2</v>
      </c>
      <c r="P24" s="8" t="n"/>
      <c r="Q24" s="8" t="n"/>
      <c r="R24" s="8" t="inlineStr">
        <is>
          <t>PV-PR-09</t>
        </is>
      </c>
    </row>
    <row r="25">
      <c r="A25" s="8" t="n">
        <v>24</v>
      </c>
      <c r="B25" s="8" t="inlineStr">
        <is>
          <t>P3-1</t>
        </is>
      </c>
      <c r="C25" s="8" t="inlineStr">
        <is>
          <t>co_pendientes_con_tarea_responsable_y_fecha</t>
        </is>
      </c>
      <c r="D25" s="8" t="inlineStr">
        <is>
          <t>Cada documento o pendiente tiene tarea, responsable y fecha.</t>
        </is>
      </c>
      <c r="E25" s="8" t="inlineStr">
        <is>
          <t>No crítico</t>
        </is>
      </c>
      <c r="F25" s="8" t="inlineStr">
        <is>
          <t>Comercial</t>
        </is>
      </c>
      <c r="G25" s="8" t="inlineStr">
        <is>
          <t>X</t>
        </is>
      </c>
      <c r="H25" s="8" t="n">
        <v>4</v>
      </c>
      <c r="I25" s="8" t="n"/>
      <c r="J25" s="8" t="n"/>
      <c r="K25" s="8" t="n">
        <v>39</v>
      </c>
      <c r="L25" s="8" t="inlineStr">
        <is>
          <t>X</t>
        </is>
      </c>
      <c r="M25" s="8" t="n">
        <v>0</v>
      </c>
      <c r="N25" s="8" t="inlineStr">
        <is>
          <t>X</t>
        </is>
      </c>
      <c r="O25" s="8" t="n">
        <v>4</v>
      </c>
      <c r="P25" s="8" t="n"/>
      <c r="Q25" s="8" t="n"/>
      <c r="R25" s="8" t="inlineStr">
        <is>
          <t>PV-IN-09</t>
        </is>
      </c>
    </row>
    <row r="26">
      <c r="A26" s="8" t="n">
        <v>25</v>
      </c>
      <c r="B26" s="8" t="inlineStr">
        <is>
          <t>P3-2</t>
        </is>
      </c>
      <c r="C26" s="8" t="inlineStr">
        <is>
          <t>co_escala_estudio_y_gestiona_congelado_48h</t>
        </is>
      </c>
      <c r="D26" s="8" t="inlineStr">
        <is>
          <t>En estudio escala a las 48 h y gestiona el negocio Congelado en 48 h o menos.</t>
        </is>
      </c>
      <c r="E26" s="8" t="inlineStr">
        <is>
          <t>No crítico</t>
        </is>
      </c>
      <c r="F26" s="8" t="inlineStr">
        <is>
          <t>Comercial</t>
        </is>
      </c>
      <c r="G26" s="8" t="inlineStr">
        <is>
          <t>X</t>
        </is>
      </c>
      <c r="H26" s="8" t="n">
        <v>4</v>
      </c>
      <c r="I26" s="8" t="n"/>
      <c r="J26" s="8" t="n"/>
      <c r="K26" s="8" t="n">
        <v>39</v>
      </c>
      <c r="L26" s="8" t="inlineStr">
        <is>
          <t>X</t>
        </is>
      </c>
      <c r="M26" s="8" t="n">
        <v>0</v>
      </c>
      <c r="N26" s="8" t="inlineStr">
        <is>
          <t>X</t>
        </is>
      </c>
      <c r="O26" s="8" t="n">
        <v>4</v>
      </c>
      <c r="P26" s="8" t="n"/>
      <c r="Q26" s="8" t="n"/>
      <c r="R26" s="8" t="inlineStr">
        <is>
          <t>PV-IN-09</t>
        </is>
      </c>
    </row>
    <row r="27">
      <c r="A27" s="8" t="n">
        <v>26</v>
      </c>
      <c r="B27" s="8" t="inlineStr">
        <is>
          <t>P3-3</t>
        </is>
      </c>
      <c r="C27" s="8" t="inlineStr">
        <is>
          <t>co_aprobado_confirma_condiciones_y_sigue_desembolso</t>
        </is>
      </c>
      <c r="D27" s="8" t="inlineStr">
        <is>
          <t>En Aprobado confirma condiciones y aceptación del asociado, y hace seguimiento al desembolso.</t>
        </is>
      </c>
      <c r="E27" s="8" t="inlineStr">
        <is>
          <t>No crítico</t>
        </is>
      </c>
      <c r="F27" s="8" t="inlineStr">
        <is>
          <t>Comercial</t>
        </is>
      </c>
      <c r="G27" s="8" t="inlineStr">
        <is>
          <t>X</t>
        </is>
      </c>
      <c r="H27" s="8" t="n">
        <v>4</v>
      </c>
      <c r="I27" s="8" t="n"/>
      <c r="J27" s="8" t="n"/>
      <c r="K27" s="8" t="n">
        <v>39</v>
      </c>
      <c r="L27" s="8" t="inlineStr">
        <is>
          <t>X</t>
        </is>
      </c>
      <c r="M27" s="8" t="n">
        <v>0</v>
      </c>
      <c r="N27" s="8" t="inlineStr">
        <is>
          <t>X</t>
        </is>
      </c>
      <c r="O27" s="8" t="n">
        <v>4</v>
      </c>
      <c r="P27" s="8" t="n"/>
      <c r="Q27" s="8" t="n"/>
      <c r="R27" s="8" t="inlineStr">
        <is>
          <t>PV-IN-09</t>
        </is>
      </c>
    </row>
    <row r="28">
      <c r="A28" s="8" t="n">
        <v>27</v>
      </c>
      <c r="B28" s="8" t="inlineStr">
        <is>
          <t>P3-4</t>
        </is>
      </c>
      <c r="C28" s="8" t="inlineStr">
        <is>
          <t>co_usa_motivo_correcto_al_descalificar</t>
        </is>
      </c>
      <c r="D28" s="8" t="inlineStr">
        <is>
          <t>Usa el motivo correcto al descalificar un lead o descartar un negocio.</t>
        </is>
      </c>
      <c r="E28" s="8" t="inlineStr">
        <is>
          <t>No crítico</t>
        </is>
      </c>
      <c r="F28" s="8" t="inlineStr">
        <is>
          <t>Comercial</t>
        </is>
      </c>
      <c r="G28" s="8" t="inlineStr">
        <is>
          <t>X</t>
        </is>
      </c>
      <c r="H28" s="8" t="n">
        <v>2</v>
      </c>
      <c r="I28" s="8" t="n"/>
      <c r="J28" s="8" t="n"/>
      <c r="K28" s="8" t="n">
        <v>39</v>
      </c>
      <c r="L28" s="8" t="inlineStr">
        <is>
          <t>X</t>
        </is>
      </c>
      <c r="M28" s="8" t="n">
        <v>0</v>
      </c>
      <c r="N28" s="8" t="inlineStr">
        <is>
          <t>X</t>
        </is>
      </c>
      <c r="O28" s="8" t="n">
        <v>2</v>
      </c>
      <c r="P28" s="8" t="n"/>
      <c r="Q28" s="8" t="n"/>
      <c r="R28" s="8" t="inlineStr">
        <is>
          <t>PV-IN-08 / PV-IN-09</t>
        </is>
      </c>
    </row>
    <row r="29">
      <c r="A29" s="8" t="n">
        <v>28</v>
      </c>
      <c r="B29" s="8" t="inlineStr">
        <is>
          <t>P3-5</t>
        </is>
      </c>
      <c r="C29" s="8" t="inlineStr">
        <is>
          <t>co_postventa_informa_pagos_y_registra_ticket</t>
        </is>
      </c>
      <c r="D29" s="8" t="inlineStr">
        <is>
          <t>En postventa informa fecha y medios de pago y canales oficiales, y registra novedades en ticket.</t>
        </is>
      </c>
      <c r="E29" s="8" t="inlineStr">
        <is>
          <t>No crítico</t>
        </is>
      </c>
      <c r="F29" s="8" t="inlineStr">
        <is>
          <t>Comercial</t>
        </is>
      </c>
      <c r="G29" s="8" t="inlineStr">
        <is>
          <t>X</t>
        </is>
      </c>
      <c r="H29" s="8" t="n">
        <v>2</v>
      </c>
      <c r="I29" s="8" t="n"/>
      <c r="J29" s="8" t="n"/>
      <c r="K29" s="8" t="n">
        <v>39</v>
      </c>
      <c r="L29" s="8" t="inlineStr">
        <is>
          <t>X</t>
        </is>
      </c>
      <c r="M29" s="8" t="n">
        <v>0</v>
      </c>
      <c r="N29" s="8" t="inlineStr">
        <is>
          <t>X</t>
        </is>
      </c>
      <c r="O29" s="8" t="n">
        <v>2</v>
      </c>
      <c r="P29" s="8" t="n"/>
      <c r="Q29" s="8" t="n"/>
      <c r="R29" s="8" t="inlineStr">
        <is>
          <t>PV-IN-05</t>
        </is>
      </c>
    </row>
    <row r="30">
      <c r="A30" s="25" t="n">
        <v>29</v>
      </c>
      <c r="B30" s="25" t="inlineStr">
        <is>
          <t>CB-1</t>
        </is>
      </c>
      <c r="C30" s="25" t="inlineStr">
        <is>
          <t>co_informa_obligacion_correcta_y_vigente</t>
        </is>
      </c>
      <c r="D30" s="25" t="inlineStr">
        <is>
          <t>Da información correcta, completa y vigente de la obligación: valor a pagar, fecha límite, referencia o recibo y medios de pago oficiales.</t>
        </is>
      </c>
      <c r="E30" s="25" t="inlineStr">
        <is>
          <t>No crítico</t>
        </is>
      </c>
      <c r="F30" s="25" t="inlineStr">
        <is>
          <t>Cobranza</t>
        </is>
      </c>
      <c r="G30" s="25" t="inlineStr">
        <is>
          <t>X</t>
        </is>
      </c>
      <c r="H30" s="25" t="n"/>
      <c r="I30" s="25" t="n">
        <v>10</v>
      </c>
      <c r="J30" s="25" t="n">
        <v>10</v>
      </c>
      <c r="K30" s="25" t="n"/>
      <c r="L30" s="25" t="inlineStr">
        <is>
          <t>X</t>
        </is>
      </c>
      <c r="M30" s="25" t="n">
        <v>0</v>
      </c>
      <c r="N30" s="25" t="n"/>
      <c r="O30" s="25" t="n"/>
      <c r="P30" s="25" t="n"/>
      <c r="Q30" s="25" t="n"/>
      <c r="R30" s="25" t="inlineStr">
        <is>
          <t>Política de cartera</t>
        </is>
      </c>
    </row>
    <row r="31">
      <c r="A31" s="8" t="n">
        <v>30</v>
      </c>
      <c r="B31" s="8" t="inlineStr">
        <is>
          <t>CB-2</t>
        </is>
      </c>
      <c r="C31" s="8" t="inlineStr">
        <is>
          <t>co_ofrece_alternativas_de_pago_autorizadas</t>
        </is>
      </c>
      <c r="D31" s="8" t="inlineStr">
        <is>
          <t>Ofrece de inmediato alternativas de pago autorizadas según la situación del asociado (fecha de compromiso, acuerdo, normalización si aplica).</t>
        </is>
      </c>
      <c r="E31" s="8" t="inlineStr">
        <is>
          <t>No crítico</t>
        </is>
      </c>
      <c r="F31" s="8" t="inlineStr">
        <is>
          <t>Cobranza</t>
        </is>
      </c>
      <c r="G31" s="8" t="inlineStr">
        <is>
          <t>X</t>
        </is>
      </c>
      <c r="H31" s="8" t="n"/>
      <c r="I31" s="8" t="n">
        <v>8</v>
      </c>
      <c r="J31" s="8" t="n">
        <v>8</v>
      </c>
      <c r="K31" s="8" t="n">
        <v>29</v>
      </c>
      <c r="L31" s="8" t="inlineStr">
        <is>
          <t>X</t>
        </is>
      </c>
      <c r="M31" s="8" t="n">
        <v>0</v>
      </c>
      <c r="N31" s="8" t="inlineStr">
        <is>
          <t>X</t>
        </is>
      </c>
      <c r="O31" s="8" t="n"/>
      <c r="P31" s="8" t="n">
        <v>8</v>
      </c>
      <c r="Q31" s="8" t="n">
        <v>8</v>
      </c>
      <c r="R31" s="8" t="inlineStr">
        <is>
          <t>Política de cartera</t>
        </is>
      </c>
    </row>
    <row r="32">
      <c r="A32" s="25" t="n">
        <v>31</v>
      </c>
      <c r="B32" s="25" t="inlineStr">
        <is>
          <t>CB-3</t>
        </is>
      </c>
      <c r="C32" s="25" t="inlineStr">
        <is>
          <t>co_registra_resultado_cobranza_en_hubspot</t>
        </is>
      </c>
      <c r="D32" s="25" t="inlineStr">
        <is>
          <t>Registra el resultado en HubSpot: compromiso de pago (valor y fecha), novedad o motivo de no pago.</t>
        </is>
      </c>
      <c r="E32" s="25" t="inlineStr">
        <is>
          <t>No crítico</t>
        </is>
      </c>
      <c r="F32" s="25" t="inlineStr">
        <is>
          <t>Cobranza</t>
        </is>
      </c>
      <c r="G32" s="25" t="inlineStr">
        <is>
          <t>X</t>
        </is>
      </c>
      <c r="H32" s="25" t="n"/>
      <c r="I32" s="25" t="n">
        <v>6</v>
      </c>
      <c r="J32" s="25" t="n">
        <v>6</v>
      </c>
      <c r="K32" s="25" t="n"/>
      <c r="L32" s="25" t="inlineStr">
        <is>
          <t>X</t>
        </is>
      </c>
      <c r="M32" s="25" t="n">
        <v>0</v>
      </c>
      <c r="N32" s="25" t="n"/>
      <c r="O32" s="25" t="n"/>
      <c r="P32" s="25" t="n"/>
      <c r="Q32" s="25" t="n"/>
      <c r="R32" s="25" t="inlineStr">
        <is>
          <t>PV-PR-09 8</t>
        </is>
      </c>
    </row>
    <row r="33">
      <c r="A33" s="8" t="n">
        <v>32</v>
      </c>
      <c r="B33" s="8" t="inlineStr">
        <is>
          <t>CB-4</t>
        </is>
      </c>
      <c r="C33" s="8" t="inlineStr">
        <is>
          <t>co_deja_tarea_seguimiento_compromiso_pago</t>
        </is>
      </c>
      <c r="D33" s="8" t="inlineStr">
        <is>
          <t>Deja tarea de seguimiento al compromiso de pago con fecha.</t>
        </is>
      </c>
      <c r="E33" s="8" t="inlineStr">
        <is>
          <t>No crítico</t>
        </is>
      </c>
      <c r="F33" s="8" t="inlineStr">
        <is>
          <t>Cobranza</t>
        </is>
      </c>
      <c r="G33" s="8" t="inlineStr">
        <is>
          <t>X</t>
        </is>
      </c>
      <c r="H33" s="8" t="n"/>
      <c r="I33" s="8" t="n">
        <v>4</v>
      </c>
      <c r="J33" s="8" t="n">
        <v>4</v>
      </c>
      <c r="K33" s="8" t="n">
        <v>31</v>
      </c>
      <c r="L33" s="8" t="inlineStr">
        <is>
          <t>X</t>
        </is>
      </c>
      <c r="M33" s="8" t="n">
        <v>0</v>
      </c>
      <c r="N33" s="8" t="inlineStr">
        <is>
          <t>X</t>
        </is>
      </c>
      <c r="O33" s="8" t="n"/>
      <c r="P33" s="8" t="n">
        <v>4</v>
      </c>
      <c r="Q33" s="8" t="n">
        <v>4</v>
      </c>
      <c r="R33" s="8" t="inlineStr">
        <is>
          <t>PV-PR-09 6.1</t>
        </is>
      </c>
    </row>
    <row r="34">
      <c r="A34" s="25" t="n">
        <v>33</v>
      </c>
      <c r="B34" s="25" t="inlineStr">
        <is>
          <t>CB-5</t>
        </is>
      </c>
      <c r="C34" s="25" t="inlineStr">
        <is>
          <t>co_consulta_responde_oportunamente</t>
        </is>
      </c>
      <c r="D34" s="25" t="inlineStr">
        <is>
          <t>Consulta del asociado: responde de forma oportuna, dentro del tiempo de respuesta del canal.</t>
        </is>
      </c>
      <c r="E34" s="25" t="inlineStr">
        <is>
          <t>No crítico</t>
        </is>
      </c>
      <c r="F34" s="25" t="inlineStr">
        <is>
          <t>Cobranza - consulta</t>
        </is>
      </c>
      <c r="G34" s="25" t="inlineStr">
        <is>
          <t>X</t>
        </is>
      </c>
      <c r="H34" s="25" t="n"/>
      <c r="I34" s="25" t="n">
        <v>6</v>
      </c>
      <c r="J34" s="25" t="n"/>
      <c r="K34" s="25" t="n"/>
      <c r="L34" s="25" t="inlineStr">
        <is>
          <t>X</t>
        </is>
      </c>
      <c r="M34" s="25" t="n">
        <v>0</v>
      </c>
      <c r="N34" s="25" t="n"/>
      <c r="O34" s="25" t="n"/>
      <c r="P34" s="25" t="n"/>
      <c r="Q34" s="25" t="n"/>
      <c r="R34" s="25" t="inlineStr">
        <is>
          <t>AS-040</t>
        </is>
      </c>
    </row>
    <row r="35">
      <c r="A35" s="8" t="n">
        <v>34</v>
      </c>
      <c r="B35" s="8" t="inlineStr">
        <is>
          <t>CB-6</t>
        </is>
      </c>
      <c r="C35" s="8" t="inlineStr">
        <is>
          <t>co_consulta_confirma_entendimiento_y_recibo_digital</t>
        </is>
      </c>
      <c r="D35" s="8" t="inlineStr">
        <is>
          <t>Consulta del asociado: confirma que entendió y le indica cómo descargar o consultar su recibo en los canales digitales.</t>
        </is>
      </c>
      <c r="E35" s="8" t="inlineStr">
        <is>
          <t>No crítico</t>
        </is>
      </c>
      <c r="F35" s="8" t="inlineStr">
        <is>
          <t>Cobranza - consulta</t>
        </is>
      </c>
      <c r="G35" s="8" t="inlineStr">
        <is>
          <t>X</t>
        </is>
      </c>
      <c r="H35" s="8" t="n"/>
      <c r="I35" s="8" t="n">
        <v>6</v>
      </c>
      <c r="J35" s="8" t="n"/>
      <c r="K35" s="8" t="n">
        <v>33</v>
      </c>
      <c r="L35" s="8" t="inlineStr">
        <is>
          <t>X</t>
        </is>
      </c>
      <c r="M35" s="8" t="n">
        <v>0</v>
      </c>
      <c r="N35" s="8" t="inlineStr">
        <is>
          <t>X</t>
        </is>
      </c>
      <c r="O35" s="8" t="n"/>
      <c r="P35" s="8" t="n">
        <v>6</v>
      </c>
      <c r="Q35" s="8" t="n"/>
      <c r="R35" s="8" t="inlineStr">
        <is>
          <t>PV-FR-59 (valor)</t>
        </is>
      </c>
    </row>
    <row r="36">
      <c r="A36" s="25" t="n">
        <v>35</v>
      </c>
      <c r="B36" s="25" t="inlineStr">
        <is>
          <t>CC-1</t>
        </is>
      </c>
      <c r="C36" s="25" t="inlineStr">
        <is>
          <t>co_campana_responde_replica_oportunamente</t>
        </is>
      </c>
      <c r="D36" s="25" t="inlineStr">
        <is>
          <t>Campaña: responde la réplica del asociado a la plantilla masiva de cobranza de forma oportuna (tiempo definido por la coordinación).</t>
        </is>
      </c>
      <c r="E36" s="25" t="inlineStr">
        <is>
          <t>No crítico</t>
        </is>
      </c>
      <c r="F36" s="25" t="inlineStr">
        <is>
          <t>Cobranza - campaña</t>
        </is>
      </c>
      <c r="G36" s="25" t="inlineStr">
        <is>
          <t>X</t>
        </is>
      </c>
      <c r="H36" s="25" t="n"/>
      <c r="I36" s="25" t="n"/>
      <c r="J36" s="25" t="n">
        <v>6</v>
      </c>
      <c r="K36" s="25" t="n"/>
      <c r="L36" s="25" t="inlineStr">
        <is>
          <t>X</t>
        </is>
      </c>
      <c r="M36" s="25" t="n">
        <v>0</v>
      </c>
      <c r="N36" s="25" t="n"/>
      <c r="O36" s="25" t="n"/>
      <c r="P36" s="25" t="n"/>
      <c r="Q36" s="25" t="n"/>
      <c r="R36" s="25" t="inlineStr">
        <is>
          <t>Workflow de cobranza WhatsApp</t>
        </is>
      </c>
    </row>
    <row r="37">
      <c r="A37" s="25" t="n">
        <v>36</v>
      </c>
      <c r="B37" s="25" t="inlineStr">
        <is>
          <t>CC-2</t>
        </is>
      </c>
      <c r="C37" s="25" t="inlineStr">
        <is>
          <t>co_campana_retoma_motivo_y_se_identifica</t>
        </is>
      </c>
      <c r="D37" s="25" t="inlineStr">
        <is>
          <t>Campaña: retoma el motivo del mensaje enviado, se identifica y explica por qué se le contactó, sin presionar.</t>
        </is>
      </c>
      <c r="E37" s="25" t="inlineStr">
        <is>
          <t>No crítico</t>
        </is>
      </c>
      <c r="F37" s="25" t="inlineStr">
        <is>
          <t>Cobranza - campaña</t>
        </is>
      </c>
      <c r="G37" s="25" t="inlineStr">
        <is>
          <t>X</t>
        </is>
      </c>
      <c r="H37" s="25" t="n"/>
      <c r="I37" s="25" t="n"/>
      <c r="J37" s="25" t="n">
        <v>6</v>
      </c>
      <c r="K37" s="25" t="n"/>
      <c r="L37" s="25" t="inlineStr">
        <is>
          <t>X</t>
        </is>
      </c>
      <c r="M37" s="25" t="n">
        <v>0</v>
      </c>
      <c r="N37" s="25" t="n"/>
      <c r="O37" s="25" t="n"/>
      <c r="P37" s="25" t="n"/>
      <c r="Q37" s="25" t="n"/>
      <c r="R37" s="25" t="inlineStr">
        <is>
          <t>Ley 2300 de 2023</t>
        </is>
      </c>
    </row>
    <row r="38">
      <c r="A38" s="25" t="n">
        <v>37</v>
      </c>
      <c r="B38" s="25" t="inlineStr">
        <is>
          <t>P4-1</t>
        </is>
      </c>
      <c r="C38" s="25" t="inlineStr">
        <is>
          <t>co_registra_contacto_como_actividad_correcta</t>
        </is>
      </c>
      <c r="D38" s="25" t="inlineStr">
        <is>
          <t>Registra cada contacto como actividad del tipo correcto, con fecha y hora reales.</t>
        </is>
      </c>
      <c r="E38" s="25" t="inlineStr">
        <is>
          <t>No crítico</t>
        </is>
      </c>
      <c r="F38" s="25" t="inlineStr">
        <is>
          <t>Todos</t>
        </is>
      </c>
      <c r="G38" s="25" t="inlineStr">
        <is>
          <t>X</t>
        </is>
      </c>
      <c r="H38" s="25" t="n">
        <v>6</v>
      </c>
      <c r="I38" s="25" t="n">
        <v>6</v>
      </c>
      <c r="J38" s="25" t="n">
        <v>6</v>
      </c>
      <c r="K38" s="25" t="n"/>
      <c r="L38" s="25" t="inlineStr">
        <is>
          <t>X</t>
        </is>
      </c>
      <c r="M38" s="25" t="n">
        <v>0</v>
      </c>
      <c r="N38" s="25" t="n"/>
      <c r="O38" s="25" t="n"/>
      <c r="P38" s="25" t="n"/>
      <c r="Q38" s="25" t="n"/>
      <c r="R38" s="25" t="inlineStr">
        <is>
          <t>PV-IN-10</t>
        </is>
      </c>
    </row>
    <row r="39">
      <c r="A39" s="25" t="n">
        <v>38</v>
      </c>
      <c r="B39" s="25" t="inlineStr">
        <is>
          <t>P4-2</t>
        </is>
      </c>
      <c r="C39" s="25" t="inlineStr">
        <is>
          <t>co_actividad_en_objeto_correcto_y_asociada</t>
        </is>
      </c>
      <c r="D39" s="25" t="inlineStr">
        <is>
          <t>La actividad queda en el objeto correcto (lead, negocio o ticket) y asociada al contacto.</t>
        </is>
      </c>
      <c r="E39" s="25" t="inlineStr">
        <is>
          <t>No crítico</t>
        </is>
      </c>
      <c r="F39" s="25" t="inlineStr">
        <is>
          <t>Todos</t>
        </is>
      </c>
      <c r="G39" s="25" t="inlineStr">
        <is>
          <t>X</t>
        </is>
      </c>
      <c r="H39" s="25" t="n">
        <v>5</v>
      </c>
      <c r="I39" s="25" t="n">
        <v>5</v>
      </c>
      <c r="J39" s="25" t="n">
        <v>5</v>
      </c>
      <c r="K39" s="25" t="n"/>
      <c r="L39" s="25" t="inlineStr">
        <is>
          <t>X</t>
        </is>
      </c>
      <c r="M39" s="25" t="n">
        <v>0</v>
      </c>
      <c r="N39" s="25" t="n"/>
      <c r="O39" s="25" t="n"/>
      <c r="P39" s="25" t="n"/>
      <c r="Q39" s="25" t="n"/>
      <c r="R39" s="25" t="inlineStr">
        <is>
          <t>PV-IN-08</t>
        </is>
      </c>
    </row>
    <row r="40">
      <c r="A40" s="25" t="n">
        <v>39</v>
      </c>
      <c r="B40" s="25" t="inlineStr">
        <is>
          <t>P4-3</t>
        </is>
      </c>
      <c r="C40" s="25" t="inlineStr">
        <is>
          <t>co_notas_dicen_que_paso_que_falta_quien_cuando</t>
        </is>
      </c>
      <c r="D40" s="25" t="inlineStr">
        <is>
          <t>Las notas dicen qué pasó, qué falta, quién lo hace y cuándo.</t>
        </is>
      </c>
      <c r="E40" s="25" t="inlineStr">
        <is>
          <t>No crítico</t>
        </is>
      </c>
      <c r="F40" s="25" t="inlineStr">
        <is>
          <t>Todos</t>
        </is>
      </c>
      <c r="G40" s="25" t="inlineStr">
        <is>
          <t>X</t>
        </is>
      </c>
      <c r="H40" s="25" t="n">
        <v>9</v>
      </c>
      <c r="I40" s="25" t="n">
        <v>9</v>
      </c>
      <c r="J40" s="25" t="n">
        <v>9</v>
      </c>
      <c r="K40" s="25" t="n"/>
      <c r="L40" s="25" t="inlineStr">
        <is>
          <t>X</t>
        </is>
      </c>
      <c r="M40" s="25" t="n">
        <v>0</v>
      </c>
      <c r="N40" s="25" t="n"/>
      <c r="O40" s="25" t="n"/>
      <c r="P40" s="25" t="n"/>
      <c r="Q40" s="25" t="n"/>
      <c r="R40" s="25" t="inlineStr">
        <is>
          <t>PV-PR-09 8</t>
        </is>
      </c>
    </row>
    <row r="41">
      <c r="A41" s="8" t="n">
        <v>40</v>
      </c>
      <c r="B41" s="8" t="inlineStr">
        <is>
          <t>P4-4</t>
        </is>
      </c>
      <c r="C41" s="8" t="inlineStr">
        <is>
          <t>co_no_pide_de_nuevo_y_resume_al_transferir</t>
        </is>
      </c>
      <c r="D41" s="8" t="inlineStr">
        <is>
          <t>No pide de nuevo lo ya entregado y deja resumen si transfiere el caso.</t>
        </is>
      </c>
      <c r="E41" s="8" t="inlineStr">
        <is>
          <t>No crítico</t>
        </is>
      </c>
      <c r="F41" s="8" t="inlineStr">
        <is>
          <t>Todos</t>
        </is>
      </c>
      <c r="G41" s="8" t="inlineStr">
        <is>
          <t>X</t>
        </is>
      </c>
      <c r="H41" s="8" t="n">
        <v>5</v>
      </c>
      <c r="I41" s="8" t="n">
        <v>5</v>
      </c>
      <c r="J41" s="8" t="n">
        <v>5</v>
      </c>
      <c r="K41" s="8" t="n">
        <v>39</v>
      </c>
      <c r="L41" s="8" t="inlineStr">
        <is>
          <t>X</t>
        </is>
      </c>
      <c r="M41" s="8" t="n">
        <v>0</v>
      </c>
      <c r="N41" s="8" t="inlineStr">
        <is>
          <t>X</t>
        </is>
      </c>
      <c r="O41" s="8" t="n">
        <v>5</v>
      </c>
      <c r="P41" s="8" t="n">
        <v>5</v>
      </c>
      <c r="Q41" s="8" t="n">
        <v>5</v>
      </c>
      <c r="R41" s="8" t="inlineStr">
        <is>
          <t>AS-026</t>
        </is>
      </c>
    </row>
    <row r="42">
      <c r="A42" s="8" t="n">
        <v>41</v>
      </c>
      <c r="B42" s="8" t="inlineStr">
        <is>
          <t>P4-5</t>
        </is>
      </c>
      <c r="C42" s="8" t="inlineStr">
        <is>
          <t>co_registra_datos_correctos_en_hubspot</t>
        </is>
      </c>
      <c r="D42" s="8" t="inlineStr">
        <is>
          <t>Registra correctamente los datos en HubSpot (documento, ID, radicado, correo, teléfono), sin errores.</t>
        </is>
      </c>
      <c r="E42" s="8" t="inlineStr">
        <is>
          <t>No crítico</t>
        </is>
      </c>
      <c r="F42" s="8" t="inlineStr">
        <is>
          <t>Todos</t>
        </is>
      </c>
      <c r="G42" s="8" t="inlineStr">
        <is>
          <t>X</t>
        </is>
      </c>
      <c r="H42" s="8" t="n">
        <v>3</v>
      </c>
      <c r="I42" s="8" t="n">
        <v>3</v>
      </c>
      <c r="J42" s="8" t="n">
        <v>3</v>
      </c>
      <c r="K42" s="8" t="n">
        <v>38</v>
      </c>
      <c r="L42" s="8" t="inlineStr">
        <is>
          <t>X</t>
        </is>
      </c>
      <c r="M42" s="8" t="n">
        <v>0</v>
      </c>
      <c r="N42" s="8" t="inlineStr">
        <is>
          <t>X</t>
        </is>
      </c>
      <c r="O42" s="8" t="n">
        <v>3</v>
      </c>
      <c r="P42" s="8" t="n">
        <v>3</v>
      </c>
      <c r="Q42" s="8" t="n">
        <v>3</v>
      </c>
      <c r="R42" s="8" t="inlineStr">
        <is>
          <t>PV-FR-59</t>
        </is>
      </c>
    </row>
    <row r="43">
      <c r="A43" s="25" t="n">
        <v>42</v>
      </c>
      <c r="B43" s="25" t="inlineStr">
        <is>
          <t>P5-1</t>
        </is>
      </c>
      <c r="C43" s="25" t="inlineStr">
        <is>
          <t>co_cordial_claro_transmite_confianza_empatia</t>
        </is>
      </c>
      <c r="D43" s="25" t="inlineStr">
        <is>
          <t>Es cordial y claro, y transmite confianza y empatía.</t>
        </is>
      </c>
      <c r="E43" s="25" t="inlineStr">
        <is>
          <t>No crítico</t>
        </is>
      </c>
      <c r="F43" s="25" t="inlineStr">
        <is>
          <t>Todos</t>
        </is>
      </c>
      <c r="G43" s="25" t="inlineStr">
        <is>
          <t>X</t>
        </is>
      </c>
      <c r="H43" s="25" t="n">
        <v>8</v>
      </c>
      <c r="I43" s="25" t="n">
        <v>8</v>
      </c>
      <c r="J43" s="25" t="n">
        <v>8</v>
      </c>
      <c r="K43" s="25" t="n"/>
      <c r="L43" s="25" t="inlineStr">
        <is>
          <t>X</t>
        </is>
      </c>
      <c r="M43" s="25" t="n">
        <v>0</v>
      </c>
      <c r="N43" s="25" t="n"/>
      <c r="O43" s="25" t="n"/>
      <c r="P43" s="25" t="n"/>
      <c r="Q43" s="25" t="n"/>
      <c r="R43" s="25" t="inlineStr">
        <is>
          <t>AS-026</t>
        </is>
      </c>
    </row>
    <row r="44">
      <c r="A44" s="25" t="n">
        <v>43</v>
      </c>
      <c r="B44" s="25" t="inlineStr">
        <is>
          <t>P5-2</t>
        </is>
      </c>
      <c r="C44" s="25" t="inlineStr">
        <is>
          <t>co_escucha_sin_interrumpir_no_discute</t>
        </is>
      </c>
      <c r="D44" s="25" t="inlineStr">
        <is>
          <t>Escucha sin interrumpir y no discute.</t>
        </is>
      </c>
      <c r="E44" s="25" t="inlineStr">
        <is>
          <t>No crítico</t>
        </is>
      </c>
      <c r="F44" s="25" t="inlineStr">
        <is>
          <t>Todos</t>
        </is>
      </c>
      <c r="G44" s="25" t="inlineStr">
        <is>
          <t>X</t>
        </is>
      </c>
      <c r="H44" s="25" t="n">
        <v>6</v>
      </c>
      <c r="I44" s="25" t="n">
        <v>6</v>
      </c>
      <c r="J44" s="25" t="n">
        <v>6</v>
      </c>
      <c r="K44" s="25" t="n"/>
      <c r="L44" s="25" t="inlineStr">
        <is>
          <t>X</t>
        </is>
      </c>
      <c r="M44" s="25" t="n">
        <v>0</v>
      </c>
      <c r="N44" s="25" t="n"/>
      <c r="O44" s="25" t="n"/>
      <c r="P44" s="25" t="n"/>
      <c r="Q44" s="25" t="n"/>
      <c r="R44" s="25" t="inlineStr">
        <is>
          <t>AS-026</t>
        </is>
      </c>
    </row>
    <row r="45">
      <c r="A45" s="25" t="n">
        <v>44</v>
      </c>
      <c r="B45" s="25" t="inlineStr">
        <is>
          <t>P5-3</t>
        </is>
      </c>
      <c r="C45" s="25" t="inlineStr">
        <is>
          <t>co_cierra_con_compromiso_y_proximo_paso</t>
        </is>
      </c>
      <c r="D45" s="25" t="inlineStr">
        <is>
          <t>Cierra con un compromiso y el próximo paso acordado.</t>
        </is>
      </c>
      <c r="E45" s="25" t="inlineStr">
        <is>
          <t>No crítico</t>
        </is>
      </c>
      <c r="F45" s="25" t="inlineStr">
        <is>
          <t>Todos</t>
        </is>
      </c>
      <c r="G45" s="25" t="inlineStr">
        <is>
          <t>X</t>
        </is>
      </c>
      <c r="H45" s="25" t="n">
        <v>9</v>
      </c>
      <c r="I45" s="25" t="n">
        <v>9</v>
      </c>
      <c r="J45" s="25" t="n">
        <v>9</v>
      </c>
      <c r="K45" s="25" t="n"/>
      <c r="L45" s="25" t="inlineStr">
        <is>
          <t>X</t>
        </is>
      </c>
      <c r="M45" s="25" t="n">
        <v>0</v>
      </c>
      <c r="N45" s="25" t="n"/>
      <c r="O45" s="25" t="n"/>
      <c r="P45" s="25" t="n"/>
      <c r="Q45" s="25" t="n"/>
      <c r="R45" s="25" t="inlineStr">
        <is>
          <t>AS-026</t>
        </is>
      </c>
    </row>
    <row r="46">
      <c r="A46" s="25" t="n">
        <v>45</v>
      </c>
      <c r="B46" s="25" t="inlineStr">
        <is>
          <t>P5-4</t>
        </is>
      </c>
      <c r="C46" s="25" t="inlineStr">
        <is>
          <t>co_usa_bien_el_tiempo</t>
        </is>
      </c>
      <c r="D46" s="25" t="inlineStr">
        <is>
          <t>Usa bien el tiempo de la interacción.</t>
        </is>
      </c>
      <c r="E46" s="25" t="inlineStr">
        <is>
          <t>No crítico</t>
        </is>
      </c>
      <c r="F46" s="25" t="inlineStr">
        <is>
          <t>Todos</t>
        </is>
      </c>
      <c r="G46" s="25" t="inlineStr">
        <is>
          <t>X</t>
        </is>
      </c>
      <c r="H46" s="25" t="n">
        <v>5</v>
      </c>
      <c r="I46" s="25" t="n">
        <v>5</v>
      </c>
      <c r="J46" s="25" t="n">
        <v>5</v>
      </c>
      <c r="K46" s="25" t="n"/>
      <c r="L46" s="25" t="inlineStr">
        <is>
          <t>X</t>
        </is>
      </c>
      <c r="M46" s="25" t="n">
        <v>0</v>
      </c>
      <c r="N46" s="25" t="n"/>
      <c r="O46" s="25" t="n"/>
      <c r="P46" s="25" t="n"/>
      <c r="Q46" s="25" t="n"/>
      <c r="R46" s="25" t="inlineStr">
        <is>
          <t>AS-026</t>
        </is>
      </c>
    </row>
    <row r="47">
      <c r="A47" s="25" t="n">
        <v>46</v>
      </c>
      <c r="B47" s="25" t="inlineStr">
        <is>
          <t>CO-1</t>
        </is>
      </c>
      <c r="C47" s="25" t="inlineStr">
        <is>
          <t>co_usa_asunto_claro</t>
        </is>
      </c>
      <c r="D47" s="25" t="inlineStr">
        <is>
          <t>Usa un asunto claro.</t>
        </is>
      </c>
      <c r="E47" s="25" t="inlineStr">
        <is>
          <t>No crítico</t>
        </is>
      </c>
      <c r="F47" s="25" t="inlineStr">
        <is>
          <t>Todos</t>
        </is>
      </c>
      <c r="G47" s="25" t="inlineStr">
        <is>
          <t>X</t>
        </is>
      </c>
      <c r="H47" s="25" t="n">
        <v>1</v>
      </c>
      <c r="I47" s="25" t="n">
        <v>1</v>
      </c>
      <c r="J47" s="25" t="n">
        <v>1</v>
      </c>
      <c r="K47" s="25" t="n"/>
      <c r="L47" s="25" t="inlineStr">
        <is>
          <t>X</t>
        </is>
      </c>
      <c r="M47" s="25" t="n">
        <v>0</v>
      </c>
      <c r="N47" s="25" t="n"/>
      <c r="O47" s="25" t="n"/>
      <c r="P47" s="25" t="n"/>
      <c r="Q47" s="25" t="n"/>
      <c r="R47" s="25" t="inlineStr">
        <is>
          <t>AS-039</t>
        </is>
      </c>
    </row>
    <row r="48">
      <c r="A48" s="25" t="n">
        <v>47</v>
      </c>
      <c r="B48" s="25" t="inlineStr">
        <is>
          <t>CO-2</t>
        </is>
      </c>
      <c r="C48" s="25" t="inlineStr">
        <is>
          <t>co_incluye_saludo_y_firma_actualizada</t>
        </is>
      </c>
      <c r="D48" s="25" t="inlineStr">
        <is>
          <t>Incluye saludo y firma actualizada.</t>
        </is>
      </c>
      <c r="E48" s="25" t="inlineStr">
        <is>
          <t>No crítico</t>
        </is>
      </c>
      <c r="F48" s="25" t="inlineStr">
        <is>
          <t>Todos</t>
        </is>
      </c>
      <c r="G48" s="25" t="inlineStr">
        <is>
          <t>X</t>
        </is>
      </c>
      <c r="H48" s="25" t="n">
        <v>1</v>
      </c>
      <c r="I48" s="25" t="n">
        <v>1</v>
      </c>
      <c r="J48" s="25" t="n">
        <v>1</v>
      </c>
      <c r="K48" s="25" t="n"/>
      <c r="L48" s="25" t="inlineStr">
        <is>
          <t>X</t>
        </is>
      </c>
      <c r="M48" s="25" t="n">
        <v>0</v>
      </c>
      <c r="N48" s="25" t="n"/>
      <c r="O48" s="25" t="n"/>
      <c r="P48" s="25" t="n"/>
      <c r="Q48" s="25" t="n"/>
      <c r="R48" s="25" t="inlineStr">
        <is>
          <t>AS-039</t>
        </is>
      </c>
    </row>
    <row r="49">
      <c r="A49" s="25" t="n">
        <v>48</v>
      </c>
      <c r="B49" s="25" t="inlineStr">
        <is>
          <t>CO-3</t>
        </is>
      </c>
      <c r="C49" s="25" t="inlineStr">
        <is>
          <t>co_dice_que_solicita_y_para_cuando</t>
        </is>
      </c>
      <c r="D49" s="25" t="inlineStr">
        <is>
          <t>Dice qué solicita y para cuándo.</t>
        </is>
      </c>
      <c r="E49" s="25" t="inlineStr">
        <is>
          <t>No crítico</t>
        </is>
      </c>
      <c r="F49" s="25" t="inlineStr">
        <is>
          <t>Todos</t>
        </is>
      </c>
      <c r="G49" s="25" t="inlineStr">
        <is>
          <t>X</t>
        </is>
      </c>
      <c r="H49" s="25" t="n">
        <v>2</v>
      </c>
      <c r="I49" s="25" t="n">
        <v>2</v>
      </c>
      <c r="J49" s="25" t="n">
        <v>2</v>
      </c>
      <c r="K49" s="25" t="n"/>
      <c r="L49" s="25" t="inlineStr">
        <is>
          <t>X</t>
        </is>
      </c>
      <c r="M49" s="25" t="n">
        <v>0</v>
      </c>
      <c r="N49" s="25" t="n"/>
      <c r="O49" s="25" t="n"/>
      <c r="P49" s="25" t="n"/>
      <c r="Q49" s="25" t="n"/>
      <c r="R49" s="25" t="inlineStr">
        <is>
          <t>AS-039</t>
        </is>
      </c>
    </row>
    <row r="50">
      <c r="G50" s="4" t="inlineStr">
        <is>
          <t>Total</t>
        </is>
      </c>
      <c r="H50" s="4">
        <f>SUM(H2:H49)</f>
        <v/>
      </c>
      <c r="I50" s="4">
        <f>SUM(I2:I49)</f>
        <v/>
      </c>
      <c r="J50" s="4">
        <f>SUM(J2:J49)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52" customWidth="1" min="3" max="3"/>
    <col width="70" customWidth="1" min="4" max="4"/>
    <col width="11" customWidth="1" min="5" max="5"/>
    <col width="18" customWidth="1" min="6" max="6"/>
    <col width="5" customWidth="1" min="7" max="7"/>
    <col width="10" customWidth="1" min="8" max="8"/>
    <col width="10" customWidth="1" min="9" max="9"/>
    <col width="10" customWidth="1" min="10" max="10"/>
    <col width="11" customWidth="1" min="11" max="11"/>
    <col width="5" customWidth="1" min="12" max="12"/>
    <col width="7" customWidth="1" min="13" max="13"/>
    <col width="5" customWidth="1" min="14" max="14"/>
    <col width="10" customWidth="1" min="15" max="15"/>
    <col width="10" customWidth="1" min="16" max="16"/>
    <col width="10" customWidth="1" min="17" max="17"/>
    <col width="28" customWidth="1" min="18" max="18"/>
  </cols>
  <sheetData>
    <row r="1" ht="45" customHeight="1">
      <c r="A1" s="6" t="inlineStr">
        <is>
          <t>#</t>
        </is>
      </c>
      <c r="B1" s="6" t="inlineStr">
        <is>
          <t>Código</t>
        </is>
      </c>
      <c r="C1" s="6" t="inlineStr">
        <is>
          <t>Propiedad</t>
        </is>
      </c>
      <c r="D1" s="6" t="inlineStr">
        <is>
          <t>Descripción</t>
        </is>
      </c>
      <c r="E1" s="6" t="inlineStr">
        <is>
          <t>Tipo</t>
        </is>
      </c>
      <c r="F1" s="6" t="inlineStr">
        <is>
          <t>Aplica a</t>
        </is>
      </c>
      <c r="G1" s="6" t="inlineStr">
        <is>
          <t>SI</t>
        </is>
      </c>
      <c r="H1" s="6" t="inlineStr">
        <is>
          <t>Peso SI Comercial</t>
        </is>
      </c>
      <c r="I1" s="6" t="inlineStr">
        <is>
          <t>Peso SI Cob. consulta</t>
        </is>
      </c>
      <c r="J1" s="6" t="inlineStr">
        <is>
          <t>Peso SI Cob. campaña</t>
        </is>
      </c>
      <c r="K1" s="6" t="inlineStr">
        <is>
          <t>Guion donde reposa (#)</t>
        </is>
      </c>
      <c r="L1" s="6" t="inlineStr">
        <is>
          <t>NO</t>
        </is>
      </c>
      <c r="M1" s="6" t="inlineStr">
        <is>
          <t>Peso NO</t>
        </is>
      </c>
      <c r="N1" s="6" t="inlineStr">
        <is>
          <t>N/A</t>
        </is>
      </c>
      <c r="O1" s="6" t="inlineStr">
        <is>
          <t>Peso N/A Comercial</t>
        </is>
      </c>
      <c r="P1" s="6" t="inlineStr">
        <is>
          <t>Peso N/A Cob. consulta</t>
        </is>
      </c>
      <c r="Q1" s="6" t="inlineStr">
        <is>
          <t>Peso N/A Cob. campaña</t>
        </is>
      </c>
      <c r="R1" s="6" t="inlineStr">
        <is>
          <t>Fuente</t>
        </is>
      </c>
    </row>
    <row r="2">
      <c r="A2" s="20" t="n">
        <v>1</v>
      </c>
      <c r="B2" s="20" t="inlineStr">
        <is>
          <t>HD-1</t>
        </is>
      </c>
      <c r="C2" s="20" t="inlineStr">
        <is>
          <t>pr_hd_preguntas_seguridad_antes_de_informar</t>
        </is>
      </c>
      <c r="D2" s="20" t="inlineStr">
        <is>
          <t>Realiza las preguntas de seguridad (filtro de titularidad) ANTES de dar cualquier información del crédito, la obligación, el saldo o el recibo de pago.</t>
        </is>
      </c>
      <c r="E2" s="20" t="inlineStr">
        <is>
          <t>Control HD</t>
        </is>
      </c>
      <c r="F2" s="20" t="inlineStr">
        <is>
          <t>Todos</t>
        </is>
      </c>
      <c r="G2" s="20" t="inlineStr">
        <is>
          <t>X</t>
        </is>
      </c>
      <c r="H2" s="20" t="n">
        <v>0</v>
      </c>
      <c r="I2" s="20" t="n">
        <v>0</v>
      </c>
      <c r="J2" s="20" t="n">
        <v>0</v>
      </c>
      <c r="K2" s="20" t="n"/>
      <c r="L2" s="20" t="inlineStr">
        <is>
          <t>X</t>
        </is>
      </c>
      <c r="M2" s="20" t="n">
        <v>0</v>
      </c>
      <c r="N2" s="20" t="n"/>
      <c r="O2" s="20" t="n"/>
      <c r="P2" s="20" t="n"/>
      <c r="Q2" s="20" t="n"/>
      <c r="R2" s="20" t="inlineStr">
        <is>
          <t>PV-IN-04 4.7</t>
        </is>
      </c>
    </row>
    <row r="3">
      <c r="A3" s="20" t="n">
        <v>2</v>
      </c>
      <c r="B3" s="20" t="inlineStr">
        <is>
          <t>HD-2</t>
        </is>
      </c>
      <c r="C3" s="20" t="inlineStr">
        <is>
          <t>pr_hd_preguntas_seguridad_completas</t>
        </is>
      </c>
      <c r="D3" s="20" t="inlineStr">
        <is>
          <t>Hace las preguntas de seguridad COMPLETAS, según el protocolo vigente (no omite ni resume preguntas).</t>
        </is>
      </c>
      <c r="E3" s="20" t="inlineStr">
        <is>
          <t>Control HD</t>
        </is>
      </c>
      <c r="F3" s="20" t="inlineStr">
        <is>
          <t>Todos</t>
        </is>
      </c>
      <c r="G3" s="20" t="inlineStr">
        <is>
          <t>X</t>
        </is>
      </c>
      <c r="H3" s="20" t="n">
        <v>0</v>
      </c>
      <c r="I3" s="20" t="n">
        <v>0</v>
      </c>
      <c r="J3" s="20" t="n">
        <v>0</v>
      </c>
      <c r="K3" s="20" t="n"/>
      <c r="L3" s="20" t="inlineStr">
        <is>
          <t>X</t>
        </is>
      </c>
      <c r="M3" s="20" t="n">
        <v>0</v>
      </c>
      <c r="N3" s="20" t="n"/>
      <c r="O3" s="20" t="n"/>
      <c r="P3" s="20" t="n"/>
      <c r="Q3" s="20" t="n"/>
      <c r="R3" s="20" t="inlineStr">
        <is>
          <t>PV-IN-04 4.7</t>
        </is>
      </c>
    </row>
    <row r="4">
      <c r="A4" s="20" t="n">
        <v>3</v>
      </c>
      <c r="B4" s="20" t="inlineStr">
        <is>
          <t>HD-3</t>
        </is>
      </c>
      <c r="C4" s="20" t="inlineStr">
        <is>
          <t>pr_hd_no_informa_a_terceros_no_autorizados</t>
        </is>
      </c>
      <c r="D4" s="20" t="inlineStr">
        <is>
          <t>No entrega información a terceros no autorizados (familiares, codeudores, referencias, IES sin autorización).</t>
        </is>
      </c>
      <c r="E4" s="20" t="inlineStr">
        <is>
          <t>Control HD</t>
        </is>
      </c>
      <c r="F4" s="20" t="inlineStr">
        <is>
          <t>Todos</t>
        </is>
      </c>
      <c r="G4" s="20" t="inlineStr">
        <is>
          <t>X</t>
        </is>
      </c>
      <c r="H4" s="20" t="n">
        <v>0</v>
      </c>
      <c r="I4" s="20" t="n">
        <v>0</v>
      </c>
      <c r="J4" s="20" t="n">
        <v>0</v>
      </c>
      <c r="K4" s="20" t="n"/>
      <c r="L4" s="20" t="inlineStr">
        <is>
          <t>X</t>
        </is>
      </c>
      <c r="M4" s="20" t="n">
        <v>0</v>
      </c>
      <c r="N4" s="20" t="n"/>
      <c r="O4" s="20" t="n"/>
      <c r="P4" s="20" t="n"/>
      <c r="Q4" s="20" t="n"/>
      <c r="R4" s="20" t="inlineStr">
        <is>
          <t>PV-IN-04 4.7 · Ley 1581 de 2012</t>
        </is>
      </c>
    </row>
    <row r="5">
      <c r="A5" s="20" t="n">
        <v>4</v>
      </c>
      <c r="B5" s="20" t="inlineStr">
        <is>
          <t>HD-4</t>
        </is>
      </c>
      <c r="C5" s="20" t="inlineStr">
        <is>
          <t>pr_hd_protege_datos_y_usa_canales_oficiales</t>
        </is>
      </c>
      <c r="D5" s="20" t="inlineStr">
        <is>
          <t>Protege los datos: no expone datos completos del titular en el canal y no pide ni envía documentos por canales no oficiales.</t>
        </is>
      </c>
      <c r="E5" s="20" t="inlineStr">
        <is>
          <t>Control HD</t>
        </is>
      </c>
      <c r="F5" s="20" t="inlineStr">
        <is>
          <t>Todos</t>
        </is>
      </c>
      <c r="G5" s="20" t="inlineStr">
        <is>
          <t>X</t>
        </is>
      </c>
      <c r="H5" s="20" t="n">
        <v>0</v>
      </c>
      <c r="I5" s="20" t="n">
        <v>0</v>
      </c>
      <c r="J5" s="20" t="n">
        <v>0</v>
      </c>
      <c r="K5" s="20" t="n"/>
      <c r="L5" s="20" t="inlineStr">
        <is>
          <t>X</t>
        </is>
      </c>
      <c r="M5" s="20" t="n">
        <v>0</v>
      </c>
      <c r="N5" s="20" t="n"/>
      <c r="O5" s="20" t="n"/>
      <c r="P5" s="20" t="n"/>
      <c r="Q5" s="20" t="n"/>
      <c r="R5" s="20" t="inlineStr">
        <is>
          <t>Ley 1581 de 2012</t>
        </is>
      </c>
    </row>
    <row r="6">
      <c r="A6" s="20" t="n">
        <v>5</v>
      </c>
      <c r="B6" s="20" t="inlineStr">
        <is>
          <t>HD-5</t>
        </is>
      </c>
      <c r="C6" s="20" t="inlineStr">
        <is>
          <t>pr_hd_respeta_autorizacion_de_contacto</t>
        </is>
      </c>
      <c r="D6" s="20" t="inlineStr">
        <is>
          <t>Respeta la autorización de tratamiento de datos y contacta solo por los canales que el asociado autorizó.</t>
        </is>
      </c>
      <c r="E6" s="20" t="inlineStr">
        <is>
          <t>Control HD</t>
        </is>
      </c>
      <c r="F6" s="20" t="inlineStr">
        <is>
          <t>Todos</t>
        </is>
      </c>
      <c r="G6" s="20" t="inlineStr">
        <is>
          <t>X</t>
        </is>
      </c>
      <c r="H6" s="20" t="n">
        <v>0</v>
      </c>
      <c r="I6" s="20" t="n">
        <v>0</v>
      </c>
      <c r="J6" s="20" t="n">
        <v>0</v>
      </c>
      <c r="K6" s="20" t="n"/>
      <c r="L6" s="20" t="inlineStr">
        <is>
          <t>X</t>
        </is>
      </c>
      <c r="M6" s="20" t="n">
        <v>0</v>
      </c>
      <c r="N6" s="20" t="n"/>
      <c r="O6" s="20" t="n"/>
      <c r="P6" s="20" t="n"/>
      <c r="Q6" s="20" t="n"/>
      <c r="R6" s="20" t="inlineStr">
        <is>
          <t>Ley 1581 de 2012 · Ley 2300 de 2023</t>
        </is>
      </c>
    </row>
    <row r="7">
      <c r="A7" s="20" t="n">
        <v>6</v>
      </c>
      <c r="B7" s="20" t="inlineStr">
        <is>
          <t>ECU-1</t>
        </is>
      </c>
      <c r="C7" s="20" t="inlineStr">
        <is>
          <t>pr_ecu_informacion_correcta_y_completa</t>
        </is>
      </c>
      <c r="D7" s="20" t="inlineStr">
        <is>
          <t>Da información correcta y completa (requisitos, documentos, condiciones, estado del crédito o de la obligación).</t>
        </is>
      </c>
      <c r="E7" s="20" t="inlineStr">
        <is>
          <t>ECU</t>
        </is>
      </c>
      <c r="F7" s="20" t="inlineStr">
        <is>
          <t>Todos</t>
        </is>
      </c>
      <c r="G7" s="20" t="inlineStr">
        <is>
          <t>X</t>
        </is>
      </c>
      <c r="H7" s="20" t="n">
        <v>0</v>
      </c>
      <c r="I7" s="20" t="n">
        <v>0</v>
      </c>
      <c r="J7" s="20" t="n">
        <v>0</v>
      </c>
      <c r="K7" s="20" t="n"/>
      <c r="L7" s="20" t="inlineStr">
        <is>
          <t>X</t>
        </is>
      </c>
      <c r="M7" s="20" t="n">
        <v>0</v>
      </c>
      <c r="N7" s="20" t="n"/>
      <c r="O7" s="20" t="n"/>
      <c r="P7" s="20" t="n"/>
      <c r="Q7" s="20" t="n"/>
      <c r="R7" s="20" t="inlineStr">
        <is>
          <t>PV-PR-09 6.3</t>
        </is>
      </c>
    </row>
    <row r="8">
      <c r="A8" s="20" t="n">
        <v>7</v>
      </c>
      <c r="B8" s="20" t="inlineStr">
        <is>
          <t>ECU-2</t>
        </is>
      </c>
      <c r="C8" s="20" t="inlineStr">
        <is>
          <t>pr_ecu_trato_respetuoso</t>
        </is>
      </c>
      <c r="D8" s="20" t="inlineStr">
        <is>
          <t>Trata al asociado con respeto (sin maltrato ni trato inadecuado).</t>
        </is>
      </c>
      <c r="E8" s="20" t="inlineStr">
        <is>
          <t>ECU</t>
        </is>
      </c>
      <c r="F8" s="20" t="inlineStr">
        <is>
          <t>Todos</t>
        </is>
      </c>
      <c r="G8" s="20" t="inlineStr">
        <is>
          <t>X</t>
        </is>
      </c>
      <c r="H8" s="20" t="n">
        <v>0</v>
      </c>
      <c r="I8" s="20" t="n">
        <v>0</v>
      </c>
      <c r="J8" s="20" t="n">
        <v>0</v>
      </c>
      <c r="K8" s="20" t="n"/>
      <c r="L8" s="20" t="inlineStr">
        <is>
          <t>X</t>
        </is>
      </c>
      <c r="M8" s="20" t="n">
        <v>0</v>
      </c>
      <c r="N8" s="20" t="n"/>
      <c r="O8" s="20" t="n"/>
      <c r="P8" s="20" t="n"/>
      <c r="Q8" s="20" t="n"/>
      <c r="R8" s="20" t="inlineStr">
        <is>
          <t>PV-IN-04 4.8</t>
        </is>
      </c>
    </row>
    <row r="9">
      <c r="A9" s="20" t="n">
        <v>8</v>
      </c>
      <c r="B9" s="20" t="inlineStr">
        <is>
          <t>ECU-3</t>
        </is>
      </c>
      <c r="C9" s="20" t="inlineStr">
        <is>
          <t>pr_ecu_da_respuesta_y_cierre_a_solicitudes</t>
        </is>
      </c>
      <c r="D9" s="20" t="inlineStr">
        <is>
          <t>Da respuesta y cierre a toda solicitud o compromiso con el asociado (no abandona el caso ni deja sin respuesta un mensaje).</t>
        </is>
      </c>
      <c r="E9" s="20" t="inlineStr">
        <is>
          <t>ECU</t>
        </is>
      </c>
      <c r="F9" s="20" t="inlineStr">
        <is>
          <t>Todos</t>
        </is>
      </c>
      <c r="G9" s="20" t="inlineStr">
        <is>
          <t>X</t>
        </is>
      </c>
      <c r="H9" s="20" t="n">
        <v>0</v>
      </c>
      <c r="I9" s="20" t="n">
        <v>0</v>
      </c>
      <c r="J9" s="20" t="n">
        <v>0</v>
      </c>
      <c r="K9" s="20" t="n"/>
      <c r="L9" s="20" t="inlineStr">
        <is>
          <t>X</t>
        </is>
      </c>
      <c r="M9" s="20" t="n">
        <v>0</v>
      </c>
      <c r="N9" s="20" t="n"/>
      <c r="O9" s="20" t="n"/>
      <c r="P9" s="20" t="n"/>
      <c r="Q9" s="20" t="n"/>
      <c r="R9" s="20" t="inlineStr">
        <is>
          <t>PV-PR-09 6.2</t>
        </is>
      </c>
    </row>
    <row r="10">
      <c r="A10" s="20" t="n">
        <v>9</v>
      </c>
      <c r="B10" s="20" t="inlineStr">
        <is>
          <t>ECN-1</t>
        </is>
      </c>
      <c r="C10" s="20" t="inlineStr">
        <is>
          <t>pr_ecn_primer_contacto_dentro_de_sla</t>
        </is>
      </c>
      <c r="D10" s="20" t="inlineStr">
        <is>
          <t>Realiza el primer contacto con el lead dentro del SLA (3 h hábiles desde la asignación).</t>
        </is>
      </c>
      <c r="E10" s="20" t="inlineStr">
        <is>
          <t>ECN</t>
        </is>
      </c>
      <c r="F10" s="20" t="inlineStr">
        <is>
          <t>Comercial</t>
        </is>
      </c>
      <c r="G10" s="20" t="inlineStr">
        <is>
          <t>X</t>
        </is>
      </c>
      <c r="H10" s="20" t="n">
        <v>0</v>
      </c>
      <c r="I10" s="20" t="n"/>
      <c r="J10" s="20" t="n"/>
      <c r="K10" s="20" t="n"/>
      <c r="L10" s="20" t="inlineStr">
        <is>
          <t>X</t>
        </is>
      </c>
      <c r="M10" s="20" t="n">
        <v>0</v>
      </c>
      <c r="N10" s="20" t="inlineStr">
        <is>
          <t>X</t>
        </is>
      </c>
      <c r="O10" s="20" t="n">
        <v>0</v>
      </c>
      <c r="P10" s="20" t="n"/>
      <c r="Q10" s="20" t="n"/>
      <c r="R10" s="20" t="inlineStr">
        <is>
          <t>PV-PR-09 4 y 6.3</t>
        </is>
      </c>
    </row>
    <row r="11">
      <c r="A11" s="20" t="n">
        <v>10</v>
      </c>
      <c r="B11" s="20" t="inlineStr">
        <is>
          <t>ECN-2</t>
        </is>
      </c>
      <c r="C11" s="20" t="inlineStr">
        <is>
          <t>pr_ecn_descalifica_con_intentos_y_motivo</t>
        </is>
      </c>
      <c r="D11" s="20" t="inlineStr">
        <is>
          <t>Descalifica el lead solo con los intentos registrados y el motivo que corresponde.</t>
        </is>
      </c>
      <c r="E11" s="20" t="inlineStr">
        <is>
          <t>ECN</t>
        </is>
      </c>
      <c r="F11" s="20" t="inlineStr">
        <is>
          <t>Comercial</t>
        </is>
      </c>
      <c r="G11" s="20" t="inlineStr">
        <is>
          <t>X</t>
        </is>
      </c>
      <c r="H11" s="20" t="n">
        <v>0</v>
      </c>
      <c r="I11" s="20" t="n"/>
      <c r="J11" s="20" t="n"/>
      <c r="K11" s="20" t="n"/>
      <c r="L11" s="20" t="inlineStr">
        <is>
          <t>X</t>
        </is>
      </c>
      <c r="M11" s="20" t="n">
        <v>0</v>
      </c>
      <c r="N11" s="20" t="inlineStr">
        <is>
          <t>X</t>
        </is>
      </c>
      <c r="O11" s="20" t="n">
        <v>0</v>
      </c>
      <c r="P11" s="20" t="n"/>
      <c r="Q11" s="20" t="n"/>
      <c r="R11" s="20" t="inlineStr">
        <is>
          <t>PV-PR-09 6.3</t>
        </is>
      </c>
    </row>
    <row r="12">
      <c r="A12" s="20" t="n">
        <v>11</v>
      </c>
      <c r="B12" s="20" t="inlineStr">
        <is>
          <t>ECN-3</t>
        </is>
      </c>
      <c r="C12" s="20" t="inlineStr">
        <is>
          <t>pr_ecn_crea_o_asocia_negocio</t>
        </is>
      </c>
      <c r="D12" s="20" t="inlineStr">
        <is>
          <t>Crea o asocia el negocio cuando la persona decide continuar.</t>
        </is>
      </c>
      <c r="E12" s="20" t="inlineStr">
        <is>
          <t>ECN</t>
        </is>
      </c>
      <c r="F12" s="20" t="inlineStr">
        <is>
          <t>Comercial</t>
        </is>
      </c>
      <c r="G12" s="20" t="inlineStr">
        <is>
          <t>X</t>
        </is>
      </c>
      <c r="H12" s="20" t="n">
        <v>0</v>
      </c>
      <c r="I12" s="20" t="n"/>
      <c r="J12" s="20" t="n"/>
      <c r="K12" s="20" t="n"/>
      <c r="L12" s="20" t="inlineStr">
        <is>
          <t>X</t>
        </is>
      </c>
      <c r="M12" s="20" t="n">
        <v>0</v>
      </c>
      <c r="N12" s="20" t="inlineStr">
        <is>
          <t>X</t>
        </is>
      </c>
      <c r="O12" s="20" t="n">
        <v>0</v>
      </c>
      <c r="P12" s="20" t="n"/>
      <c r="Q12" s="20" t="n"/>
      <c r="R12" s="20" t="inlineStr">
        <is>
          <t>PV-PR-09 6.3</t>
        </is>
      </c>
    </row>
    <row r="13">
      <c r="A13" s="20" t="n">
        <v>12</v>
      </c>
      <c r="B13" s="20" t="inlineStr">
        <is>
          <t>ECN-4</t>
        </is>
      </c>
      <c r="C13" s="20" t="inlineStr">
        <is>
          <t>pr_ecn_mueve_etapas_con_evidencia</t>
        </is>
      </c>
      <c r="D13" s="20" t="inlineStr">
        <is>
          <t>Mueve las etapas solo con evidencia (Desembolsado con fecha y referencia).</t>
        </is>
      </c>
      <c r="E13" s="20" t="inlineStr">
        <is>
          <t>ECN</t>
        </is>
      </c>
      <c r="F13" s="20" t="inlineStr">
        <is>
          <t>Comercial</t>
        </is>
      </c>
      <c r="G13" s="20" t="inlineStr">
        <is>
          <t>X</t>
        </is>
      </c>
      <c r="H13" s="20" t="n">
        <v>0</v>
      </c>
      <c r="I13" s="20" t="n"/>
      <c r="J13" s="20" t="n"/>
      <c r="K13" s="20" t="n"/>
      <c r="L13" s="20" t="inlineStr">
        <is>
          <t>X</t>
        </is>
      </c>
      <c r="M13" s="20" t="n">
        <v>0</v>
      </c>
      <c r="N13" s="20" t="inlineStr">
        <is>
          <t>X</t>
        </is>
      </c>
      <c r="O13" s="20" t="n">
        <v>0</v>
      </c>
      <c r="P13" s="20" t="n"/>
      <c r="Q13" s="20" t="n"/>
      <c r="R13" s="20" t="inlineStr">
        <is>
          <t>PV-PR-09 6.4</t>
        </is>
      </c>
    </row>
    <row r="14">
      <c r="A14" s="20" t="n">
        <v>13</v>
      </c>
      <c r="B14" s="20" t="inlineStr">
        <is>
          <t>ECN-5</t>
        </is>
      </c>
      <c r="C14" s="20" t="inlineStr">
        <is>
          <t>pr_ecn_deja_estado_proxima_accion_responsable_fecha</t>
        </is>
      </c>
      <c r="D14" s="20" t="inlineStr">
        <is>
          <t>Deja el caso con estado real, próxima acción, responsable y fecha.</t>
        </is>
      </c>
      <c r="E14" s="20" t="inlineStr">
        <is>
          <t>ECN</t>
        </is>
      </c>
      <c r="F14" s="20" t="inlineStr">
        <is>
          <t>Todos</t>
        </is>
      </c>
      <c r="G14" s="20" t="inlineStr">
        <is>
          <t>X</t>
        </is>
      </c>
      <c r="H14" s="20" t="n">
        <v>0</v>
      </c>
      <c r="I14" s="20" t="n">
        <v>0</v>
      </c>
      <c r="J14" s="20" t="n">
        <v>0</v>
      </c>
      <c r="K14" s="20" t="n"/>
      <c r="L14" s="20" t="inlineStr">
        <is>
          <t>X</t>
        </is>
      </c>
      <c r="M14" s="20" t="n">
        <v>0</v>
      </c>
      <c r="N14" s="20" t="n"/>
      <c r="O14" s="20" t="n"/>
      <c r="P14" s="20" t="n"/>
      <c r="Q14" s="20" t="n"/>
      <c r="R14" s="20" t="inlineStr">
        <is>
          <t>PV-PR-09 6.1</t>
        </is>
      </c>
    </row>
    <row r="15">
      <c r="A15" s="20" t="n">
        <v>14</v>
      </c>
      <c r="B15" s="20" t="inlineStr">
        <is>
          <t>ECC-1</t>
        </is>
      </c>
      <c r="C15" s="20" t="inlineStr">
        <is>
          <t>pr_ecc_no_promete_condiciones_no_autorizadas</t>
        </is>
      </c>
      <c r="D15" s="20" t="inlineStr">
        <is>
          <t>No promete aprobación, tasa, costo, monto, descuento ni condiciones de pago no autorizados.</t>
        </is>
      </c>
      <c r="E15" s="20" t="inlineStr">
        <is>
          <t>ECC</t>
        </is>
      </c>
      <c r="F15" s="20" t="inlineStr">
        <is>
          <t>Todos</t>
        </is>
      </c>
      <c r="G15" s="20" t="inlineStr">
        <is>
          <t>X</t>
        </is>
      </c>
      <c r="H15" s="20" t="n">
        <v>0</v>
      </c>
      <c r="I15" s="20" t="n">
        <v>0</v>
      </c>
      <c r="J15" s="20" t="n">
        <v>0</v>
      </c>
      <c r="K15" s="20" t="n"/>
      <c r="L15" s="20" t="inlineStr">
        <is>
          <t>X</t>
        </is>
      </c>
      <c r="M15" s="20" t="n">
        <v>0</v>
      </c>
      <c r="N15" s="20" t="n"/>
      <c r="O15" s="20" t="n"/>
      <c r="P15" s="20" t="n"/>
      <c r="Q15" s="20" t="n"/>
      <c r="R15" s="20" t="inlineStr">
        <is>
          <t>Política comercial y de cartera</t>
        </is>
      </c>
    </row>
    <row r="16">
      <c r="A16" s="20" t="n">
        <v>15</v>
      </c>
      <c r="B16" s="20" t="inlineStr">
        <is>
          <t>ECC-2</t>
        </is>
      </c>
      <c r="C16" s="20" t="inlineStr">
        <is>
          <t>pr_ecc_no_altera_documentos</t>
        </is>
      </c>
      <c r="D16" s="20" t="inlineStr">
        <is>
          <t>No altera ni manipula documentos.</t>
        </is>
      </c>
      <c r="E16" s="20" t="inlineStr">
        <is>
          <t>ECC</t>
        </is>
      </c>
      <c r="F16" s="20" t="inlineStr">
        <is>
          <t>Todos</t>
        </is>
      </c>
      <c r="G16" s="20" t="inlineStr">
        <is>
          <t>X</t>
        </is>
      </c>
      <c r="H16" s="20" t="n">
        <v>0</v>
      </c>
      <c r="I16" s="20" t="n">
        <v>0</v>
      </c>
      <c r="J16" s="20" t="n">
        <v>0</v>
      </c>
      <c r="K16" s="20" t="n"/>
      <c r="L16" s="20" t="inlineStr">
        <is>
          <t>X</t>
        </is>
      </c>
      <c r="M16" s="20" t="n">
        <v>0</v>
      </c>
      <c r="N16" s="20" t="inlineStr">
        <is>
          <t>X</t>
        </is>
      </c>
      <c r="O16" s="20" t="n">
        <v>0</v>
      </c>
      <c r="P16" s="20" t="n">
        <v>0</v>
      </c>
      <c r="Q16" s="20" t="n">
        <v>0</v>
      </c>
      <c r="R16" s="20" t="inlineStr">
        <is>
          <t>PV-IN-04 4.8</t>
        </is>
      </c>
    </row>
    <row r="17">
      <c r="A17" s="20" t="n">
        <v>16</v>
      </c>
      <c r="B17" s="20" t="inlineStr">
        <is>
          <t>ECC-3</t>
        </is>
      </c>
      <c r="C17" s="20" t="inlineStr">
        <is>
          <t>pr_ecc_cobra_con_respeto_y_dentro_de_la_ley</t>
        </is>
      </c>
      <c r="D17" s="20" t="inlineStr">
        <is>
          <t>Cobra con respeto y dentro de la ley: sin intimidar ni presionar, sin informar la deuda a terceros o referencias, y en los horarios y canales permitidos.</t>
        </is>
      </c>
      <c r="E17" s="20" t="inlineStr">
        <is>
          <t>ECC</t>
        </is>
      </c>
      <c r="F17" s="20" t="inlineStr">
        <is>
          <t>Cobranza</t>
        </is>
      </c>
      <c r="G17" s="20" t="inlineStr">
        <is>
          <t>X</t>
        </is>
      </c>
      <c r="H17" s="20" t="n"/>
      <c r="I17" s="20" t="n">
        <v>0</v>
      </c>
      <c r="J17" s="20" t="n">
        <v>0</v>
      </c>
      <c r="K17" s="20" t="n"/>
      <c r="L17" s="20" t="inlineStr">
        <is>
          <t>X</t>
        </is>
      </c>
      <c r="M17" s="20" t="n">
        <v>0</v>
      </c>
      <c r="N17" s="20" t="n"/>
      <c r="O17" s="20" t="n"/>
      <c r="P17" s="20" t="n"/>
      <c r="Q17" s="20" t="n"/>
      <c r="R17" s="20" t="inlineStr">
        <is>
          <t>Ley 2300 de 2023 y Ley 1266 de 2008</t>
        </is>
      </c>
    </row>
    <row r="18">
      <c r="A18" s="8" t="n">
        <v>17</v>
      </c>
      <c r="B18" s="8" t="inlineStr">
        <is>
          <t>P1-1</t>
        </is>
      </c>
      <c r="C18" s="8" t="inlineStr">
        <is>
          <t>pr_sigue_cadencia_48h_multicanal</t>
        </is>
      </c>
      <c r="D18" s="8" t="inlineStr">
        <is>
          <t>Sigue la cadencia de 48 h por varios canales (WhatsApp, llamada en franja, último intento con correo y secuencia).</t>
        </is>
      </c>
      <c r="E18" s="8" t="inlineStr">
        <is>
          <t>No crítico</t>
        </is>
      </c>
      <c r="F18" s="8" t="inlineStr">
        <is>
          <t>Comercial</t>
        </is>
      </c>
      <c r="G18" s="8" t="inlineStr">
        <is>
          <t>X</t>
        </is>
      </c>
      <c r="H18" s="8" t="n">
        <v>6</v>
      </c>
      <c r="I18" s="8" t="n"/>
      <c r="J18" s="8" t="n"/>
      <c r="K18" s="8" t="n">
        <v>18</v>
      </c>
      <c r="L18" s="8" t="inlineStr">
        <is>
          <t>X</t>
        </is>
      </c>
      <c r="M18" s="8" t="n">
        <v>0</v>
      </c>
      <c r="N18" s="8" t="inlineStr">
        <is>
          <t>X</t>
        </is>
      </c>
      <c r="O18" s="8" t="n">
        <v>6</v>
      </c>
      <c r="P18" s="8" t="n"/>
      <c r="Q18" s="8" t="n"/>
      <c r="R18" s="8" t="inlineStr">
        <is>
          <t>PV-PR-09 6.3</t>
        </is>
      </c>
    </row>
    <row r="19">
      <c r="A19" s="25" t="n">
        <v>18</v>
      </c>
      <c r="B19" s="25" t="inlineStr">
        <is>
          <t>P1-2</t>
        </is>
      </c>
      <c r="C19" s="25" t="inlineStr">
        <is>
          <t>pr_responde_a_tiempo_en_conversacion_activa</t>
        </is>
      </c>
      <c r="D19" s="25" t="inlineStr">
        <is>
          <t>Responde a tiempo en una conversación activa.</t>
        </is>
      </c>
      <c r="E19" s="25" t="inlineStr">
        <is>
          <t>No crítico</t>
        </is>
      </c>
      <c r="F19" s="25" t="inlineStr">
        <is>
          <t>Comercial</t>
        </is>
      </c>
      <c r="G19" s="25" t="inlineStr">
        <is>
          <t>X</t>
        </is>
      </c>
      <c r="H19" s="25" t="n">
        <v>3</v>
      </c>
      <c r="I19" s="25" t="n"/>
      <c r="J19" s="25" t="n"/>
      <c r="K19" s="25" t="n"/>
      <c r="L19" s="25" t="inlineStr">
        <is>
          <t>X</t>
        </is>
      </c>
      <c r="M19" s="25" t="n">
        <v>0</v>
      </c>
      <c r="N19" s="25" t="n"/>
      <c r="O19" s="25" t="n"/>
      <c r="P19" s="25" t="n"/>
      <c r="Q19" s="25" t="n"/>
      <c r="R19" s="25" t="inlineStr">
        <is>
          <t>AS-040</t>
        </is>
      </c>
    </row>
    <row r="20">
      <c r="A20" s="25" t="n">
        <v>19</v>
      </c>
      <c r="B20" s="25" t="inlineStr">
        <is>
          <t>P2-1</t>
        </is>
      </c>
      <c r="C20" s="25" t="inlineStr">
        <is>
          <t>pr_revisa_duplicados_e_historial</t>
        </is>
      </c>
      <c r="D20" s="25" t="inlineStr">
        <is>
          <t>Revisa duplicados e historial antes de gestionar.</t>
        </is>
      </c>
      <c r="E20" s="25" t="inlineStr">
        <is>
          <t>No crítico</t>
        </is>
      </c>
      <c r="F20" s="25" t="inlineStr">
        <is>
          <t>Comercial</t>
        </is>
      </c>
      <c r="G20" s="25" t="inlineStr">
        <is>
          <t>X</t>
        </is>
      </c>
      <c r="H20" s="25" t="n">
        <v>2</v>
      </c>
      <c r="I20" s="25" t="n"/>
      <c r="J20" s="25" t="n"/>
      <c r="K20" s="25" t="n"/>
      <c r="L20" s="25" t="inlineStr">
        <is>
          <t>X</t>
        </is>
      </c>
      <c r="M20" s="25" t="n">
        <v>0</v>
      </c>
      <c r="N20" s="25" t="n"/>
      <c r="O20" s="25" t="n"/>
      <c r="P20" s="25" t="n"/>
      <c r="Q20" s="25" t="n"/>
      <c r="R20" s="25" t="inlineStr">
        <is>
          <t>PV-IN-08</t>
        </is>
      </c>
    </row>
    <row r="21">
      <c r="A21" s="25" t="n">
        <v>20</v>
      </c>
      <c r="B21" s="25" t="inlineStr">
        <is>
          <t>P2-2</t>
        </is>
      </c>
      <c r="C21" s="25" t="inlineStr">
        <is>
          <t>pr_perfila_el_caso</t>
        </is>
      </c>
      <c r="D21" s="25" t="inlineStr">
        <is>
          <t>Perfila el caso: tipo, línea, ciudad, sede y canal; en educativo, universidad y modalidad.</t>
        </is>
      </c>
      <c r="E21" s="25" t="inlineStr">
        <is>
          <t>No crítico</t>
        </is>
      </c>
      <c r="F21" s="25" t="inlineStr">
        <is>
          <t>Comercial</t>
        </is>
      </c>
      <c r="G21" s="25" t="inlineStr">
        <is>
          <t>X</t>
        </is>
      </c>
      <c r="H21" s="25" t="n">
        <v>3</v>
      </c>
      <c r="I21" s="25" t="n"/>
      <c r="J21" s="25" t="n"/>
      <c r="K21" s="25" t="n"/>
      <c r="L21" s="25" t="inlineStr">
        <is>
          <t>X</t>
        </is>
      </c>
      <c r="M21" s="25" t="n">
        <v>0</v>
      </c>
      <c r="N21" s="25" t="n"/>
      <c r="O21" s="25" t="n"/>
      <c r="P21" s="25" t="n"/>
      <c r="Q21" s="25" t="n"/>
      <c r="R21" s="25" t="inlineStr">
        <is>
          <t>PV-IN-08</t>
        </is>
      </c>
    </row>
    <row r="22">
      <c r="A22" s="8" t="n">
        <v>21</v>
      </c>
      <c r="B22" s="8" t="inlineStr">
        <is>
          <t>P2-3</t>
        </is>
      </c>
      <c r="C22" s="8" t="inlineStr">
        <is>
          <t>pr_indaga_que_monto_y_cuando_financiar</t>
        </is>
      </c>
      <c r="D22" s="8" t="inlineStr">
        <is>
          <t>Indaga qué quiere financiar, por qué monto y para cuándo.</t>
        </is>
      </c>
      <c r="E22" s="8" t="inlineStr">
        <is>
          <t>No crítico</t>
        </is>
      </c>
      <c r="F22" s="8" t="inlineStr">
        <is>
          <t>Comercial</t>
        </is>
      </c>
      <c r="G22" s="8" t="inlineStr">
        <is>
          <t>X</t>
        </is>
      </c>
      <c r="H22" s="8" t="n">
        <v>4</v>
      </c>
      <c r="I22" s="8" t="n"/>
      <c r="J22" s="8" t="n"/>
      <c r="K22" s="8" t="n">
        <v>20</v>
      </c>
      <c r="L22" s="8" t="inlineStr">
        <is>
          <t>X</t>
        </is>
      </c>
      <c r="M22" s="8" t="n">
        <v>0</v>
      </c>
      <c r="N22" s="8" t="inlineStr">
        <is>
          <t>X</t>
        </is>
      </c>
      <c r="O22" s="8" t="n">
        <v>4</v>
      </c>
      <c r="P22" s="8" t="n"/>
      <c r="Q22" s="8" t="n"/>
      <c r="R22" s="8" t="inlineStr">
        <is>
          <t>PV-PR-09 6.3</t>
        </is>
      </c>
    </row>
    <row r="23">
      <c r="A23" s="8" t="n">
        <v>22</v>
      </c>
      <c r="B23" s="8" t="inlineStr">
        <is>
          <t>P2-4</t>
        </is>
      </c>
      <c r="C23" s="8" t="inlineStr">
        <is>
          <t>pr_resuelve_dudas_y_objeciones_sin_presionar</t>
        </is>
      </c>
      <c r="D23" s="8" t="inlineStr">
        <is>
          <t>Resuelve dudas y objeciones sin presionar.</t>
        </is>
      </c>
      <c r="E23" s="8" t="inlineStr">
        <is>
          <t>No crítico</t>
        </is>
      </c>
      <c r="F23" s="8" t="inlineStr">
        <is>
          <t>Comercial</t>
        </is>
      </c>
      <c r="G23" s="8" t="inlineStr">
        <is>
          <t>X</t>
        </is>
      </c>
      <c r="H23" s="8" t="n">
        <v>4</v>
      </c>
      <c r="I23" s="8" t="n"/>
      <c r="J23" s="8" t="n"/>
      <c r="K23" s="8" t="n">
        <v>20</v>
      </c>
      <c r="L23" s="8" t="inlineStr">
        <is>
          <t>X</t>
        </is>
      </c>
      <c r="M23" s="8" t="n">
        <v>0</v>
      </c>
      <c r="N23" s="8" t="inlineStr">
        <is>
          <t>X</t>
        </is>
      </c>
      <c r="O23" s="8" t="n">
        <v>4</v>
      </c>
      <c r="P23" s="8" t="n"/>
      <c r="Q23" s="8" t="n"/>
      <c r="R23" s="8" t="inlineStr">
        <is>
          <t>AS-026</t>
        </is>
      </c>
    </row>
    <row r="24">
      <c r="A24" s="8" t="n">
        <v>23</v>
      </c>
      <c r="B24" s="8" t="inlineStr">
        <is>
          <t>P2-5</t>
        </is>
      </c>
      <c r="C24" s="8" t="inlineStr">
        <is>
          <t>pr_ofrece_valor_adicional_o_alternativa</t>
        </is>
      </c>
      <c r="D24" s="8" t="inlineStr">
        <is>
          <t>Ofrece un valor adicional o una alternativa permitida cuando corresponde.</t>
        </is>
      </c>
      <c r="E24" s="8" t="inlineStr">
        <is>
          <t>No crítico</t>
        </is>
      </c>
      <c r="F24" s="8" t="inlineStr">
        <is>
          <t>Comercial</t>
        </is>
      </c>
      <c r="G24" s="8" t="inlineStr">
        <is>
          <t>X</t>
        </is>
      </c>
      <c r="H24" s="8" t="n">
        <v>2</v>
      </c>
      <c r="I24" s="8" t="n"/>
      <c r="J24" s="8" t="n"/>
      <c r="K24" s="8" t="n">
        <v>20</v>
      </c>
      <c r="L24" s="8" t="inlineStr">
        <is>
          <t>X</t>
        </is>
      </c>
      <c r="M24" s="8" t="n">
        <v>0</v>
      </c>
      <c r="N24" s="8" t="inlineStr">
        <is>
          <t>X</t>
        </is>
      </c>
      <c r="O24" s="8" t="n">
        <v>2</v>
      </c>
      <c r="P24" s="8" t="n"/>
      <c r="Q24" s="8" t="n"/>
      <c r="R24" s="8" t="inlineStr">
        <is>
          <t>PV-PR-09</t>
        </is>
      </c>
    </row>
    <row r="25">
      <c r="A25" s="8" t="n">
        <v>24</v>
      </c>
      <c r="B25" s="8" t="inlineStr">
        <is>
          <t>P3-1</t>
        </is>
      </c>
      <c r="C25" s="8" t="inlineStr">
        <is>
          <t>pr_pendientes_con_tarea_responsable_y_fecha</t>
        </is>
      </c>
      <c r="D25" s="8" t="inlineStr">
        <is>
          <t>Cada documento o pendiente tiene tarea, responsable y fecha.</t>
        </is>
      </c>
      <c r="E25" s="8" t="inlineStr">
        <is>
          <t>No crítico</t>
        </is>
      </c>
      <c r="F25" s="8" t="inlineStr">
        <is>
          <t>Comercial</t>
        </is>
      </c>
      <c r="G25" s="8" t="inlineStr">
        <is>
          <t>X</t>
        </is>
      </c>
      <c r="H25" s="8" t="n">
        <v>4</v>
      </c>
      <c r="I25" s="8" t="n"/>
      <c r="J25" s="8" t="n"/>
      <c r="K25" s="8" t="n">
        <v>39</v>
      </c>
      <c r="L25" s="8" t="inlineStr">
        <is>
          <t>X</t>
        </is>
      </c>
      <c r="M25" s="8" t="n">
        <v>0</v>
      </c>
      <c r="N25" s="8" t="inlineStr">
        <is>
          <t>X</t>
        </is>
      </c>
      <c r="O25" s="8" t="n">
        <v>4</v>
      </c>
      <c r="P25" s="8" t="n"/>
      <c r="Q25" s="8" t="n"/>
      <c r="R25" s="8" t="inlineStr">
        <is>
          <t>PV-IN-09</t>
        </is>
      </c>
    </row>
    <row r="26">
      <c r="A26" s="8" t="n">
        <v>25</v>
      </c>
      <c r="B26" s="8" t="inlineStr">
        <is>
          <t>P3-2</t>
        </is>
      </c>
      <c r="C26" s="8" t="inlineStr">
        <is>
          <t>pr_escala_estudio_y_gestiona_congelado_48h</t>
        </is>
      </c>
      <c r="D26" s="8" t="inlineStr">
        <is>
          <t>En estudio escala a las 48 h y gestiona el negocio Congelado en 48 h o menos.</t>
        </is>
      </c>
      <c r="E26" s="8" t="inlineStr">
        <is>
          <t>No crítico</t>
        </is>
      </c>
      <c r="F26" s="8" t="inlineStr">
        <is>
          <t>Comercial</t>
        </is>
      </c>
      <c r="G26" s="8" t="inlineStr">
        <is>
          <t>X</t>
        </is>
      </c>
      <c r="H26" s="8" t="n">
        <v>4</v>
      </c>
      <c r="I26" s="8" t="n"/>
      <c r="J26" s="8" t="n"/>
      <c r="K26" s="8" t="n">
        <v>39</v>
      </c>
      <c r="L26" s="8" t="inlineStr">
        <is>
          <t>X</t>
        </is>
      </c>
      <c r="M26" s="8" t="n">
        <v>0</v>
      </c>
      <c r="N26" s="8" t="inlineStr">
        <is>
          <t>X</t>
        </is>
      </c>
      <c r="O26" s="8" t="n">
        <v>4</v>
      </c>
      <c r="P26" s="8" t="n"/>
      <c r="Q26" s="8" t="n"/>
      <c r="R26" s="8" t="inlineStr">
        <is>
          <t>PV-IN-09</t>
        </is>
      </c>
    </row>
    <row r="27">
      <c r="A27" s="8" t="n">
        <v>26</v>
      </c>
      <c r="B27" s="8" t="inlineStr">
        <is>
          <t>P3-3</t>
        </is>
      </c>
      <c r="C27" s="8" t="inlineStr">
        <is>
          <t>pr_aprobado_confirma_condiciones_y_sigue_desembolso</t>
        </is>
      </c>
      <c r="D27" s="8" t="inlineStr">
        <is>
          <t>En Aprobado confirma condiciones y aceptación del asociado, y hace seguimiento al desembolso.</t>
        </is>
      </c>
      <c r="E27" s="8" t="inlineStr">
        <is>
          <t>No crítico</t>
        </is>
      </c>
      <c r="F27" s="8" t="inlineStr">
        <is>
          <t>Comercial</t>
        </is>
      </c>
      <c r="G27" s="8" t="inlineStr">
        <is>
          <t>X</t>
        </is>
      </c>
      <c r="H27" s="8" t="n">
        <v>4</v>
      </c>
      <c r="I27" s="8" t="n"/>
      <c r="J27" s="8" t="n"/>
      <c r="K27" s="8" t="n">
        <v>39</v>
      </c>
      <c r="L27" s="8" t="inlineStr">
        <is>
          <t>X</t>
        </is>
      </c>
      <c r="M27" s="8" t="n">
        <v>0</v>
      </c>
      <c r="N27" s="8" t="inlineStr">
        <is>
          <t>X</t>
        </is>
      </c>
      <c r="O27" s="8" t="n">
        <v>4</v>
      </c>
      <c r="P27" s="8" t="n"/>
      <c r="Q27" s="8" t="n"/>
      <c r="R27" s="8" t="inlineStr">
        <is>
          <t>PV-IN-09</t>
        </is>
      </c>
    </row>
    <row r="28">
      <c r="A28" s="8" t="n">
        <v>27</v>
      </c>
      <c r="B28" s="8" t="inlineStr">
        <is>
          <t>P3-4</t>
        </is>
      </c>
      <c r="C28" s="8" t="inlineStr">
        <is>
          <t>pr_usa_motivo_correcto_al_descalificar</t>
        </is>
      </c>
      <c r="D28" s="8" t="inlineStr">
        <is>
          <t>Usa el motivo correcto al descalificar un lead o descartar un negocio.</t>
        </is>
      </c>
      <c r="E28" s="8" t="inlineStr">
        <is>
          <t>No crítico</t>
        </is>
      </c>
      <c r="F28" s="8" t="inlineStr">
        <is>
          <t>Comercial</t>
        </is>
      </c>
      <c r="G28" s="8" t="inlineStr">
        <is>
          <t>X</t>
        </is>
      </c>
      <c r="H28" s="8" t="n">
        <v>2</v>
      </c>
      <c r="I28" s="8" t="n"/>
      <c r="J28" s="8" t="n"/>
      <c r="K28" s="8" t="n">
        <v>39</v>
      </c>
      <c r="L28" s="8" t="inlineStr">
        <is>
          <t>X</t>
        </is>
      </c>
      <c r="M28" s="8" t="n">
        <v>0</v>
      </c>
      <c r="N28" s="8" t="inlineStr">
        <is>
          <t>X</t>
        </is>
      </c>
      <c r="O28" s="8" t="n">
        <v>2</v>
      </c>
      <c r="P28" s="8" t="n"/>
      <c r="Q28" s="8" t="n"/>
      <c r="R28" s="8" t="inlineStr">
        <is>
          <t>PV-IN-08 / PV-IN-09</t>
        </is>
      </c>
    </row>
    <row r="29">
      <c r="A29" s="8" t="n">
        <v>28</v>
      </c>
      <c r="B29" s="8" t="inlineStr">
        <is>
          <t>P3-5</t>
        </is>
      </c>
      <c r="C29" s="8" t="inlineStr">
        <is>
          <t>pr_postventa_informa_pagos_y_registra_ticket</t>
        </is>
      </c>
      <c r="D29" s="8" t="inlineStr">
        <is>
          <t>En postventa informa fecha y medios de pago y canales oficiales, y registra novedades en ticket.</t>
        </is>
      </c>
      <c r="E29" s="8" t="inlineStr">
        <is>
          <t>No crítico</t>
        </is>
      </c>
      <c r="F29" s="8" t="inlineStr">
        <is>
          <t>Comercial</t>
        </is>
      </c>
      <c r="G29" s="8" t="inlineStr">
        <is>
          <t>X</t>
        </is>
      </c>
      <c r="H29" s="8" t="n">
        <v>2</v>
      </c>
      <c r="I29" s="8" t="n"/>
      <c r="J29" s="8" t="n"/>
      <c r="K29" s="8" t="n">
        <v>39</v>
      </c>
      <c r="L29" s="8" t="inlineStr">
        <is>
          <t>X</t>
        </is>
      </c>
      <c r="M29" s="8" t="n">
        <v>0</v>
      </c>
      <c r="N29" s="8" t="inlineStr">
        <is>
          <t>X</t>
        </is>
      </c>
      <c r="O29" s="8" t="n">
        <v>2</v>
      </c>
      <c r="P29" s="8" t="n"/>
      <c r="Q29" s="8" t="n"/>
      <c r="R29" s="8" t="inlineStr">
        <is>
          <t>PV-IN-05</t>
        </is>
      </c>
    </row>
    <row r="30">
      <c r="A30" s="25" t="n">
        <v>29</v>
      </c>
      <c r="B30" s="25" t="inlineStr">
        <is>
          <t>CB-1</t>
        </is>
      </c>
      <c r="C30" s="25" t="inlineStr">
        <is>
          <t>pr_informa_obligacion_correcta_y_vigente</t>
        </is>
      </c>
      <c r="D30" s="25" t="inlineStr">
        <is>
          <t>Da información correcta, completa y vigente de la obligación: valor a pagar, fecha límite, referencia o recibo y medios de pago oficiales.</t>
        </is>
      </c>
      <c r="E30" s="25" t="inlineStr">
        <is>
          <t>No crítico</t>
        </is>
      </c>
      <c r="F30" s="25" t="inlineStr">
        <is>
          <t>Cobranza</t>
        </is>
      </c>
      <c r="G30" s="25" t="inlineStr">
        <is>
          <t>X</t>
        </is>
      </c>
      <c r="H30" s="25" t="n"/>
      <c r="I30" s="25" t="n">
        <v>10</v>
      </c>
      <c r="J30" s="25" t="n">
        <v>10</v>
      </c>
      <c r="K30" s="25" t="n"/>
      <c r="L30" s="25" t="inlineStr">
        <is>
          <t>X</t>
        </is>
      </c>
      <c r="M30" s="25" t="n">
        <v>0</v>
      </c>
      <c r="N30" s="25" t="n"/>
      <c r="O30" s="25" t="n"/>
      <c r="P30" s="25" t="n"/>
      <c r="Q30" s="25" t="n"/>
      <c r="R30" s="25" t="inlineStr">
        <is>
          <t>Política de cartera</t>
        </is>
      </c>
    </row>
    <row r="31">
      <c r="A31" s="8" t="n">
        <v>30</v>
      </c>
      <c r="B31" s="8" t="inlineStr">
        <is>
          <t>CB-2</t>
        </is>
      </c>
      <c r="C31" s="8" t="inlineStr">
        <is>
          <t>pr_ofrece_alternativas_de_pago_autorizadas</t>
        </is>
      </c>
      <c r="D31" s="8" t="inlineStr">
        <is>
          <t>Ofrece de inmediato alternativas de pago autorizadas según la situación del asociado (fecha de compromiso, acuerdo, normalización si aplica).</t>
        </is>
      </c>
      <c r="E31" s="8" t="inlineStr">
        <is>
          <t>No crítico</t>
        </is>
      </c>
      <c r="F31" s="8" t="inlineStr">
        <is>
          <t>Cobranza</t>
        </is>
      </c>
      <c r="G31" s="8" t="inlineStr">
        <is>
          <t>X</t>
        </is>
      </c>
      <c r="H31" s="8" t="n"/>
      <c r="I31" s="8" t="n">
        <v>8</v>
      </c>
      <c r="J31" s="8" t="n">
        <v>8</v>
      </c>
      <c r="K31" s="8" t="n">
        <v>29</v>
      </c>
      <c r="L31" s="8" t="inlineStr">
        <is>
          <t>X</t>
        </is>
      </c>
      <c r="M31" s="8" t="n">
        <v>0</v>
      </c>
      <c r="N31" s="8" t="inlineStr">
        <is>
          <t>X</t>
        </is>
      </c>
      <c r="O31" s="8" t="n"/>
      <c r="P31" s="8" t="n">
        <v>8</v>
      </c>
      <c r="Q31" s="8" t="n">
        <v>8</v>
      </c>
      <c r="R31" s="8" t="inlineStr">
        <is>
          <t>Política de cartera</t>
        </is>
      </c>
    </row>
    <row r="32">
      <c r="A32" s="25" t="n">
        <v>31</v>
      </c>
      <c r="B32" s="25" t="inlineStr">
        <is>
          <t>CB-3</t>
        </is>
      </c>
      <c r="C32" s="25" t="inlineStr">
        <is>
          <t>pr_registra_resultado_cobranza_en_hubspot</t>
        </is>
      </c>
      <c r="D32" s="25" t="inlineStr">
        <is>
          <t>Registra el resultado en HubSpot: compromiso de pago (valor y fecha), novedad o motivo de no pago.</t>
        </is>
      </c>
      <c r="E32" s="25" t="inlineStr">
        <is>
          <t>No crítico</t>
        </is>
      </c>
      <c r="F32" s="25" t="inlineStr">
        <is>
          <t>Cobranza</t>
        </is>
      </c>
      <c r="G32" s="25" t="inlineStr">
        <is>
          <t>X</t>
        </is>
      </c>
      <c r="H32" s="25" t="n"/>
      <c r="I32" s="25" t="n">
        <v>6</v>
      </c>
      <c r="J32" s="25" t="n">
        <v>6</v>
      </c>
      <c r="K32" s="25" t="n"/>
      <c r="L32" s="25" t="inlineStr">
        <is>
          <t>X</t>
        </is>
      </c>
      <c r="M32" s="25" t="n">
        <v>0</v>
      </c>
      <c r="N32" s="25" t="n"/>
      <c r="O32" s="25" t="n"/>
      <c r="P32" s="25" t="n"/>
      <c r="Q32" s="25" t="n"/>
      <c r="R32" s="25" t="inlineStr">
        <is>
          <t>PV-PR-09 8</t>
        </is>
      </c>
    </row>
    <row r="33">
      <c r="A33" s="8" t="n">
        <v>32</v>
      </c>
      <c r="B33" s="8" t="inlineStr">
        <is>
          <t>CB-4</t>
        </is>
      </c>
      <c r="C33" s="8" t="inlineStr">
        <is>
          <t>pr_deja_tarea_seguimiento_compromiso_pago</t>
        </is>
      </c>
      <c r="D33" s="8" t="inlineStr">
        <is>
          <t>Deja tarea de seguimiento al compromiso de pago con fecha.</t>
        </is>
      </c>
      <c r="E33" s="8" t="inlineStr">
        <is>
          <t>No crítico</t>
        </is>
      </c>
      <c r="F33" s="8" t="inlineStr">
        <is>
          <t>Cobranza</t>
        </is>
      </c>
      <c r="G33" s="8" t="inlineStr">
        <is>
          <t>X</t>
        </is>
      </c>
      <c r="H33" s="8" t="n"/>
      <c r="I33" s="8" t="n">
        <v>4</v>
      </c>
      <c r="J33" s="8" t="n">
        <v>4</v>
      </c>
      <c r="K33" s="8" t="n">
        <v>31</v>
      </c>
      <c r="L33" s="8" t="inlineStr">
        <is>
          <t>X</t>
        </is>
      </c>
      <c r="M33" s="8" t="n">
        <v>0</v>
      </c>
      <c r="N33" s="8" t="inlineStr">
        <is>
          <t>X</t>
        </is>
      </c>
      <c r="O33" s="8" t="n"/>
      <c r="P33" s="8" t="n">
        <v>4</v>
      </c>
      <c r="Q33" s="8" t="n">
        <v>4</v>
      </c>
      <c r="R33" s="8" t="inlineStr">
        <is>
          <t>PV-PR-09 6.1</t>
        </is>
      </c>
    </row>
    <row r="34">
      <c r="A34" s="25" t="n">
        <v>33</v>
      </c>
      <c r="B34" s="25" t="inlineStr">
        <is>
          <t>CB-5</t>
        </is>
      </c>
      <c r="C34" s="25" t="inlineStr">
        <is>
          <t>pr_consulta_responde_oportunamente</t>
        </is>
      </c>
      <c r="D34" s="25" t="inlineStr">
        <is>
          <t>Consulta del asociado: responde de forma oportuna, dentro del tiempo de respuesta del canal.</t>
        </is>
      </c>
      <c r="E34" s="25" t="inlineStr">
        <is>
          <t>No crítico</t>
        </is>
      </c>
      <c r="F34" s="25" t="inlineStr">
        <is>
          <t>Cobranza - consulta</t>
        </is>
      </c>
      <c r="G34" s="25" t="inlineStr">
        <is>
          <t>X</t>
        </is>
      </c>
      <c r="H34" s="25" t="n"/>
      <c r="I34" s="25" t="n">
        <v>6</v>
      </c>
      <c r="J34" s="25" t="n"/>
      <c r="K34" s="25" t="n"/>
      <c r="L34" s="25" t="inlineStr">
        <is>
          <t>X</t>
        </is>
      </c>
      <c r="M34" s="25" t="n">
        <v>0</v>
      </c>
      <c r="N34" s="25" t="n"/>
      <c r="O34" s="25" t="n"/>
      <c r="P34" s="25" t="n"/>
      <c r="Q34" s="25" t="n"/>
      <c r="R34" s="25" t="inlineStr">
        <is>
          <t>AS-040</t>
        </is>
      </c>
    </row>
    <row r="35">
      <c r="A35" s="8" t="n">
        <v>34</v>
      </c>
      <c r="B35" s="8" t="inlineStr">
        <is>
          <t>CB-6</t>
        </is>
      </c>
      <c r="C35" s="8" t="inlineStr">
        <is>
          <t>pr_consulta_confirma_entendimiento_y_recibo_digital</t>
        </is>
      </c>
      <c r="D35" s="8" t="inlineStr">
        <is>
          <t>Consulta del asociado: confirma que entendió y le indica cómo descargar o consultar su recibo en los canales digitales.</t>
        </is>
      </c>
      <c r="E35" s="8" t="inlineStr">
        <is>
          <t>No crítico</t>
        </is>
      </c>
      <c r="F35" s="8" t="inlineStr">
        <is>
          <t>Cobranza - consulta</t>
        </is>
      </c>
      <c r="G35" s="8" t="inlineStr">
        <is>
          <t>X</t>
        </is>
      </c>
      <c r="H35" s="8" t="n"/>
      <c r="I35" s="8" t="n">
        <v>6</v>
      </c>
      <c r="J35" s="8" t="n"/>
      <c r="K35" s="8" t="n">
        <v>33</v>
      </c>
      <c r="L35" s="8" t="inlineStr">
        <is>
          <t>X</t>
        </is>
      </c>
      <c r="M35" s="8" t="n">
        <v>0</v>
      </c>
      <c r="N35" s="8" t="inlineStr">
        <is>
          <t>X</t>
        </is>
      </c>
      <c r="O35" s="8" t="n"/>
      <c r="P35" s="8" t="n">
        <v>6</v>
      </c>
      <c r="Q35" s="8" t="n"/>
      <c r="R35" s="8" t="inlineStr">
        <is>
          <t>PV-FR-59 (valor)</t>
        </is>
      </c>
    </row>
    <row r="36">
      <c r="A36" s="25" t="n">
        <v>35</v>
      </c>
      <c r="B36" s="25" t="inlineStr">
        <is>
          <t>CC-1</t>
        </is>
      </c>
      <c r="C36" s="25" t="inlineStr">
        <is>
          <t>pr_campana_responde_replica_oportunamente</t>
        </is>
      </c>
      <c r="D36" s="25" t="inlineStr">
        <is>
          <t>Campaña: responde la réplica del asociado a la plantilla masiva de cobranza de forma oportuna (tiempo definido por la coordinación).</t>
        </is>
      </c>
      <c r="E36" s="25" t="inlineStr">
        <is>
          <t>No crítico</t>
        </is>
      </c>
      <c r="F36" s="25" t="inlineStr">
        <is>
          <t>Cobranza - campaña</t>
        </is>
      </c>
      <c r="G36" s="25" t="inlineStr">
        <is>
          <t>X</t>
        </is>
      </c>
      <c r="H36" s="25" t="n"/>
      <c r="I36" s="25" t="n"/>
      <c r="J36" s="25" t="n">
        <v>6</v>
      </c>
      <c r="K36" s="25" t="n"/>
      <c r="L36" s="25" t="inlineStr">
        <is>
          <t>X</t>
        </is>
      </c>
      <c r="M36" s="25" t="n">
        <v>0</v>
      </c>
      <c r="N36" s="25" t="n"/>
      <c r="O36" s="25" t="n"/>
      <c r="P36" s="25" t="n"/>
      <c r="Q36" s="25" t="n"/>
      <c r="R36" s="25" t="inlineStr">
        <is>
          <t>Workflow de cobranza WhatsApp</t>
        </is>
      </c>
    </row>
    <row r="37">
      <c r="A37" s="25" t="n">
        <v>36</v>
      </c>
      <c r="B37" s="25" t="inlineStr">
        <is>
          <t>CC-2</t>
        </is>
      </c>
      <c r="C37" s="25" t="inlineStr">
        <is>
          <t>pr_campana_retoma_motivo_y_se_identifica</t>
        </is>
      </c>
      <c r="D37" s="25" t="inlineStr">
        <is>
          <t>Campaña: retoma el motivo del mensaje enviado, se identifica y explica por qué se le contactó, sin presionar.</t>
        </is>
      </c>
      <c r="E37" s="25" t="inlineStr">
        <is>
          <t>No crítico</t>
        </is>
      </c>
      <c r="F37" s="25" t="inlineStr">
        <is>
          <t>Cobranza - campaña</t>
        </is>
      </c>
      <c r="G37" s="25" t="inlineStr">
        <is>
          <t>X</t>
        </is>
      </c>
      <c r="H37" s="25" t="n"/>
      <c r="I37" s="25" t="n"/>
      <c r="J37" s="25" t="n">
        <v>6</v>
      </c>
      <c r="K37" s="25" t="n"/>
      <c r="L37" s="25" t="inlineStr">
        <is>
          <t>X</t>
        </is>
      </c>
      <c r="M37" s="25" t="n">
        <v>0</v>
      </c>
      <c r="N37" s="25" t="n"/>
      <c r="O37" s="25" t="n"/>
      <c r="P37" s="25" t="n"/>
      <c r="Q37" s="25" t="n"/>
      <c r="R37" s="25" t="inlineStr">
        <is>
          <t>Ley 2300 de 2023</t>
        </is>
      </c>
    </row>
    <row r="38">
      <c r="A38" s="25" t="n">
        <v>37</v>
      </c>
      <c r="B38" s="25" t="inlineStr">
        <is>
          <t>P4-1</t>
        </is>
      </c>
      <c r="C38" s="25" t="inlineStr">
        <is>
          <t>pr_registra_contacto_como_actividad_correcta</t>
        </is>
      </c>
      <c r="D38" s="25" t="inlineStr">
        <is>
          <t>Registra cada contacto como actividad del tipo correcto, con fecha y hora reales.</t>
        </is>
      </c>
      <c r="E38" s="25" t="inlineStr">
        <is>
          <t>No crítico</t>
        </is>
      </c>
      <c r="F38" s="25" t="inlineStr">
        <is>
          <t>Todos</t>
        </is>
      </c>
      <c r="G38" s="25" t="inlineStr">
        <is>
          <t>X</t>
        </is>
      </c>
      <c r="H38" s="25" t="n">
        <v>6</v>
      </c>
      <c r="I38" s="25" t="n">
        <v>6</v>
      </c>
      <c r="J38" s="25" t="n">
        <v>6</v>
      </c>
      <c r="K38" s="25" t="n"/>
      <c r="L38" s="25" t="inlineStr">
        <is>
          <t>X</t>
        </is>
      </c>
      <c r="M38" s="25" t="n">
        <v>0</v>
      </c>
      <c r="N38" s="25" t="n"/>
      <c r="O38" s="25" t="n"/>
      <c r="P38" s="25" t="n"/>
      <c r="Q38" s="25" t="n"/>
      <c r="R38" s="25" t="inlineStr">
        <is>
          <t>PV-IN-10</t>
        </is>
      </c>
    </row>
    <row r="39">
      <c r="A39" s="25" t="n">
        <v>38</v>
      </c>
      <c r="B39" s="25" t="inlineStr">
        <is>
          <t>P4-2</t>
        </is>
      </c>
      <c r="C39" s="25" t="inlineStr">
        <is>
          <t>pr_actividad_en_objeto_correcto_y_asociada</t>
        </is>
      </c>
      <c r="D39" s="25" t="inlineStr">
        <is>
          <t>La actividad queda en el objeto correcto (lead, negocio o ticket) y asociada al contacto.</t>
        </is>
      </c>
      <c r="E39" s="25" t="inlineStr">
        <is>
          <t>No crítico</t>
        </is>
      </c>
      <c r="F39" s="25" t="inlineStr">
        <is>
          <t>Todos</t>
        </is>
      </c>
      <c r="G39" s="25" t="inlineStr">
        <is>
          <t>X</t>
        </is>
      </c>
      <c r="H39" s="25" t="n">
        <v>5</v>
      </c>
      <c r="I39" s="25" t="n">
        <v>5</v>
      </c>
      <c r="J39" s="25" t="n">
        <v>5</v>
      </c>
      <c r="K39" s="25" t="n"/>
      <c r="L39" s="25" t="inlineStr">
        <is>
          <t>X</t>
        </is>
      </c>
      <c r="M39" s="25" t="n">
        <v>0</v>
      </c>
      <c r="N39" s="25" t="n"/>
      <c r="O39" s="25" t="n"/>
      <c r="P39" s="25" t="n"/>
      <c r="Q39" s="25" t="n"/>
      <c r="R39" s="25" t="inlineStr">
        <is>
          <t>PV-IN-08</t>
        </is>
      </c>
    </row>
    <row r="40">
      <c r="A40" s="25" t="n">
        <v>39</v>
      </c>
      <c r="B40" s="25" t="inlineStr">
        <is>
          <t>P4-3</t>
        </is>
      </c>
      <c r="C40" s="25" t="inlineStr">
        <is>
          <t>pr_notas_dicen_que_paso_que_falta_quien_cuando</t>
        </is>
      </c>
      <c r="D40" s="25" t="inlineStr">
        <is>
          <t>Las notas dicen qué pasó, qué falta, quién lo hace y cuándo.</t>
        </is>
      </c>
      <c r="E40" s="25" t="inlineStr">
        <is>
          <t>No crítico</t>
        </is>
      </c>
      <c r="F40" s="25" t="inlineStr">
        <is>
          <t>Todos</t>
        </is>
      </c>
      <c r="G40" s="25" t="inlineStr">
        <is>
          <t>X</t>
        </is>
      </c>
      <c r="H40" s="25" t="n">
        <v>9</v>
      </c>
      <c r="I40" s="25" t="n">
        <v>9</v>
      </c>
      <c r="J40" s="25" t="n">
        <v>9</v>
      </c>
      <c r="K40" s="25" t="n"/>
      <c r="L40" s="25" t="inlineStr">
        <is>
          <t>X</t>
        </is>
      </c>
      <c r="M40" s="25" t="n">
        <v>0</v>
      </c>
      <c r="N40" s="25" t="n"/>
      <c r="O40" s="25" t="n"/>
      <c r="P40" s="25" t="n"/>
      <c r="Q40" s="25" t="n"/>
      <c r="R40" s="25" t="inlineStr">
        <is>
          <t>PV-PR-09 8</t>
        </is>
      </c>
    </row>
    <row r="41">
      <c r="A41" s="8" t="n">
        <v>40</v>
      </c>
      <c r="B41" s="8" t="inlineStr">
        <is>
          <t>P4-4</t>
        </is>
      </c>
      <c r="C41" s="8" t="inlineStr">
        <is>
          <t>pr_no_pide_de_nuevo_y_resume_al_transferir</t>
        </is>
      </c>
      <c r="D41" s="8" t="inlineStr">
        <is>
          <t>No pide de nuevo lo ya entregado y deja resumen si transfiere el caso.</t>
        </is>
      </c>
      <c r="E41" s="8" t="inlineStr">
        <is>
          <t>No crítico</t>
        </is>
      </c>
      <c r="F41" s="8" t="inlineStr">
        <is>
          <t>Todos</t>
        </is>
      </c>
      <c r="G41" s="8" t="inlineStr">
        <is>
          <t>X</t>
        </is>
      </c>
      <c r="H41" s="8" t="n">
        <v>5</v>
      </c>
      <c r="I41" s="8" t="n">
        <v>5</v>
      </c>
      <c r="J41" s="8" t="n">
        <v>5</v>
      </c>
      <c r="K41" s="8" t="n">
        <v>39</v>
      </c>
      <c r="L41" s="8" t="inlineStr">
        <is>
          <t>X</t>
        </is>
      </c>
      <c r="M41" s="8" t="n">
        <v>0</v>
      </c>
      <c r="N41" s="8" t="inlineStr">
        <is>
          <t>X</t>
        </is>
      </c>
      <c r="O41" s="8" t="n">
        <v>5</v>
      </c>
      <c r="P41" s="8" t="n">
        <v>5</v>
      </c>
      <c r="Q41" s="8" t="n">
        <v>5</v>
      </c>
      <c r="R41" s="8" t="inlineStr">
        <is>
          <t>AS-026</t>
        </is>
      </c>
    </row>
    <row r="42">
      <c r="A42" s="8" t="n">
        <v>41</v>
      </c>
      <c r="B42" s="8" t="inlineStr">
        <is>
          <t>P4-5</t>
        </is>
      </c>
      <c r="C42" s="8" t="inlineStr">
        <is>
          <t>pr_registra_datos_correctos_en_hubspot</t>
        </is>
      </c>
      <c r="D42" s="8" t="inlineStr">
        <is>
          <t>Registra correctamente los datos en HubSpot (documento, ID, radicado, correo, teléfono), sin errores.</t>
        </is>
      </c>
      <c r="E42" s="8" t="inlineStr">
        <is>
          <t>No crítico</t>
        </is>
      </c>
      <c r="F42" s="8" t="inlineStr">
        <is>
          <t>Todos</t>
        </is>
      </c>
      <c r="G42" s="8" t="inlineStr">
        <is>
          <t>X</t>
        </is>
      </c>
      <c r="H42" s="8" t="n">
        <v>3</v>
      </c>
      <c r="I42" s="8" t="n">
        <v>3</v>
      </c>
      <c r="J42" s="8" t="n">
        <v>3</v>
      </c>
      <c r="K42" s="8" t="n">
        <v>38</v>
      </c>
      <c r="L42" s="8" t="inlineStr">
        <is>
          <t>X</t>
        </is>
      </c>
      <c r="M42" s="8" t="n">
        <v>0</v>
      </c>
      <c r="N42" s="8" t="inlineStr">
        <is>
          <t>X</t>
        </is>
      </c>
      <c r="O42" s="8" t="n">
        <v>3</v>
      </c>
      <c r="P42" s="8" t="n">
        <v>3</v>
      </c>
      <c r="Q42" s="8" t="n">
        <v>3</v>
      </c>
      <c r="R42" s="8" t="inlineStr">
        <is>
          <t>PV-FR-59</t>
        </is>
      </c>
    </row>
    <row r="43">
      <c r="A43" s="25" t="n">
        <v>42</v>
      </c>
      <c r="B43" s="25" t="inlineStr">
        <is>
          <t>P5-1</t>
        </is>
      </c>
      <c r="C43" s="25" t="inlineStr">
        <is>
          <t>pr_cordial_claro_transmite_confianza_empatia</t>
        </is>
      </c>
      <c r="D43" s="25" t="inlineStr">
        <is>
          <t>Es cordial y claro, y transmite confianza y empatía.</t>
        </is>
      </c>
      <c r="E43" s="25" t="inlineStr">
        <is>
          <t>No crítico</t>
        </is>
      </c>
      <c r="F43" s="25" t="inlineStr">
        <is>
          <t>Todos</t>
        </is>
      </c>
      <c r="G43" s="25" t="inlineStr">
        <is>
          <t>X</t>
        </is>
      </c>
      <c r="H43" s="25" t="n">
        <v>8</v>
      </c>
      <c r="I43" s="25" t="n">
        <v>8</v>
      </c>
      <c r="J43" s="25" t="n">
        <v>8</v>
      </c>
      <c r="K43" s="25" t="n"/>
      <c r="L43" s="25" t="inlineStr">
        <is>
          <t>X</t>
        </is>
      </c>
      <c r="M43" s="25" t="n">
        <v>0</v>
      </c>
      <c r="N43" s="25" t="n"/>
      <c r="O43" s="25" t="n"/>
      <c r="P43" s="25" t="n"/>
      <c r="Q43" s="25" t="n"/>
      <c r="R43" s="25" t="inlineStr">
        <is>
          <t>AS-026</t>
        </is>
      </c>
    </row>
    <row r="44">
      <c r="A44" s="25" t="n">
        <v>43</v>
      </c>
      <c r="B44" s="25" t="inlineStr">
        <is>
          <t>P5-2</t>
        </is>
      </c>
      <c r="C44" s="25" t="inlineStr">
        <is>
          <t>pr_escucha_sin_interrumpir_no_discute</t>
        </is>
      </c>
      <c r="D44" s="25" t="inlineStr">
        <is>
          <t>Escucha sin interrumpir y no discute.</t>
        </is>
      </c>
      <c r="E44" s="25" t="inlineStr">
        <is>
          <t>No crítico</t>
        </is>
      </c>
      <c r="F44" s="25" t="inlineStr">
        <is>
          <t>Todos</t>
        </is>
      </c>
      <c r="G44" s="25" t="inlineStr">
        <is>
          <t>X</t>
        </is>
      </c>
      <c r="H44" s="25" t="n">
        <v>6</v>
      </c>
      <c r="I44" s="25" t="n">
        <v>6</v>
      </c>
      <c r="J44" s="25" t="n">
        <v>6</v>
      </c>
      <c r="K44" s="25" t="n"/>
      <c r="L44" s="25" t="inlineStr">
        <is>
          <t>X</t>
        </is>
      </c>
      <c r="M44" s="25" t="n">
        <v>0</v>
      </c>
      <c r="N44" s="25" t="n"/>
      <c r="O44" s="25" t="n"/>
      <c r="P44" s="25" t="n"/>
      <c r="Q44" s="25" t="n"/>
      <c r="R44" s="25" t="inlineStr">
        <is>
          <t>AS-026</t>
        </is>
      </c>
    </row>
    <row r="45">
      <c r="A45" s="25" t="n">
        <v>44</v>
      </c>
      <c r="B45" s="25" t="inlineStr">
        <is>
          <t>P5-3</t>
        </is>
      </c>
      <c r="C45" s="25" t="inlineStr">
        <is>
          <t>pr_cierra_con_compromiso_y_proximo_paso</t>
        </is>
      </c>
      <c r="D45" s="25" t="inlineStr">
        <is>
          <t>Cierra con un compromiso y el próximo paso acordado.</t>
        </is>
      </c>
      <c r="E45" s="25" t="inlineStr">
        <is>
          <t>No crítico</t>
        </is>
      </c>
      <c r="F45" s="25" t="inlineStr">
        <is>
          <t>Todos</t>
        </is>
      </c>
      <c r="G45" s="25" t="inlineStr">
        <is>
          <t>X</t>
        </is>
      </c>
      <c r="H45" s="25" t="n">
        <v>9</v>
      </c>
      <c r="I45" s="25" t="n">
        <v>9</v>
      </c>
      <c r="J45" s="25" t="n">
        <v>9</v>
      </c>
      <c r="K45" s="25" t="n"/>
      <c r="L45" s="25" t="inlineStr">
        <is>
          <t>X</t>
        </is>
      </c>
      <c r="M45" s="25" t="n">
        <v>0</v>
      </c>
      <c r="N45" s="25" t="n"/>
      <c r="O45" s="25" t="n"/>
      <c r="P45" s="25" t="n"/>
      <c r="Q45" s="25" t="n"/>
      <c r="R45" s="25" t="inlineStr">
        <is>
          <t>AS-026</t>
        </is>
      </c>
    </row>
    <row r="46">
      <c r="A46" s="25" t="n">
        <v>45</v>
      </c>
      <c r="B46" s="25" t="inlineStr">
        <is>
          <t>P5-4</t>
        </is>
      </c>
      <c r="C46" s="25" t="inlineStr">
        <is>
          <t>pr_usa_bien_el_tiempo</t>
        </is>
      </c>
      <c r="D46" s="25" t="inlineStr">
        <is>
          <t>Usa bien el tiempo de la interacción.</t>
        </is>
      </c>
      <c r="E46" s="25" t="inlineStr">
        <is>
          <t>No crítico</t>
        </is>
      </c>
      <c r="F46" s="25" t="inlineStr">
        <is>
          <t>Todos</t>
        </is>
      </c>
      <c r="G46" s="25" t="inlineStr">
        <is>
          <t>X</t>
        </is>
      </c>
      <c r="H46" s="25" t="n">
        <v>5</v>
      </c>
      <c r="I46" s="25" t="n">
        <v>5</v>
      </c>
      <c r="J46" s="25" t="n">
        <v>5</v>
      </c>
      <c r="K46" s="25" t="n"/>
      <c r="L46" s="25" t="inlineStr">
        <is>
          <t>X</t>
        </is>
      </c>
      <c r="M46" s="25" t="n">
        <v>0</v>
      </c>
      <c r="N46" s="25" t="n"/>
      <c r="O46" s="25" t="n"/>
      <c r="P46" s="25" t="n"/>
      <c r="Q46" s="25" t="n"/>
      <c r="R46" s="25" t="inlineStr">
        <is>
          <t>AS-026</t>
        </is>
      </c>
    </row>
    <row r="47">
      <c r="A47" s="8" t="n">
        <v>46</v>
      </c>
      <c r="B47" s="8" t="inlineStr">
        <is>
          <t>PR-1</t>
        </is>
      </c>
      <c r="C47" s="8" t="inlineStr">
        <is>
          <t>pr_orienta_al_asociado_en_sede</t>
        </is>
      </c>
      <c r="D47" s="8" t="inlineStr">
        <is>
          <t>Orienta al asociado en la sede.</t>
        </is>
      </c>
      <c r="E47" s="8" t="inlineStr">
        <is>
          <t>No crítico</t>
        </is>
      </c>
      <c r="F47" s="8" t="inlineStr">
        <is>
          <t>Todos</t>
        </is>
      </c>
      <c r="G47" s="8" t="inlineStr">
        <is>
          <t>X</t>
        </is>
      </c>
      <c r="H47" s="8" t="n">
        <v>1</v>
      </c>
      <c r="I47" s="8" t="n">
        <v>1</v>
      </c>
      <c r="J47" s="8" t="n">
        <v>1</v>
      </c>
      <c r="K47" s="8" t="n">
        <v>48</v>
      </c>
      <c r="L47" s="8" t="inlineStr">
        <is>
          <t>X</t>
        </is>
      </c>
      <c r="M47" s="8" t="n">
        <v>0</v>
      </c>
      <c r="N47" s="8" t="inlineStr">
        <is>
          <t>X</t>
        </is>
      </c>
      <c r="O47" s="8" t="n">
        <v>1</v>
      </c>
      <c r="P47" s="8" t="n">
        <v>1</v>
      </c>
      <c r="Q47" s="8" t="n">
        <v>1</v>
      </c>
      <c r="R47" s="8" t="inlineStr">
        <is>
          <t>AS-026</t>
        </is>
      </c>
    </row>
    <row r="48">
      <c r="A48" s="8" t="n">
        <v>47</v>
      </c>
      <c r="B48" s="8" t="inlineStr">
        <is>
          <t>PR-2</t>
        </is>
      </c>
      <c r="C48" s="8" t="inlineStr">
        <is>
          <t>pr_revisa_documentos_en_el_momento</t>
        </is>
      </c>
      <c r="D48" s="8" t="inlineStr">
        <is>
          <t>Revisa los documentos en el momento.</t>
        </is>
      </c>
      <c r="E48" s="8" t="inlineStr">
        <is>
          <t>No crítico</t>
        </is>
      </c>
      <c r="F48" s="8" t="inlineStr">
        <is>
          <t>Todos</t>
        </is>
      </c>
      <c r="G48" s="8" t="inlineStr">
        <is>
          <t>X</t>
        </is>
      </c>
      <c r="H48" s="8" t="n">
        <v>1</v>
      </c>
      <c r="I48" s="8" t="n">
        <v>1</v>
      </c>
      <c r="J48" s="8" t="n">
        <v>1</v>
      </c>
      <c r="K48" s="8" t="n">
        <v>48</v>
      </c>
      <c r="L48" s="8" t="inlineStr">
        <is>
          <t>X</t>
        </is>
      </c>
      <c r="M48" s="8" t="n">
        <v>0</v>
      </c>
      <c r="N48" s="8" t="inlineStr">
        <is>
          <t>X</t>
        </is>
      </c>
      <c r="O48" s="8" t="n">
        <v>1</v>
      </c>
      <c r="P48" s="8" t="n">
        <v>1</v>
      </c>
      <c r="Q48" s="8" t="n">
        <v>1</v>
      </c>
      <c r="R48" s="8" t="inlineStr">
        <is>
          <t>PV-IN-09</t>
        </is>
      </c>
    </row>
    <row r="49">
      <c r="A49" s="25" t="n">
        <v>48</v>
      </c>
      <c r="B49" s="25" t="inlineStr">
        <is>
          <t>PR-3</t>
        </is>
      </c>
      <c r="C49" s="25" t="inlineStr">
        <is>
          <t>pr_registra_reunion_en_hubspot</t>
        </is>
      </c>
      <c r="D49" s="25" t="inlineStr">
        <is>
          <t>Registra la reunión en HubSpot.</t>
        </is>
      </c>
      <c r="E49" s="25" t="inlineStr">
        <is>
          <t>No crítico</t>
        </is>
      </c>
      <c r="F49" s="25" t="inlineStr">
        <is>
          <t>Todos</t>
        </is>
      </c>
      <c r="G49" s="25" t="inlineStr">
        <is>
          <t>X</t>
        </is>
      </c>
      <c r="H49" s="25" t="n">
        <v>2</v>
      </c>
      <c r="I49" s="25" t="n">
        <v>2</v>
      </c>
      <c r="J49" s="25" t="n">
        <v>2</v>
      </c>
      <c r="K49" s="25" t="n"/>
      <c r="L49" s="25" t="inlineStr">
        <is>
          <t>X</t>
        </is>
      </c>
      <c r="M49" s="25" t="n">
        <v>0</v>
      </c>
      <c r="N49" s="25" t="n"/>
      <c r="O49" s="25" t="n"/>
      <c r="P49" s="25" t="n"/>
      <c r="Q49" s="25" t="n"/>
      <c r="R49" s="25" t="inlineStr">
        <is>
          <t>PV-IN-10</t>
        </is>
      </c>
    </row>
    <row r="50">
      <c r="G50" s="4" t="inlineStr">
        <is>
          <t>Total</t>
        </is>
      </c>
      <c r="H50" s="4">
        <f>SUM(H2:H49)</f>
        <v/>
      </c>
      <c r="I50" s="4">
        <f>SUM(I2:I49)</f>
        <v/>
      </c>
      <c r="J50" s="4">
        <f>SUM(J2:J49)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18" customWidth="1" min="7" max="7"/>
  </cols>
  <sheetData>
    <row r="1">
      <c r="A1" s="6" t="inlineStr">
        <is>
          <t>Resultado</t>
        </is>
      </c>
      <c r="B1" s="6" t="inlineStr">
        <is>
          <t>Modalidad</t>
        </is>
      </c>
      <c r="C1" s="6" t="inlineStr">
        <is>
          <t>Meses</t>
        </is>
      </c>
      <c r="D1" s="6" t="inlineStr">
        <is>
          <t>Canal</t>
        </is>
      </c>
      <c r="E1" s="6" t="inlineStr">
        <is>
          <t>Gestión</t>
        </is>
      </c>
      <c r="G1" s="6" t="inlineStr">
        <is>
          <t>Nivel de confianza</t>
        </is>
      </c>
      <c r="H1" s="6" t="inlineStr">
        <is>
          <t>Z</t>
        </is>
      </c>
    </row>
    <row r="2">
      <c r="A2" t="inlineStr">
        <is>
          <t>SI</t>
        </is>
      </c>
      <c r="B2" t="inlineStr">
        <is>
          <t>Monitoreo remoto</t>
        </is>
      </c>
      <c r="C2" t="inlineStr">
        <is>
          <t>ENERO</t>
        </is>
      </c>
      <c r="D2" t="inlineStr">
        <is>
          <t>WhatsApp</t>
        </is>
      </c>
      <c r="E2" t="inlineStr">
        <is>
          <t>Comercial</t>
        </is>
      </c>
      <c r="G2" t="n">
        <v>0.9</v>
      </c>
      <c r="H2" t="n">
        <v>1.645</v>
      </c>
    </row>
    <row r="3">
      <c r="A3" t="inlineStr">
        <is>
          <t>NO</t>
        </is>
      </c>
      <c r="B3" t="inlineStr">
        <is>
          <t>Monitoreo en línea</t>
        </is>
      </c>
      <c r="C3" t="inlineStr">
        <is>
          <t>FEBRERO</t>
        </is>
      </c>
      <c r="D3" t="inlineStr">
        <is>
          <t>Llamada</t>
        </is>
      </c>
      <c r="E3" t="inlineStr">
        <is>
          <t>Cobranza - consulta</t>
        </is>
      </c>
      <c r="G3" t="n">
        <v>0.95</v>
      </c>
      <c r="H3" t="n">
        <v>1.96</v>
      </c>
    </row>
    <row r="4">
      <c r="A4" t="inlineStr">
        <is>
          <t>N/A</t>
        </is>
      </c>
      <c r="C4" t="inlineStr">
        <is>
          <t>MARZO</t>
        </is>
      </c>
      <c r="D4" t="inlineStr">
        <is>
          <t>Correo</t>
        </is>
      </c>
      <c r="E4" t="inlineStr">
        <is>
          <t>Cobranza - campaña</t>
        </is>
      </c>
      <c r="G4" t="n">
        <v>0.99</v>
      </c>
      <c r="H4" t="n">
        <v>2.576</v>
      </c>
    </row>
    <row r="5">
      <c r="C5" t="inlineStr">
        <is>
          <t>ABRIL</t>
        </is>
      </c>
      <c r="D5" t="inlineStr">
        <is>
          <t>Presencial</t>
        </is>
      </c>
    </row>
    <row r="6">
      <c r="C6" t="inlineStr">
        <is>
          <t>MAYO</t>
        </is>
      </c>
    </row>
    <row r="7">
      <c r="C7" t="inlineStr">
        <is>
          <t>JUNIO</t>
        </is>
      </c>
    </row>
    <row r="8">
      <c r="C8" t="inlineStr">
        <is>
          <t>JULIO</t>
        </is>
      </c>
    </row>
    <row r="9">
      <c r="C9" t="inlineStr">
        <is>
          <t>AGOSTO</t>
        </is>
      </c>
    </row>
    <row r="10">
      <c r="C10" t="inlineStr">
        <is>
          <t>SEPTIEMBRE</t>
        </is>
      </c>
    </row>
    <row r="11">
      <c r="C11" t="inlineStr">
        <is>
          <t>OCTUBRE</t>
        </is>
      </c>
    </row>
    <row r="12">
      <c r="C12" t="inlineStr">
        <is>
          <t>NOVIEMBRE</t>
        </is>
      </c>
    </row>
    <row r="13">
      <c r="C13" t="inlineStr">
        <is>
          <t>DICIEMBRE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2026-10-29T21:43:57Z</dcterms:created>
  <dcterms:modified xmlns:dcterms="http://purl.org/dc/terms/" xmlns:xsi="http://www.w3.org/2001/XMLSchema-instance" xsi:type="dcterms:W3CDTF">2026-10-29T21:43:58Z</dcterms:modified>
</cp:coreProperties>
</file>