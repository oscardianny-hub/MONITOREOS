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TABLA GENERAL" sheetId="2" state="visible" r:id="rId2"/>
    <sheet xmlns:r="http://schemas.openxmlformats.org/officeDocument/2006/relationships" name="ASESOR 01" sheetId="3" state="visible" r:id="rId3"/>
    <sheet xmlns:r="http://schemas.openxmlformats.org/officeDocument/2006/relationships" name="ASESOR 02" sheetId="4" state="visible" r:id="rId4"/>
    <sheet xmlns:r="http://schemas.openxmlformats.org/officeDocument/2006/relationships" name="ASESOR 03" sheetId="5" state="visible" r:id="rId5"/>
    <sheet xmlns:r="http://schemas.openxmlformats.org/officeDocument/2006/relationships" name="ASESOR 04" sheetId="6" state="visible" r:id="rId6"/>
    <sheet xmlns:r="http://schemas.openxmlformats.org/officeDocument/2006/relationships" name="ASESOR 05" sheetId="7" state="visible" r:id="rId7"/>
    <sheet xmlns:r="http://schemas.openxmlformats.org/officeDocument/2006/relationships" name="ASESOR 06" sheetId="8" state="visible" r:id="rId8"/>
    <sheet xmlns:r="http://schemas.openxmlformats.org/officeDocument/2006/relationships" name="ASESOR 07" sheetId="9" state="visible" r:id="rId9"/>
    <sheet xmlns:r="http://schemas.openxmlformats.org/officeDocument/2006/relationships" name="ASESOR 08" sheetId="10" state="visible" r:id="rId10"/>
    <sheet xmlns:r="http://schemas.openxmlformats.org/officeDocument/2006/relationships" name="ASESOR 09" sheetId="11" state="visible" r:id="rId11"/>
    <sheet xmlns:r="http://schemas.openxmlformats.org/officeDocument/2006/relationships" name="ASESOR 10" sheetId="12" state="visible" r:id="rId12"/>
    <sheet xmlns:r="http://schemas.openxmlformats.org/officeDocument/2006/relationships" name="ASESOR 11" sheetId="13" state="visible" r:id="rId13"/>
    <sheet xmlns:r="http://schemas.openxmlformats.org/officeDocument/2006/relationships" name="ASESOR 12" sheetId="14" state="visible" r:id="rId14"/>
    <sheet xmlns:r="http://schemas.openxmlformats.org/officeDocument/2006/relationships" name="ASESOR 13" sheetId="15" state="visible" r:id="rId15"/>
    <sheet xmlns:r="http://schemas.openxmlformats.org/officeDocument/2006/relationships" name="RESUMEN" sheetId="16" state="visible" r:id="rId16"/>
    <sheet xmlns:r="http://schemas.openxmlformats.org/officeDocument/2006/relationships" name="CRITERIOS" sheetId="17" state="visible" r:id="rId17"/>
    <sheet xmlns:r="http://schemas.openxmlformats.org/officeDocument/2006/relationships" name="ESTRUCTURA WhatsApp" sheetId="18" state="visible" r:id="rId18"/>
    <sheet xmlns:r="http://schemas.openxmlformats.org/officeDocument/2006/relationships" name="ESTRUCTURA Llamada" sheetId="19" state="visible" r:id="rId19"/>
    <sheet xmlns:r="http://schemas.openxmlformats.org/officeDocument/2006/relationships" name="ESTRUCTURA Correo" sheetId="20" state="visible" r:id="rId20"/>
    <sheet xmlns:r="http://schemas.openxmlformats.org/officeDocument/2006/relationships" name="ESTRUCTURA Presencial" sheetId="21" state="visible" r:id="rId21"/>
    <sheet xmlns:r="http://schemas.openxmlformats.org/officeDocument/2006/relationships" name="VARIAB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dd/mm/yyyy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DE9E7"/>
      </patternFill>
    </fill>
    <fill>
      <patternFill patternType="solid">
        <fgColor rgb="00E8F3E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0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166" fontId="0" fillId="5" borderId="1" pivotButton="0" quotePrefix="0" xfId="0"/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0" borderId="1" pivotButton="0" quotePrefix="0" xfId="0"/>
    <xf numFmtId="9" fontId="0" fillId="5" borderId="1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9" fontId="0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FORMATO DE MONITOREO COMERCIAL (Preventa y Venta) · versión 2 · 29-oct-2026 · estructura tomada del PV-FR-59 del CUSI</t>
        </is>
      </c>
    </row>
    <row r="2">
      <c r="A2" s="2" t="inlineStr"/>
    </row>
    <row r="3">
      <c r="A3" s="2" t="inlineStr">
        <is>
          <t>Hojas: TABLA GENERAL (muestra, niveles y resultados por asesor) · ASESOR 01 a 13 (una por asesor, hasta 6 conversaciones) · RESUMEN (cumplimiento por criterio y asesor) · CRITERIOS (catálogo, pesos, receptores de N/A y propiedades) · ESTRUCTURA WhatsApp / Llamada / Correo / Presencial (codificación en el formato de Estructuras.xlsx del CUSI) · VARIABLES (listas).</t>
        </is>
      </c>
    </row>
    <row r="4">
      <c r="A4" s="2" t="inlineStr">
        <is>
          <t>Codificación: cada ítem tiene número por canal, propiedad con prefijo (wa_, ll_, co_, pr_), SI / NO / N/A con su peso y 'guion donde reposa' (número del ítem que recibe el peso si es N/A). Peso N/A = el peso que se traslada.</t>
        </is>
      </c>
    </row>
    <row r="5">
      <c r="A5" s="2" t="inlineStr"/>
    </row>
    <row r="6">
      <c r="A6" s="2" t="inlineStr">
        <is>
          <t>Cómo se diligencia: en cada hoja ASESOR escribe el nombre, el canal y el tipo de gestión; luego, por cada conversación (columna Resultado, celdas amarillas) elige SI / NO / N/A. Todo lo demás se calcula.</t>
        </is>
      </c>
    </row>
    <row r="7">
      <c r="A7" s="2" t="inlineStr">
        <is>
          <t>Una hoja ASESOR evalúa un canal y una gestión a la vez. Para evaluar a un asesor en otro canal, usa otra hoja ASESOR.</t>
        </is>
      </c>
    </row>
    <row r="8">
      <c r="A8" s="2" t="inlineStr"/>
    </row>
    <row r="9">
      <c r="A9" s="2" t="inlineStr">
        <is>
          <t>Fase I (Control Habeas Data, HD): si algún HD es NO, el monitoreo queda reprobado (nota 0, nivel Crítico) y se escala a la Dirección Comercial.</t>
        </is>
      </c>
    </row>
    <row r="10">
      <c r="A10" s="2" t="inlineStr">
        <is>
          <t>Indicadores ECU / ECN / ECC: % de conversaciones sin error. No reprueban por sí solos y no cambian la nota de la Fase II.</t>
        </is>
      </c>
    </row>
    <row r="11">
      <c r="A11" s="2" t="inlineStr">
        <is>
          <t>Fase II: nota sobre 100 = promedio de las conversaciones (cada una suma 100 si cumple todo). Nota /300 = nota ×3, para usar los mismos niveles del CUSI.</t>
        </is>
      </c>
    </row>
    <row r="12">
      <c r="A12" s="2" t="inlineStr">
        <is>
          <t>Aprobación: mínimo 85%. Debajo de 85% el asesor envía plan de acción. Los niveles (Crítico, Básico, En Alerta, Óptimo) son los del CUSI y se ven en TABLA GENERAL.</t>
        </is>
      </c>
    </row>
    <row r="13">
      <c r="A13" s="2" t="inlineStr">
        <is>
          <t>N/A: el peso del ítem pasa completo al ítem indicado en CRITERIOS (columna Receptor). Los ítems fijos no admiten N/A y se marcan REVISAR si se usa.</t>
        </is>
      </c>
    </row>
    <row r="14">
      <c r="A14" s="2" t="inlineStr">
        <is>
          <t>Alerta Dirección: se activa si hay un NO en HD-1, HD-2, HD-3 (filtro de seguridad / terceros), ECU-2 (maltrato) o ECC-2 (alteración de documentos): reporte inmediato con soportes.</t>
        </is>
      </c>
    </row>
    <row r="15">
      <c r="A15" s="2" t="inlineStr"/>
    </row>
    <row r="16">
      <c r="A16" s="2" t="inlineStr">
        <is>
          <t>Pendiente de la operación: confirmar receptores de N/A propuestos, alcance de Cobranza / Llamada / Presencial, y los ítems que dependen de HubSpot.</t>
        </is>
      </c>
    </row>
    <row r="17">
      <c r="A17" s="2" t="inlineStr">
        <is>
          <t>Celdas amarillas = para diligenciar. Rojo = críticos. Verde = ítems fijos.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37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24" customWidth="1" min="3" max="3"/>
    <col width="22" customWidth="1" min="4" max="4"/>
    <col width="14" customWidth="1" min="5" max="5"/>
    <col width="22" customWidth="1" min="6" max="6"/>
    <col width="14" customWidth="1" min="7" max="7"/>
    <col width="12" customWidth="1" min="8" max="8"/>
    <col width="24" customWidth="1" min="9" max="9"/>
    <col width="34" customWidth="1" min="10" max="10"/>
    <col width="12" customWidth="1" min="11" max="11"/>
    <col width="16" customWidth="1" min="12" max="12"/>
    <col width="9" customWidth="1" min="13" max="13"/>
    <col width="9" customWidth="1" min="14" max="14"/>
    <col width="9" customWidth="1" min="15" max="15"/>
    <col width="16" customWidth="1" min="16" max="16"/>
  </cols>
  <sheetData>
    <row r="2">
      <c r="B2" s="3" t="inlineStr">
        <is>
          <t>FORMATO DE MONITOREO COMERCIAL · TABLA GENERAL</t>
        </is>
      </c>
    </row>
    <row r="5">
      <c r="B5" s="4" t="inlineStr">
        <is>
          <t>Muestra para el mes</t>
        </is>
      </c>
    </row>
    <row r="6" ht="45" customHeight="1">
      <c r="B6" s="4" t="inlineStr">
        <is>
          <t>Mes evaluado</t>
        </is>
      </c>
      <c r="C6" s="5" t="n"/>
      <c r="F6" s="6" t="inlineStr">
        <is>
          <t>Nivel</t>
        </is>
      </c>
      <c r="G6" s="6" t="inlineStr">
        <is>
          <t>Rango puntaje (/300)</t>
        </is>
      </c>
      <c r="H6" s="6" t="inlineStr">
        <is>
          <t>Porcentaje de cumplimiento</t>
        </is>
      </c>
      <c r="I6" s="6" t="inlineStr">
        <is>
          <t>Límite inferior</t>
        </is>
      </c>
      <c r="J6" s="6" t="inlineStr">
        <is>
          <t>Acción correctiva / sugerida</t>
        </is>
      </c>
    </row>
    <row r="7">
      <c r="B7" s="4" t="inlineStr">
        <is>
          <t>Fecha del monitoreo</t>
        </is>
      </c>
      <c r="C7" s="7" t="n"/>
      <c r="F7" s="8" t="inlineStr">
        <is>
          <t>Crítico</t>
        </is>
      </c>
      <c r="G7" s="8" t="inlineStr">
        <is>
          <t>0 - 209</t>
        </is>
      </c>
      <c r="H7" s="8" t="inlineStr">
        <is>
          <t>0% - 69,7%</t>
        </is>
      </c>
      <c r="I7" s="9" t="n">
        <v>0</v>
      </c>
      <c r="J7" s="8" t="inlineStr">
        <is>
          <t>Llamado de atención, proceso disciplinario y plan de trabajo</t>
        </is>
      </c>
    </row>
    <row r="8">
      <c r="B8" s="4" t="inlineStr">
        <is>
          <t>N manual (solo si no se diligencian los casos por asesor)</t>
        </is>
      </c>
      <c r="C8" s="5" t="n"/>
      <c r="F8" s="8" t="inlineStr">
        <is>
          <t>Básico</t>
        </is>
      </c>
      <c r="G8" s="8" t="inlineStr">
        <is>
          <t>210 - 239</t>
        </is>
      </c>
      <c r="H8" s="8" t="inlineStr">
        <is>
          <t>70% - 79,7%</t>
        </is>
      </c>
      <c r="I8" s="9" t="n">
        <v>0.7</v>
      </c>
      <c r="J8" s="8" t="inlineStr">
        <is>
          <t>Requiere retroalimentación</t>
        </is>
      </c>
    </row>
    <row r="9">
      <c r="B9" s="4" t="inlineStr">
        <is>
          <t>N (población usada)</t>
        </is>
      </c>
      <c r="C9" s="10">
        <f>IF(SUM(E25:E37)&gt;0,SUM(E25:E37),C8)</f>
        <v/>
      </c>
      <c r="F9" s="8" t="inlineStr">
        <is>
          <t>En Alerta</t>
        </is>
      </c>
      <c r="G9" s="8" t="inlineStr">
        <is>
          <t>240 - 275</t>
        </is>
      </c>
      <c r="H9" s="8" t="inlineStr">
        <is>
          <t>80% - 91,7%</t>
        </is>
      </c>
      <c r="I9" s="9" t="n">
        <v>0.8</v>
      </c>
      <c r="J9" s="8" t="inlineStr">
        <is>
          <t>Requiere compromisos</t>
        </is>
      </c>
    </row>
    <row r="10">
      <c r="B10" s="4" t="inlineStr">
        <is>
          <t>Nivel de confianza</t>
        </is>
      </c>
      <c r="C10" s="11" t="n">
        <v>0.95</v>
      </c>
      <c r="F10" s="8" t="inlineStr">
        <is>
          <t>Óptimo</t>
        </is>
      </c>
      <c r="G10" s="8" t="inlineStr">
        <is>
          <t>276 - 300</t>
        </is>
      </c>
      <c r="H10" s="8" t="inlineStr">
        <is>
          <t>92% - 100%</t>
        </is>
      </c>
      <c r="I10" s="9" t="n">
        <v>0.92</v>
      </c>
      <c r="J10" s="8" t="inlineStr">
        <is>
          <t>No requiere compromisos</t>
        </is>
      </c>
    </row>
    <row r="11">
      <c r="B11" s="4" t="inlineStr">
        <is>
          <t>Z (automático)</t>
        </is>
      </c>
      <c r="C11" s="12">
        <f>VLOOKUP(C10,VARIABLES!$G$2:$H$4,2,0)</f>
        <v/>
      </c>
      <c r="F11" s="13" t="inlineStr">
        <is>
          <t>Regla de aprobación: mínimo 85% (nota /100). Debajo de 85% el asesor envía plan de acción. Fase I (HD) con NO = Reprobado.</t>
        </is>
      </c>
    </row>
    <row r="12">
      <c r="B12" s="4" t="inlineStr">
        <is>
          <t>p (probabilidad de éxito)</t>
        </is>
      </c>
      <c r="C12" s="5" t="n">
        <v>0.5</v>
      </c>
    </row>
    <row r="13">
      <c r="B13" s="4" t="inlineStr">
        <is>
          <t>q (probabilidad de fracaso)</t>
        </is>
      </c>
      <c r="C13" s="10">
        <f>1-C12</f>
        <v/>
      </c>
    </row>
    <row r="14">
      <c r="B14" s="4" t="inlineStr">
        <is>
          <t>E (margen de error)</t>
        </is>
      </c>
      <c r="C14" s="11" t="n">
        <v>0.1</v>
      </c>
    </row>
    <row r="15">
      <c r="B15" s="4" t="inlineStr">
        <is>
          <t>Asesores a evaluar</t>
        </is>
      </c>
      <c r="C15" s="10">
        <f>COUNTIF(B25:B37,"?*")</f>
        <v/>
      </c>
    </row>
    <row r="16">
      <c r="B16" s="4" t="inlineStr">
        <is>
          <t>n (muestra global)</t>
        </is>
      </c>
      <c r="C16" s="10">
        <f>IFERROR(ROUNDUP(C9*C11^2*C12*C13/(C14^2*(C9-1)+C11^2*C12*C13),0),"")</f>
        <v/>
      </c>
    </row>
    <row r="17">
      <c r="B17" s="4" t="inlineStr">
        <is>
          <t>Método de distribución por asesor</t>
        </is>
      </c>
      <c r="C17" s="5" t="inlineStr">
        <is>
          <t>Proporcional al volumen</t>
        </is>
      </c>
    </row>
    <row r="18">
      <c r="B18" s="4" t="inlineStr">
        <is>
          <t>Mínimo de casos por asesor</t>
        </is>
      </c>
      <c r="C18" s="5" t="n">
        <v>3</v>
      </c>
    </row>
    <row r="19">
      <c r="B19" s="4" t="inlineStr">
        <is>
          <t>Muestra por asesor (si es igual para todos)</t>
        </is>
      </c>
      <c r="C19" s="10">
        <f>IFERROR(MAX(C18,ROUNDUP(C16/C15,0)),"")</f>
        <v/>
      </c>
    </row>
    <row r="20">
      <c r="B20" s="4" t="inlineStr">
        <is>
          <t>Muestra total a monitorear (suma por asesor)</t>
        </is>
      </c>
      <c r="C20" s="10">
        <f>SUM(F25:F37)</f>
        <v/>
      </c>
    </row>
    <row r="21">
      <c r="B21" s="4" t="inlineStr">
        <is>
          <t>Mínimo para aprobar (PV-IN-04)</t>
        </is>
      </c>
      <c r="C21" s="11" t="n">
        <v>0.85</v>
      </c>
    </row>
    <row r="23">
      <c r="B23" s="4" t="inlineStr">
        <is>
          <t>Tabla de resultados</t>
        </is>
      </c>
    </row>
    <row r="24" ht="42" customHeight="1">
      <c r="B24" s="6" t="inlineStr">
        <is>
          <t>Asesor</t>
        </is>
      </c>
      <c r="C24" s="6" t="inlineStr">
        <is>
          <t>Canal</t>
        </is>
      </c>
      <c r="D24" s="6" t="inlineStr">
        <is>
          <t>Gestión</t>
        </is>
      </c>
      <c r="E24" s="6" t="inlineStr">
        <is>
          <t>Volumen de casos</t>
        </is>
      </c>
      <c r="F24" s="6" t="inlineStr">
        <is>
          <t>Muestra asignada</t>
        </is>
      </c>
      <c r="G24" s="6" t="inlineStr">
        <is>
          <t>Conversaciones evaluadas</t>
        </is>
      </c>
      <c r="H24" s="6" t="inlineStr">
        <is>
          <t>Fase I</t>
        </is>
      </c>
      <c r="I24" s="6" t="inlineStr">
        <is>
          <t>Nota /100</t>
        </is>
      </c>
      <c r="J24" s="6" t="inlineStr">
        <is>
          <t>Nota /300</t>
        </is>
      </c>
      <c r="K24" s="6" t="inlineStr">
        <is>
          <t>Nivel</t>
        </is>
      </c>
      <c r="L24" s="6" t="inlineStr">
        <is>
          <t>Estado</t>
        </is>
      </c>
      <c r="M24" s="6" t="inlineStr">
        <is>
          <t>ECU %</t>
        </is>
      </c>
      <c r="N24" s="6" t="inlineStr">
        <is>
          <t>ECN %</t>
        </is>
      </c>
      <c r="O24" s="6" t="inlineStr">
        <is>
          <t>ECC %</t>
        </is>
      </c>
      <c r="P24" s="6" t="inlineStr">
        <is>
          <t>Alerta Dirección</t>
        </is>
      </c>
    </row>
    <row r="25">
      <c r="B25" s="10">
        <f>IF('ASESOR 01'!B3="","",'ASESOR 01'!B3)</f>
        <v/>
      </c>
      <c r="C25" s="10">
        <f>IF('ASESOR 01'!B4="","",'ASESOR 01'!B4)</f>
        <v/>
      </c>
      <c r="D25" s="10">
        <f>IF('ASESOR 01'!B5="","",'ASESOR 01'!B5)</f>
        <v/>
      </c>
      <c r="E25" s="5" t="n"/>
      <c r="F25" s="10">
        <f>IF(OR(B25="",$C$16=""),"",IF(SUM($E$25:$E$37)&gt;0,MAX($C$18,ROUND($C$16*E25/SUM($E$25:$E$37),0)),$C$19))</f>
        <v/>
      </c>
      <c r="G25" s="10">
        <f>'ASESOR 01'!B7</f>
        <v/>
      </c>
      <c r="H25" s="10">
        <f>'ASESOR 01'!P3</f>
        <v/>
      </c>
      <c r="I25" s="14">
        <f>'ASESOR 01'!P4</f>
        <v/>
      </c>
      <c r="J25" s="14">
        <f>'ASESOR 01'!P5</f>
        <v/>
      </c>
      <c r="K25" s="10">
        <f>'ASESOR 01'!P6</f>
        <v/>
      </c>
      <c r="L25" s="10">
        <f>'ASESOR 01'!P7</f>
        <v/>
      </c>
      <c r="M25" s="15">
        <f>'ASESOR 01'!Z3</f>
        <v/>
      </c>
      <c r="N25" s="15">
        <f>'ASESOR 01'!Z4</f>
        <v/>
      </c>
      <c r="O25" s="15">
        <f>'ASESOR 01'!Z5</f>
        <v/>
      </c>
      <c r="P25" s="10">
        <f>'ASESOR 01'!Z6</f>
        <v/>
      </c>
    </row>
    <row r="26">
      <c r="B26" s="10">
        <f>IF('ASESOR 02'!B3="","",'ASESOR 02'!B3)</f>
        <v/>
      </c>
      <c r="C26" s="10">
        <f>IF('ASESOR 02'!B4="","",'ASESOR 02'!B4)</f>
        <v/>
      </c>
      <c r="D26" s="10">
        <f>IF('ASESOR 02'!B5="","",'ASESOR 02'!B5)</f>
        <v/>
      </c>
      <c r="E26" s="5" t="n"/>
      <c r="F26" s="10">
        <f>IF(OR(B26="",$C$16=""),"",IF(SUM($E$25:$E$37)&gt;0,MAX($C$18,ROUND($C$16*E26/SUM($E$25:$E$37),0)),$C$19))</f>
        <v/>
      </c>
      <c r="G26" s="10">
        <f>'ASESOR 02'!B7</f>
        <v/>
      </c>
      <c r="H26" s="10">
        <f>'ASESOR 02'!P3</f>
        <v/>
      </c>
      <c r="I26" s="14">
        <f>'ASESOR 02'!P4</f>
        <v/>
      </c>
      <c r="J26" s="14">
        <f>'ASESOR 02'!P5</f>
        <v/>
      </c>
      <c r="K26" s="10">
        <f>'ASESOR 02'!P6</f>
        <v/>
      </c>
      <c r="L26" s="10">
        <f>'ASESOR 02'!P7</f>
        <v/>
      </c>
      <c r="M26" s="15">
        <f>'ASESOR 02'!Z3</f>
        <v/>
      </c>
      <c r="N26" s="15">
        <f>'ASESOR 02'!Z4</f>
        <v/>
      </c>
      <c r="O26" s="15">
        <f>'ASESOR 02'!Z5</f>
        <v/>
      </c>
      <c r="P26" s="10">
        <f>'ASESOR 02'!Z6</f>
        <v/>
      </c>
    </row>
    <row r="27">
      <c r="B27" s="10">
        <f>IF('ASESOR 03'!B3="","",'ASESOR 03'!B3)</f>
        <v/>
      </c>
      <c r="C27" s="10">
        <f>IF('ASESOR 03'!B4="","",'ASESOR 03'!B4)</f>
        <v/>
      </c>
      <c r="D27" s="10">
        <f>IF('ASESOR 03'!B5="","",'ASESOR 03'!B5)</f>
        <v/>
      </c>
      <c r="E27" s="5" t="n"/>
      <c r="F27" s="10">
        <f>IF(OR(B27="",$C$16=""),"",IF(SUM($E$25:$E$37)&gt;0,MAX($C$18,ROUND($C$16*E27/SUM($E$25:$E$37),0)),$C$19))</f>
        <v/>
      </c>
      <c r="G27" s="10">
        <f>'ASESOR 03'!B7</f>
        <v/>
      </c>
      <c r="H27" s="10">
        <f>'ASESOR 03'!P3</f>
        <v/>
      </c>
      <c r="I27" s="14">
        <f>'ASESOR 03'!P4</f>
        <v/>
      </c>
      <c r="J27" s="14">
        <f>'ASESOR 03'!P5</f>
        <v/>
      </c>
      <c r="K27" s="10">
        <f>'ASESOR 03'!P6</f>
        <v/>
      </c>
      <c r="L27" s="10">
        <f>'ASESOR 03'!P7</f>
        <v/>
      </c>
      <c r="M27" s="15">
        <f>'ASESOR 03'!Z3</f>
        <v/>
      </c>
      <c r="N27" s="15">
        <f>'ASESOR 03'!Z4</f>
        <v/>
      </c>
      <c r="O27" s="15">
        <f>'ASESOR 03'!Z5</f>
        <v/>
      </c>
      <c r="P27" s="10">
        <f>'ASESOR 03'!Z6</f>
        <v/>
      </c>
    </row>
    <row r="28">
      <c r="B28" s="10">
        <f>IF('ASESOR 04'!B3="","",'ASESOR 04'!B3)</f>
        <v/>
      </c>
      <c r="C28" s="10">
        <f>IF('ASESOR 04'!B4="","",'ASESOR 04'!B4)</f>
        <v/>
      </c>
      <c r="D28" s="10">
        <f>IF('ASESOR 04'!B5="","",'ASESOR 04'!B5)</f>
        <v/>
      </c>
      <c r="E28" s="5" t="n"/>
      <c r="F28" s="10">
        <f>IF(OR(B28="",$C$16=""),"",IF(SUM($E$25:$E$37)&gt;0,MAX($C$18,ROUND($C$16*E28/SUM($E$25:$E$37),0)),$C$19))</f>
        <v/>
      </c>
      <c r="G28" s="10">
        <f>'ASESOR 04'!B7</f>
        <v/>
      </c>
      <c r="H28" s="10">
        <f>'ASESOR 04'!P3</f>
        <v/>
      </c>
      <c r="I28" s="14">
        <f>'ASESOR 04'!P4</f>
        <v/>
      </c>
      <c r="J28" s="14">
        <f>'ASESOR 04'!P5</f>
        <v/>
      </c>
      <c r="K28" s="10">
        <f>'ASESOR 04'!P6</f>
        <v/>
      </c>
      <c r="L28" s="10">
        <f>'ASESOR 04'!P7</f>
        <v/>
      </c>
      <c r="M28" s="15">
        <f>'ASESOR 04'!Z3</f>
        <v/>
      </c>
      <c r="N28" s="15">
        <f>'ASESOR 04'!Z4</f>
        <v/>
      </c>
      <c r="O28" s="15">
        <f>'ASESOR 04'!Z5</f>
        <v/>
      </c>
      <c r="P28" s="10">
        <f>'ASESOR 04'!Z6</f>
        <v/>
      </c>
    </row>
    <row r="29">
      <c r="B29" s="10">
        <f>IF('ASESOR 05'!B3="","",'ASESOR 05'!B3)</f>
        <v/>
      </c>
      <c r="C29" s="10">
        <f>IF('ASESOR 05'!B4="","",'ASESOR 05'!B4)</f>
        <v/>
      </c>
      <c r="D29" s="10">
        <f>IF('ASESOR 05'!B5="","",'ASESOR 05'!B5)</f>
        <v/>
      </c>
      <c r="E29" s="5" t="n"/>
      <c r="F29" s="10">
        <f>IF(OR(B29="",$C$16=""),"",IF(SUM($E$25:$E$37)&gt;0,MAX($C$18,ROUND($C$16*E29/SUM($E$25:$E$37),0)),$C$19))</f>
        <v/>
      </c>
      <c r="G29" s="10">
        <f>'ASESOR 05'!B7</f>
        <v/>
      </c>
      <c r="H29" s="10">
        <f>'ASESOR 05'!P3</f>
        <v/>
      </c>
      <c r="I29" s="14">
        <f>'ASESOR 05'!P4</f>
        <v/>
      </c>
      <c r="J29" s="14">
        <f>'ASESOR 05'!P5</f>
        <v/>
      </c>
      <c r="K29" s="10">
        <f>'ASESOR 05'!P6</f>
        <v/>
      </c>
      <c r="L29" s="10">
        <f>'ASESOR 05'!P7</f>
        <v/>
      </c>
      <c r="M29" s="15">
        <f>'ASESOR 05'!Z3</f>
        <v/>
      </c>
      <c r="N29" s="15">
        <f>'ASESOR 05'!Z4</f>
        <v/>
      </c>
      <c r="O29" s="15">
        <f>'ASESOR 05'!Z5</f>
        <v/>
      </c>
      <c r="P29" s="10">
        <f>'ASESOR 05'!Z6</f>
        <v/>
      </c>
    </row>
    <row r="30">
      <c r="B30" s="10">
        <f>IF('ASESOR 06'!B3="","",'ASESOR 06'!B3)</f>
        <v/>
      </c>
      <c r="C30" s="10">
        <f>IF('ASESOR 06'!B4="","",'ASESOR 06'!B4)</f>
        <v/>
      </c>
      <c r="D30" s="10">
        <f>IF('ASESOR 06'!B5="","",'ASESOR 06'!B5)</f>
        <v/>
      </c>
      <c r="E30" s="5" t="n"/>
      <c r="F30" s="10">
        <f>IF(OR(B30="",$C$16=""),"",IF(SUM($E$25:$E$37)&gt;0,MAX($C$18,ROUND($C$16*E30/SUM($E$25:$E$37),0)),$C$19))</f>
        <v/>
      </c>
      <c r="G30" s="10">
        <f>'ASESOR 06'!B7</f>
        <v/>
      </c>
      <c r="H30" s="10">
        <f>'ASESOR 06'!P3</f>
        <v/>
      </c>
      <c r="I30" s="14">
        <f>'ASESOR 06'!P4</f>
        <v/>
      </c>
      <c r="J30" s="14">
        <f>'ASESOR 06'!P5</f>
        <v/>
      </c>
      <c r="K30" s="10">
        <f>'ASESOR 06'!P6</f>
        <v/>
      </c>
      <c r="L30" s="10">
        <f>'ASESOR 06'!P7</f>
        <v/>
      </c>
      <c r="M30" s="15">
        <f>'ASESOR 06'!Z3</f>
        <v/>
      </c>
      <c r="N30" s="15">
        <f>'ASESOR 06'!Z4</f>
        <v/>
      </c>
      <c r="O30" s="15">
        <f>'ASESOR 06'!Z5</f>
        <v/>
      </c>
      <c r="P30" s="10">
        <f>'ASESOR 06'!Z6</f>
        <v/>
      </c>
    </row>
    <row r="31">
      <c r="B31" s="10">
        <f>IF('ASESOR 07'!B3="","",'ASESOR 07'!B3)</f>
        <v/>
      </c>
      <c r="C31" s="10">
        <f>IF('ASESOR 07'!B4="","",'ASESOR 07'!B4)</f>
        <v/>
      </c>
      <c r="D31" s="10">
        <f>IF('ASESOR 07'!B5="","",'ASESOR 07'!B5)</f>
        <v/>
      </c>
      <c r="E31" s="5" t="n"/>
      <c r="F31" s="10">
        <f>IF(OR(B31="",$C$16=""),"",IF(SUM($E$25:$E$37)&gt;0,MAX($C$18,ROUND($C$16*E31/SUM($E$25:$E$37),0)),$C$19))</f>
        <v/>
      </c>
      <c r="G31" s="10">
        <f>'ASESOR 07'!B7</f>
        <v/>
      </c>
      <c r="H31" s="10">
        <f>'ASESOR 07'!P3</f>
        <v/>
      </c>
      <c r="I31" s="14">
        <f>'ASESOR 07'!P4</f>
        <v/>
      </c>
      <c r="J31" s="14">
        <f>'ASESOR 07'!P5</f>
        <v/>
      </c>
      <c r="K31" s="10">
        <f>'ASESOR 07'!P6</f>
        <v/>
      </c>
      <c r="L31" s="10">
        <f>'ASESOR 07'!P7</f>
        <v/>
      </c>
      <c r="M31" s="15">
        <f>'ASESOR 07'!Z3</f>
        <v/>
      </c>
      <c r="N31" s="15">
        <f>'ASESOR 07'!Z4</f>
        <v/>
      </c>
      <c r="O31" s="15">
        <f>'ASESOR 07'!Z5</f>
        <v/>
      </c>
      <c r="P31" s="10">
        <f>'ASESOR 07'!Z6</f>
        <v/>
      </c>
    </row>
    <row r="32">
      <c r="B32" s="10">
        <f>IF('ASESOR 08'!B3="","",'ASESOR 08'!B3)</f>
        <v/>
      </c>
      <c r="C32" s="10">
        <f>IF('ASESOR 08'!B4="","",'ASESOR 08'!B4)</f>
        <v/>
      </c>
      <c r="D32" s="10">
        <f>IF('ASESOR 08'!B5="","",'ASESOR 08'!B5)</f>
        <v/>
      </c>
      <c r="E32" s="5" t="n"/>
      <c r="F32" s="10">
        <f>IF(OR(B32="",$C$16=""),"",IF(SUM($E$25:$E$37)&gt;0,MAX($C$18,ROUND($C$16*E32/SUM($E$25:$E$37),0)),$C$19))</f>
        <v/>
      </c>
      <c r="G32" s="10">
        <f>'ASESOR 08'!B7</f>
        <v/>
      </c>
      <c r="H32" s="10">
        <f>'ASESOR 08'!P3</f>
        <v/>
      </c>
      <c r="I32" s="14">
        <f>'ASESOR 08'!P4</f>
        <v/>
      </c>
      <c r="J32" s="14">
        <f>'ASESOR 08'!P5</f>
        <v/>
      </c>
      <c r="K32" s="10">
        <f>'ASESOR 08'!P6</f>
        <v/>
      </c>
      <c r="L32" s="10">
        <f>'ASESOR 08'!P7</f>
        <v/>
      </c>
      <c r="M32" s="15">
        <f>'ASESOR 08'!Z3</f>
        <v/>
      </c>
      <c r="N32" s="15">
        <f>'ASESOR 08'!Z4</f>
        <v/>
      </c>
      <c r="O32" s="15">
        <f>'ASESOR 08'!Z5</f>
        <v/>
      </c>
      <c r="P32" s="10">
        <f>'ASESOR 08'!Z6</f>
        <v/>
      </c>
    </row>
    <row r="33">
      <c r="B33" s="10">
        <f>IF('ASESOR 09'!B3="","",'ASESOR 09'!B3)</f>
        <v/>
      </c>
      <c r="C33" s="10">
        <f>IF('ASESOR 09'!B4="","",'ASESOR 09'!B4)</f>
        <v/>
      </c>
      <c r="D33" s="10">
        <f>IF('ASESOR 09'!B5="","",'ASESOR 09'!B5)</f>
        <v/>
      </c>
      <c r="E33" s="5" t="n"/>
      <c r="F33" s="10">
        <f>IF(OR(B33="",$C$16=""),"",IF(SUM($E$25:$E$37)&gt;0,MAX($C$18,ROUND($C$16*E33/SUM($E$25:$E$37),0)),$C$19))</f>
        <v/>
      </c>
      <c r="G33" s="10">
        <f>'ASESOR 09'!B7</f>
        <v/>
      </c>
      <c r="H33" s="10">
        <f>'ASESOR 09'!P3</f>
        <v/>
      </c>
      <c r="I33" s="14">
        <f>'ASESOR 09'!P4</f>
        <v/>
      </c>
      <c r="J33" s="14">
        <f>'ASESOR 09'!P5</f>
        <v/>
      </c>
      <c r="K33" s="10">
        <f>'ASESOR 09'!P6</f>
        <v/>
      </c>
      <c r="L33" s="10">
        <f>'ASESOR 09'!P7</f>
        <v/>
      </c>
      <c r="M33" s="15">
        <f>'ASESOR 09'!Z3</f>
        <v/>
      </c>
      <c r="N33" s="15">
        <f>'ASESOR 09'!Z4</f>
        <v/>
      </c>
      <c r="O33" s="15">
        <f>'ASESOR 09'!Z5</f>
        <v/>
      </c>
      <c r="P33" s="10">
        <f>'ASESOR 09'!Z6</f>
        <v/>
      </c>
    </row>
    <row r="34">
      <c r="B34" s="10">
        <f>IF('ASESOR 10'!B3="","",'ASESOR 10'!B3)</f>
        <v/>
      </c>
      <c r="C34" s="10">
        <f>IF('ASESOR 10'!B4="","",'ASESOR 10'!B4)</f>
        <v/>
      </c>
      <c r="D34" s="10">
        <f>IF('ASESOR 10'!B5="","",'ASESOR 10'!B5)</f>
        <v/>
      </c>
      <c r="E34" s="5" t="n"/>
      <c r="F34" s="10">
        <f>IF(OR(B34="",$C$16=""),"",IF(SUM($E$25:$E$37)&gt;0,MAX($C$18,ROUND($C$16*E34/SUM($E$25:$E$37),0)),$C$19))</f>
        <v/>
      </c>
      <c r="G34" s="10">
        <f>'ASESOR 10'!B7</f>
        <v/>
      </c>
      <c r="H34" s="10">
        <f>'ASESOR 10'!P3</f>
        <v/>
      </c>
      <c r="I34" s="14">
        <f>'ASESOR 10'!P4</f>
        <v/>
      </c>
      <c r="J34" s="14">
        <f>'ASESOR 10'!P5</f>
        <v/>
      </c>
      <c r="K34" s="10">
        <f>'ASESOR 10'!P6</f>
        <v/>
      </c>
      <c r="L34" s="10">
        <f>'ASESOR 10'!P7</f>
        <v/>
      </c>
      <c r="M34" s="15">
        <f>'ASESOR 10'!Z3</f>
        <v/>
      </c>
      <c r="N34" s="15">
        <f>'ASESOR 10'!Z4</f>
        <v/>
      </c>
      <c r="O34" s="15">
        <f>'ASESOR 10'!Z5</f>
        <v/>
      </c>
      <c r="P34" s="10">
        <f>'ASESOR 10'!Z6</f>
        <v/>
      </c>
    </row>
    <row r="35">
      <c r="B35" s="10">
        <f>IF('ASESOR 11'!B3="","",'ASESOR 11'!B3)</f>
        <v/>
      </c>
      <c r="C35" s="10">
        <f>IF('ASESOR 11'!B4="","",'ASESOR 11'!B4)</f>
        <v/>
      </c>
      <c r="D35" s="10">
        <f>IF('ASESOR 11'!B5="","",'ASESOR 11'!B5)</f>
        <v/>
      </c>
      <c r="E35" s="5" t="n"/>
      <c r="F35" s="10">
        <f>IF(OR(B35="",$C$16=""),"",IF(SUM($E$25:$E$37)&gt;0,MAX($C$18,ROUND($C$16*E35/SUM($E$25:$E$37),0)),$C$19))</f>
        <v/>
      </c>
      <c r="G35" s="10">
        <f>'ASESOR 11'!B7</f>
        <v/>
      </c>
      <c r="H35" s="10">
        <f>'ASESOR 11'!P3</f>
        <v/>
      </c>
      <c r="I35" s="14">
        <f>'ASESOR 11'!P4</f>
        <v/>
      </c>
      <c r="J35" s="14">
        <f>'ASESOR 11'!P5</f>
        <v/>
      </c>
      <c r="K35" s="10">
        <f>'ASESOR 11'!P6</f>
        <v/>
      </c>
      <c r="L35" s="10">
        <f>'ASESOR 11'!P7</f>
        <v/>
      </c>
      <c r="M35" s="15">
        <f>'ASESOR 11'!Z3</f>
        <v/>
      </c>
      <c r="N35" s="15">
        <f>'ASESOR 11'!Z4</f>
        <v/>
      </c>
      <c r="O35" s="15">
        <f>'ASESOR 11'!Z5</f>
        <v/>
      </c>
      <c r="P35" s="10">
        <f>'ASESOR 11'!Z6</f>
        <v/>
      </c>
    </row>
    <row r="36">
      <c r="B36" s="10">
        <f>IF('ASESOR 12'!B3="","",'ASESOR 12'!B3)</f>
        <v/>
      </c>
      <c r="C36" s="10">
        <f>IF('ASESOR 12'!B4="","",'ASESOR 12'!B4)</f>
        <v/>
      </c>
      <c r="D36" s="10">
        <f>IF('ASESOR 12'!B5="","",'ASESOR 12'!B5)</f>
        <v/>
      </c>
      <c r="E36" s="5" t="n"/>
      <c r="F36" s="10">
        <f>IF(OR(B36="",$C$16=""),"",IF(SUM($E$25:$E$37)&gt;0,MAX($C$18,ROUND($C$16*E36/SUM($E$25:$E$37),0)),$C$19))</f>
        <v/>
      </c>
      <c r="G36" s="10">
        <f>'ASESOR 12'!B7</f>
        <v/>
      </c>
      <c r="H36" s="10">
        <f>'ASESOR 12'!P3</f>
        <v/>
      </c>
      <c r="I36" s="14">
        <f>'ASESOR 12'!P4</f>
        <v/>
      </c>
      <c r="J36" s="14">
        <f>'ASESOR 12'!P5</f>
        <v/>
      </c>
      <c r="K36" s="10">
        <f>'ASESOR 12'!P6</f>
        <v/>
      </c>
      <c r="L36" s="10">
        <f>'ASESOR 12'!P7</f>
        <v/>
      </c>
      <c r="M36" s="15">
        <f>'ASESOR 12'!Z3</f>
        <v/>
      </c>
      <c r="N36" s="15">
        <f>'ASESOR 12'!Z4</f>
        <v/>
      </c>
      <c r="O36" s="15">
        <f>'ASESOR 12'!Z5</f>
        <v/>
      </c>
      <c r="P36" s="10">
        <f>'ASESOR 12'!Z6</f>
        <v/>
      </c>
    </row>
    <row r="37">
      <c r="B37" s="10">
        <f>IF('ASESOR 13'!B3="","",'ASESOR 13'!B3)</f>
        <v/>
      </c>
      <c r="C37" s="10">
        <f>IF('ASESOR 13'!B4="","",'ASESOR 13'!B4)</f>
        <v/>
      </c>
      <c r="D37" s="10">
        <f>IF('ASESOR 13'!B5="","",'ASESOR 13'!B5)</f>
        <v/>
      </c>
      <c r="E37" s="5" t="n"/>
      <c r="F37" s="10">
        <f>IF(OR(B37="",$C$16=""),"",IF(SUM($E$25:$E$37)&gt;0,MAX($C$18,ROUND($C$16*E37/SUM($E$25:$E$37),0)),$C$19))</f>
        <v/>
      </c>
      <c r="G37" s="10">
        <f>'ASESOR 13'!B7</f>
        <v/>
      </c>
      <c r="H37" s="10">
        <f>'ASESOR 13'!P3</f>
        <v/>
      </c>
      <c r="I37" s="14">
        <f>'ASESOR 13'!P4</f>
        <v/>
      </c>
      <c r="J37" s="14">
        <f>'ASESOR 13'!P5</f>
        <v/>
      </c>
      <c r="K37" s="10">
        <f>'ASESOR 13'!P6</f>
        <v/>
      </c>
      <c r="L37" s="10">
        <f>'ASESOR 13'!P7</f>
        <v/>
      </c>
      <c r="M37" s="15">
        <f>'ASESOR 13'!Z3</f>
        <v/>
      </c>
      <c r="N37" s="15">
        <f>'ASESOR 13'!Z4</f>
        <v/>
      </c>
      <c r="O37" s="15">
        <f>'ASESOR 13'!Z5</f>
        <v/>
      </c>
      <c r="P37" s="10">
        <f>'ASESOR 13'!Z6</f>
        <v/>
      </c>
    </row>
  </sheetData>
  <mergeCells count="1">
    <mergeCell ref="F11:J12"/>
  </mergeCells>
  <dataValidations count="2">
    <dataValidation sqref="C6" showDropDown="0" showInputMessage="0" showErrorMessage="0" allowBlank="1" type="list">
      <formula1>VARIABLES!$C$2:$C$13</formula1>
    </dataValidation>
    <dataValidation sqref="C10" showDropDown="0" showInputMessage="0" showErrorMessage="0" allowBlank="1" type="list">
      <formula1>VARIABLES!$G$2:$G$4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3" t="inlineStr">
        <is>
          <t>RESUMEN · % de cumplimiento por criterio y asesor</t>
        </is>
      </c>
    </row>
    <row r="5" ht="45" customHeight="1">
      <c r="A5" s="6" t="inlineStr">
        <is>
          <t>Código</t>
        </is>
      </c>
      <c r="B5" s="6" t="inlineStr">
        <is>
          <t>Criterio</t>
        </is>
      </c>
      <c r="C5" s="6" t="inlineStr">
        <is>
          <t>PROMEDIO</t>
        </is>
      </c>
      <c r="D5" s="6">
        <f>IF('ASESOR 01'!B3="","ASESOR 01",'ASESOR 01'!B3)</f>
        <v/>
      </c>
      <c r="E5" s="6">
        <f>IF('ASESOR 02'!B3="","ASESOR 02",'ASESOR 02'!B3)</f>
        <v/>
      </c>
      <c r="F5" s="6">
        <f>IF('ASESOR 03'!B3="","ASESOR 03",'ASESOR 03'!B3)</f>
        <v/>
      </c>
      <c r="G5" s="6">
        <f>IF('ASESOR 04'!B3="","ASESOR 04",'ASESOR 04'!B3)</f>
        <v/>
      </c>
      <c r="H5" s="6">
        <f>IF('ASESOR 05'!B3="","ASESOR 05",'ASESOR 05'!B3)</f>
        <v/>
      </c>
      <c r="I5" s="6">
        <f>IF('ASESOR 06'!B3="","ASESOR 06",'ASESOR 06'!B3)</f>
        <v/>
      </c>
      <c r="J5" s="6">
        <f>IF('ASESOR 07'!B3="","ASESOR 07",'ASESOR 07'!B3)</f>
        <v/>
      </c>
      <c r="K5" s="6">
        <f>IF('ASESOR 08'!B3="","ASESOR 08",'ASESOR 08'!B3)</f>
        <v/>
      </c>
      <c r="L5" s="6">
        <f>IF('ASESOR 09'!B3="","ASESOR 09",'ASESOR 09'!B3)</f>
        <v/>
      </c>
      <c r="M5" s="6">
        <f>IF('ASESOR 10'!B3="","ASESOR 10",'ASESOR 10'!B3)</f>
        <v/>
      </c>
      <c r="N5" s="6">
        <f>IF('ASESOR 11'!B3="","ASESOR 11",'ASESOR 11'!B3)</f>
        <v/>
      </c>
      <c r="O5" s="6">
        <f>IF('ASESOR 12'!B3="","ASESOR 12",'ASESOR 12'!B3)</f>
        <v/>
      </c>
      <c r="P5" s="6">
        <f>IF('ASESOR 13'!B3="","ASESOR 13",'ASESOR 13'!B3)</f>
        <v/>
      </c>
    </row>
    <row r="6">
      <c r="A6" s="10">
        <f>CRITERIOS!B2</f>
        <v/>
      </c>
      <c r="B6" s="8">
        <f>CRITERIOS!D2</f>
        <v/>
      </c>
      <c r="C6" s="15">
        <f>IFERROR(AVERAGE(D6:P6),"")</f>
        <v/>
      </c>
      <c r="D6" s="15">
        <f>'ASESOR 01'!AC14</f>
        <v/>
      </c>
      <c r="E6" s="15">
        <f>'ASESOR 02'!AC14</f>
        <v/>
      </c>
      <c r="F6" s="15">
        <f>'ASESOR 03'!AC14</f>
        <v/>
      </c>
      <c r="G6" s="15">
        <f>'ASESOR 04'!AC14</f>
        <v/>
      </c>
      <c r="H6" s="15">
        <f>'ASESOR 05'!AC14</f>
        <v/>
      </c>
      <c r="I6" s="15">
        <f>'ASESOR 06'!AC14</f>
        <v/>
      </c>
      <c r="J6" s="15">
        <f>'ASESOR 07'!AC14</f>
        <v/>
      </c>
      <c r="K6" s="15">
        <f>'ASESOR 08'!AC14</f>
        <v/>
      </c>
      <c r="L6" s="15">
        <f>'ASESOR 09'!AC14</f>
        <v/>
      </c>
      <c r="M6" s="15">
        <f>'ASESOR 10'!AC14</f>
        <v/>
      </c>
      <c r="N6" s="15">
        <f>'ASESOR 11'!AC14</f>
        <v/>
      </c>
      <c r="O6" s="15">
        <f>'ASESOR 12'!AC14</f>
        <v/>
      </c>
      <c r="P6" s="15">
        <f>'ASESOR 13'!AC14</f>
        <v/>
      </c>
      <c r="Q6" s="10" t="n"/>
    </row>
    <row r="7">
      <c r="A7" s="10">
        <f>CRITERIOS!B3</f>
        <v/>
      </c>
      <c r="B7" s="8">
        <f>CRITERIOS!D3</f>
        <v/>
      </c>
      <c r="C7" s="15">
        <f>IFERROR(AVERAGE(D7:P7),"")</f>
        <v/>
      </c>
      <c r="D7" s="15">
        <f>'ASESOR 01'!AC15</f>
        <v/>
      </c>
      <c r="E7" s="15">
        <f>'ASESOR 02'!AC15</f>
        <v/>
      </c>
      <c r="F7" s="15">
        <f>'ASESOR 03'!AC15</f>
        <v/>
      </c>
      <c r="G7" s="15">
        <f>'ASESOR 04'!AC15</f>
        <v/>
      </c>
      <c r="H7" s="15">
        <f>'ASESOR 05'!AC15</f>
        <v/>
      </c>
      <c r="I7" s="15">
        <f>'ASESOR 06'!AC15</f>
        <v/>
      </c>
      <c r="J7" s="15">
        <f>'ASESOR 07'!AC15</f>
        <v/>
      </c>
      <c r="K7" s="15">
        <f>'ASESOR 08'!AC15</f>
        <v/>
      </c>
      <c r="L7" s="15">
        <f>'ASESOR 09'!AC15</f>
        <v/>
      </c>
      <c r="M7" s="15">
        <f>'ASESOR 10'!AC15</f>
        <v/>
      </c>
      <c r="N7" s="15">
        <f>'ASESOR 11'!AC15</f>
        <v/>
      </c>
      <c r="O7" s="15">
        <f>'ASESOR 12'!AC15</f>
        <v/>
      </c>
      <c r="P7" s="15">
        <f>'ASESOR 13'!AC15</f>
        <v/>
      </c>
      <c r="Q7" s="10" t="n"/>
    </row>
    <row r="8">
      <c r="A8" s="10">
        <f>CRITERIOS!B4</f>
        <v/>
      </c>
      <c r="B8" s="8">
        <f>CRITERIOS!D4</f>
        <v/>
      </c>
      <c r="C8" s="15">
        <f>IFERROR(AVERAGE(D8:P8),"")</f>
        <v/>
      </c>
      <c r="D8" s="15">
        <f>'ASESOR 01'!AC16</f>
        <v/>
      </c>
      <c r="E8" s="15">
        <f>'ASESOR 02'!AC16</f>
        <v/>
      </c>
      <c r="F8" s="15">
        <f>'ASESOR 03'!AC16</f>
        <v/>
      </c>
      <c r="G8" s="15">
        <f>'ASESOR 04'!AC16</f>
        <v/>
      </c>
      <c r="H8" s="15">
        <f>'ASESOR 05'!AC16</f>
        <v/>
      </c>
      <c r="I8" s="15">
        <f>'ASESOR 06'!AC16</f>
        <v/>
      </c>
      <c r="J8" s="15">
        <f>'ASESOR 07'!AC16</f>
        <v/>
      </c>
      <c r="K8" s="15">
        <f>'ASESOR 08'!AC16</f>
        <v/>
      </c>
      <c r="L8" s="15">
        <f>'ASESOR 09'!AC16</f>
        <v/>
      </c>
      <c r="M8" s="15">
        <f>'ASESOR 10'!AC16</f>
        <v/>
      </c>
      <c r="N8" s="15">
        <f>'ASESOR 11'!AC16</f>
        <v/>
      </c>
      <c r="O8" s="15">
        <f>'ASESOR 12'!AC16</f>
        <v/>
      </c>
      <c r="P8" s="15">
        <f>'ASESOR 13'!AC16</f>
        <v/>
      </c>
      <c r="Q8" s="10" t="n"/>
    </row>
    <row r="9">
      <c r="A9" s="10">
        <f>CRITERIOS!B5</f>
        <v/>
      </c>
      <c r="B9" s="8">
        <f>CRITERIOS!D5</f>
        <v/>
      </c>
      <c r="C9" s="15">
        <f>IFERROR(AVERAGE(D9:P9),"")</f>
        <v/>
      </c>
      <c r="D9" s="15">
        <f>'ASESOR 01'!AC17</f>
        <v/>
      </c>
      <c r="E9" s="15">
        <f>'ASESOR 02'!AC17</f>
        <v/>
      </c>
      <c r="F9" s="15">
        <f>'ASESOR 03'!AC17</f>
        <v/>
      </c>
      <c r="G9" s="15">
        <f>'ASESOR 04'!AC17</f>
        <v/>
      </c>
      <c r="H9" s="15">
        <f>'ASESOR 05'!AC17</f>
        <v/>
      </c>
      <c r="I9" s="15">
        <f>'ASESOR 06'!AC17</f>
        <v/>
      </c>
      <c r="J9" s="15">
        <f>'ASESOR 07'!AC17</f>
        <v/>
      </c>
      <c r="K9" s="15">
        <f>'ASESOR 08'!AC17</f>
        <v/>
      </c>
      <c r="L9" s="15">
        <f>'ASESOR 09'!AC17</f>
        <v/>
      </c>
      <c r="M9" s="15">
        <f>'ASESOR 10'!AC17</f>
        <v/>
      </c>
      <c r="N9" s="15">
        <f>'ASESOR 11'!AC17</f>
        <v/>
      </c>
      <c r="O9" s="15">
        <f>'ASESOR 12'!AC17</f>
        <v/>
      </c>
      <c r="P9" s="15">
        <f>'ASESOR 13'!AC17</f>
        <v/>
      </c>
      <c r="Q9" s="10" t="n"/>
    </row>
    <row r="10">
      <c r="A10" s="10">
        <f>CRITERIOS!B6</f>
        <v/>
      </c>
      <c r="B10" s="8">
        <f>CRITERIOS!D6</f>
        <v/>
      </c>
      <c r="C10" s="15">
        <f>IFERROR(AVERAGE(D10:P10),"")</f>
        <v/>
      </c>
      <c r="D10" s="15">
        <f>'ASESOR 01'!AC18</f>
        <v/>
      </c>
      <c r="E10" s="15">
        <f>'ASESOR 02'!AC18</f>
        <v/>
      </c>
      <c r="F10" s="15">
        <f>'ASESOR 03'!AC18</f>
        <v/>
      </c>
      <c r="G10" s="15">
        <f>'ASESOR 04'!AC18</f>
        <v/>
      </c>
      <c r="H10" s="15">
        <f>'ASESOR 05'!AC18</f>
        <v/>
      </c>
      <c r="I10" s="15">
        <f>'ASESOR 06'!AC18</f>
        <v/>
      </c>
      <c r="J10" s="15">
        <f>'ASESOR 07'!AC18</f>
        <v/>
      </c>
      <c r="K10" s="15">
        <f>'ASESOR 08'!AC18</f>
        <v/>
      </c>
      <c r="L10" s="15">
        <f>'ASESOR 09'!AC18</f>
        <v/>
      </c>
      <c r="M10" s="15">
        <f>'ASESOR 10'!AC18</f>
        <v/>
      </c>
      <c r="N10" s="15">
        <f>'ASESOR 11'!AC18</f>
        <v/>
      </c>
      <c r="O10" s="15">
        <f>'ASESOR 12'!AC18</f>
        <v/>
      </c>
      <c r="P10" s="15">
        <f>'ASESOR 13'!AC18</f>
        <v/>
      </c>
      <c r="Q10" s="10" t="n"/>
    </row>
    <row r="11">
      <c r="A11" s="10">
        <f>CRITERIOS!B7</f>
        <v/>
      </c>
      <c r="B11" s="8">
        <f>CRITERIOS!D7</f>
        <v/>
      </c>
      <c r="C11" s="15">
        <f>IFERROR(AVERAGE(D11:P11),"")</f>
        <v/>
      </c>
      <c r="D11" s="15">
        <f>'ASESOR 01'!AC19</f>
        <v/>
      </c>
      <c r="E11" s="15">
        <f>'ASESOR 02'!AC19</f>
        <v/>
      </c>
      <c r="F11" s="15">
        <f>'ASESOR 03'!AC19</f>
        <v/>
      </c>
      <c r="G11" s="15">
        <f>'ASESOR 04'!AC19</f>
        <v/>
      </c>
      <c r="H11" s="15">
        <f>'ASESOR 05'!AC19</f>
        <v/>
      </c>
      <c r="I11" s="15">
        <f>'ASESOR 06'!AC19</f>
        <v/>
      </c>
      <c r="J11" s="15">
        <f>'ASESOR 07'!AC19</f>
        <v/>
      </c>
      <c r="K11" s="15">
        <f>'ASESOR 08'!AC19</f>
        <v/>
      </c>
      <c r="L11" s="15">
        <f>'ASESOR 09'!AC19</f>
        <v/>
      </c>
      <c r="M11" s="15">
        <f>'ASESOR 10'!AC19</f>
        <v/>
      </c>
      <c r="N11" s="15">
        <f>'ASESOR 11'!AC19</f>
        <v/>
      </c>
      <c r="O11" s="15">
        <f>'ASESOR 12'!AC19</f>
        <v/>
      </c>
      <c r="P11" s="15">
        <f>'ASESOR 13'!AC19</f>
        <v/>
      </c>
      <c r="Q11" s="10" t="n"/>
    </row>
    <row r="12">
      <c r="A12" s="10">
        <f>CRITERIOS!B8</f>
        <v/>
      </c>
      <c r="B12" s="8">
        <f>CRITERIOS!D8</f>
        <v/>
      </c>
      <c r="C12" s="15">
        <f>IFERROR(AVERAGE(D12:P12),"")</f>
        <v/>
      </c>
      <c r="D12" s="15">
        <f>'ASESOR 01'!AC20</f>
        <v/>
      </c>
      <c r="E12" s="15">
        <f>'ASESOR 02'!AC20</f>
        <v/>
      </c>
      <c r="F12" s="15">
        <f>'ASESOR 03'!AC20</f>
        <v/>
      </c>
      <c r="G12" s="15">
        <f>'ASESOR 04'!AC20</f>
        <v/>
      </c>
      <c r="H12" s="15">
        <f>'ASESOR 05'!AC20</f>
        <v/>
      </c>
      <c r="I12" s="15">
        <f>'ASESOR 06'!AC20</f>
        <v/>
      </c>
      <c r="J12" s="15">
        <f>'ASESOR 07'!AC20</f>
        <v/>
      </c>
      <c r="K12" s="15">
        <f>'ASESOR 08'!AC20</f>
        <v/>
      </c>
      <c r="L12" s="15">
        <f>'ASESOR 09'!AC20</f>
        <v/>
      </c>
      <c r="M12" s="15">
        <f>'ASESOR 10'!AC20</f>
        <v/>
      </c>
      <c r="N12" s="15">
        <f>'ASESOR 11'!AC20</f>
        <v/>
      </c>
      <c r="O12" s="15">
        <f>'ASESOR 12'!AC20</f>
        <v/>
      </c>
      <c r="P12" s="15">
        <f>'ASESOR 13'!AC20</f>
        <v/>
      </c>
      <c r="Q12" s="10" t="n"/>
    </row>
    <row r="13">
      <c r="A13" s="10">
        <f>CRITERIOS!B9</f>
        <v/>
      </c>
      <c r="B13" s="8">
        <f>CRITERIOS!D9</f>
        <v/>
      </c>
      <c r="C13" s="15">
        <f>IFERROR(AVERAGE(D13:P13),"")</f>
        <v/>
      </c>
      <c r="D13" s="15">
        <f>'ASESOR 01'!AC21</f>
        <v/>
      </c>
      <c r="E13" s="15">
        <f>'ASESOR 02'!AC21</f>
        <v/>
      </c>
      <c r="F13" s="15">
        <f>'ASESOR 03'!AC21</f>
        <v/>
      </c>
      <c r="G13" s="15">
        <f>'ASESOR 04'!AC21</f>
        <v/>
      </c>
      <c r="H13" s="15">
        <f>'ASESOR 05'!AC21</f>
        <v/>
      </c>
      <c r="I13" s="15">
        <f>'ASESOR 06'!AC21</f>
        <v/>
      </c>
      <c r="J13" s="15">
        <f>'ASESOR 07'!AC21</f>
        <v/>
      </c>
      <c r="K13" s="15">
        <f>'ASESOR 08'!AC21</f>
        <v/>
      </c>
      <c r="L13" s="15">
        <f>'ASESOR 09'!AC21</f>
        <v/>
      </c>
      <c r="M13" s="15">
        <f>'ASESOR 10'!AC21</f>
        <v/>
      </c>
      <c r="N13" s="15">
        <f>'ASESOR 11'!AC21</f>
        <v/>
      </c>
      <c r="O13" s="15">
        <f>'ASESOR 12'!AC21</f>
        <v/>
      </c>
      <c r="P13" s="15">
        <f>'ASESOR 13'!AC21</f>
        <v/>
      </c>
      <c r="Q13" s="10" t="n"/>
    </row>
    <row r="14">
      <c r="A14" s="10">
        <f>CRITERIOS!B10</f>
        <v/>
      </c>
      <c r="B14" s="8">
        <f>CRITERIOS!D10</f>
        <v/>
      </c>
      <c r="C14" s="15">
        <f>IFERROR(AVERAGE(D14:P14),"")</f>
        <v/>
      </c>
      <c r="D14" s="15">
        <f>'ASESOR 01'!AC22</f>
        <v/>
      </c>
      <c r="E14" s="15">
        <f>'ASESOR 02'!AC22</f>
        <v/>
      </c>
      <c r="F14" s="15">
        <f>'ASESOR 03'!AC22</f>
        <v/>
      </c>
      <c r="G14" s="15">
        <f>'ASESOR 04'!AC22</f>
        <v/>
      </c>
      <c r="H14" s="15">
        <f>'ASESOR 05'!AC22</f>
        <v/>
      </c>
      <c r="I14" s="15">
        <f>'ASESOR 06'!AC22</f>
        <v/>
      </c>
      <c r="J14" s="15">
        <f>'ASESOR 07'!AC22</f>
        <v/>
      </c>
      <c r="K14" s="15">
        <f>'ASESOR 08'!AC22</f>
        <v/>
      </c>
      <c r="L14" s="15">
        <f>'ASESOR 09'!AC22</f>
        <v/>
      </c>
      <c r="M14" s="15">
        <f>'ASESOR 10'!AC22</f>
        <v/>
      </c>
      <c r="N14" s="15">
        <f>'ASESOR 11'!AC22</f>
        <v/>
      </c>
      <c r="O14" s="15">
        <f>'ASESOR 12'!AC22</f>
        <v/>
      </c>
      <c r="P14" s="15">
        <f>'ASESOR 13'!AC22</f>
        <v/>
      </c>
      <c r="Q14" s="10" t="n"/>
    </row>
    <row r="15">
      <c r="A15" s="10">
        <f>CRITERIOS!B11</f>
        <v/>
      </c>
      <c r="B15" s="8">
        <f>CRITERIOS!D11</f>
        <v/>
      </c>
      <c r="C15" s="15">
        <f>IFERROR(AVERAGE(D15:P15),"")</f>
        <v/>
      </c>
      <c r="D15" s="15">
        <f>'ASESOR 01'!AC23</f>
        <v/>
      </c>
      <c r="E15" s="15">
        <f>'ASESOR 02'!AC23</f>
        <v/>
      </c>
      <c r="F15" s="15">
        <f>'ASESOR 03'!AC23</f>
        <v/>
      </c>
      <c r="G15" s="15">
        <f>'ASESOR 04'!AC23</f>
        <v/>
      </c>
      <c r="H15" s="15">
        <f>'ASESOR 05'!AC23</f>
        <v/>
      </c>
      <c r="I15" s="15">
        <f>'ASESOR 06'!AC23</f>
        <v/>
      </c>
      <c r="J15" s="15">
        <f>'ASESOR 07'!AC23</f>
        <v/>
      </c>
      <c r="K15" s="15">
        <f>'ASESOR 08'!AC23</f>
        <v/>
      </c>
      <c r="L15" s="15">
        <f>'ASESOR 09'!AC23</f>
        <v/>
      </c>
      <c r="M15" s="15">
        <f>'ASESOR 10'!AC23</f>
        <v/>
      </c>
      <c r="N15" s="15">
        <f>'ASESOR 11'!AC23</f>
        <v/>
      </c>
      <c r="O15" s="15">
        <f>'ASESOR 12'!AC23</f>
        <v/>
      </c>
      <c r="P15" s="15">
        <f>'ASESOR 13'!AC23</f>
        <v/>
      </c>
      <c r="Q15" s="10" t="n"/>
    </row>
    <row r="16">
      <c r="A16" s="10">
        <f>CRITERIOS!B12</f>
        <v/>
      </c>
      <c r="B16" s="8">
        <f>CRITERIOS!D12</f>
        <v/>
      </c>
      <c r="C16" s="15">
        <f>IFERROR(AVERAGE(D16:P16),"")</f>
        <v/>
      </c>
      <c r="D16" s="15">
        <f>'ASESOR 01'!AC24</f>
        <v/>
      </c>
      <c r="E16" s="15">
        <f>'ASESOR 02'!AC24</f>
        <v/>
      </c>
      <c r="F16" s="15">
        <f>'ASESOR 03'!AC24</f>
        <v/>
      </c>
      <c r="G16" s="15">
        <f>'ASESOR 04'!AC24</f>
        <v/>
      </c>
      <c r="H16" s="15">
        <f>'ASESOR 05'!AC24</f>
        <v/>
      </c>
      <c r="I16" s="15">
        <f>'ASESOR 06'!AC24</f>
        <v/>
      </c>
      <c r="J16" s="15">
        <f>'ASESOR 07'!AC24</f>
        <v/>
      </c>
      <c r="K16" s="15">
        <f>'ASESOR 08'!AC24</f>
        <v/>
      </c>
      <c r="L16" s="15">
        <f>'ASESOR 09'!AC24</f>
        <v/>
      </c>
      <c r="M16" s="15">
        <f>'ASESOR 10'!AC24</f>
        <v/>
      </c>
      <c r="N16" s="15">
        <f>'ASESOR 11'!AC24</f>
        <v/>
      </c>
      <c r="O16" s="15">
        <f>'ASESOR 12'!AC24</f>
        <v/>
      </c>
      <c r="P16" s="15">
        <f>'ASESOR 13'!AC24</f>
        <v/>
      </c>
      <c r="Q16" s="10" t="n"/>
    </row>
    <row r="17">
      <c r="A17" s="10">
        <f>CRITERIOS!B13</f>
        <v/>
      </c>
      <c r="B17" s="8">
        <f>CRITERIOS!D13</f>
        <v/>
      </c>
      <c r="C17" s="15">
        <f>IFERROR(AVERAGE(D17:P17),"")</f>
        <v/>
      </c>
      <c r="D17" s="15">
        <f>'ASESOR 01'!AC25</f>
        <v/>
      </c>
      <c r="E17" s="15">
        <f>'ASESOR 02'!AC25</f>
        <v/>
      </c>
      <c r="F17" s="15">
        <f>'ASESOR 03'!AC25</f>
        <v/>
      </c>
      <c r="G17" s="15">
        <f>'ASESOR 04'!AC25</f>
        <v/>
      </c>
      <c r="H17" s="15">
        <f>'ASESOR 05'!AC25</f>
        <v/>
      </c>
      <c r="I17" s="15">
        <f>'ASESOR 06'!AC25</f>
        <v/>
      </c>
      <c r="J17" s="15">
        <f>'ASESOR 07'!AC25</f>
        <v/>
      </c>
      <c r="K17" s="15">
        <f>'ASESOR 08'!AC25</f>
        <v/>
      </c>
      <c r="L17" s="15">
        <f>'ASESOR 09'!AC25</f>
        <v/>
      </c>
      <c r="M17" s="15">
        <f>'ASESOR 10'!AC25</f>
        <v/>
      </c>
      <c r="N17" s="15">
        <f>'ASESOR 11'!AC25</f>
        <v/>
      </c>
      <c r="O17" s="15">
        <f>'ASESOR 12'!AC25</f>
        <v/>
      </c>
      <c r="P17" s="15">
        <f>'ASESOR 13'!AC25</f>
        <v/>
      </c>
      <c r="Q17" s="10" t="n"/>
    </row>
    <row r="18">
      <c r="A18" s="10">
        <f>CRITERIOS!B14</f>
        <v/>
      </c>
      <c r="B18" s="8">
        <f>CRITERIOS!D14</f>
        <v/>
      </c>
      <c r="C18" s="15">
        <f>IFERROR(AVERAGE(D18:P18),"")</f>
        <v/>
      </c>
      <c r="D18" s="15">
        <f>'ASESOR 01'!AC26</f>
        <v/>
      </c>
      <c r="E18" s="15">
        <f>'ASESOR 02'!AC26</f>
        <v/>
      </c>
      <c r="F18" s="15">
        <f>'ASESOR 03'!AC26</f>
        <v/>
      </c>
      <c r="G18" s="15">
        <f>'ASESOR 04'!AC26</f>
        <v/>
      </c>
      <c r="H18" s="15">
        <f>'ASESOR 05'!AC26</f>
        <v/>
      </c>
      <c r="I18" s="15">
        <f>'ASESOR 06'!AC26</f>
        <v/>
      </c>
      <c r="J18" s="15">
        <f>'ASESOR 07'!AC26</f>
        <v/>
      </c>
      <c r="K18" s="15">
        <f>'ASESOR 08'!AC26</f>
        <v/>
      </c>
      <c r="L18" s="15">
        <f>'ASESOR 09'!AC26</f>
        <v/>
      </c>
      <c r="M18" s="15">
        <f>'ASESOR 10'!AC26</f>
        <v/>
      </c>
      <c r="N18" s="15">
        <f>'ASESOR 11'!AC26</f>
        <v/>
      </c>
      <c r="O18" s="15">
        <f>'ASESOR 12'!AC26</f>
        <v/>
      </c>
      <c r="P18" s="15">
        <f>'ASESOR 13'!AC26</f>
        <v/>
      </c>
      <c r="Q18" s="10" t="n"/>
    </row>
    <row r="19">
      <c r="A19" s="10">
        <f>CRITERIOS!B15</f>
        <v/>
      </c>
      <c r="B19" s="8">
        <f>CRITERIOS!D15</f>
        <v/>
      </c>
      <c r="C19" s="15">
        <f>IFERROR(AVERAGE(D19:P19),"")</f>
        <v/>
      </c>
      <c r="D19" s="15">
        <f>'ASESOR 01'!AC27</f>
        <v/>
      </c>
      <c r="E19" s="15">
        <f>'ASESOR 02'!AC27</f>
        <v/>
      </c>
      <c r="F19" s="15">
        <f>'ASESOR 03'!AC27</f>
        <v/>
      </c>
      <c r="G19" s="15">
        <f>'ASESOR 04'!AC27</f>
        <v/>
      </c>
      <c r="H19" s="15">
        <f>'ASESOR 05'!AC27</f>
        <v/>
      </c>
      <c r="I19" s="15">
        <f>'ASESOR 06'!AC27</f>
        <v/>
      </c>
      <c r="J19" s="15">
        <f>'ASESOR 07'!AC27</f>
        <v/>
      </c>
      <c r="K19" s="15">
        <f>'ASESOR 08'!AC27</f>
        <v/>
      </c>
      <c r="L19" s="15">
        <f>'ASESOR 09'!AC27</f>
        <v/>
      </c>
      <c r="M19" s="15">
        <f>'ASESOR 10'!AC27</f>
        <v/>
      </c>
      <c r="N19" s="15">
        <f>'ASESOR 11'!AC27</f>
        <v/>
      </c>
      <c r="O19" s="15">
        <f>'ASESOR 12'!AC27</f>
        <v/>
      </c>
      <c r="P19" s="15">
        <f>'ASESOR 13'!AC27</f>
        <v/>
      </c>
      <c r="Q19" s="10" t="n"/>
    </row>
    <row r="20">
      <c r="A20" s="10">
        <f>CRITERIOS!B16</f>
        <v/>
      </c>
      <c r="B20" s="8">
        <f>CRITERIOS!D16</f>
        <v/>
      </c>
      <c r="C20" s="15">
        <f>IFERROR(AVERAGE(D20:P20),"")</f>
        <v/>
      </c>
      <c r="D20" s="15">
        <f>'ASESOR 01'!AC28</f>
        <v/>
      </c>
      <c r="E20" s="15">
        <f>'ASESOR 02'!AC28</f>
        <v/>
      </c>
      <c r="F20" s="15">
        <f>'ASESOR 03'!AC28</f>
        <v/>
      </c>
      <c r="G20" s="15">
        <f>'ASESOR 04'!AC28</f>
        <v/>
      </c>
      <c r="H20" s="15">
        <f>'ASESOR 05'!AC28</f>
        <v/>
      </c>
      <c r="I20" s="15">
        <f>'ASESOR 06'!AC28</f>
        <v/>
      </c>
      <c r="J20" s="15">
        <f>'ASESOR 07'!AC28</f>
        <v/>
      </c>
      <c r="K20" s="15">
        <f>'ASESOR 08'!AC28</f>
        <v/>
      </c>
      <c r="L20" s="15">
        <f>'ASESOR 09'!AC28</f>
        <v/>
      </c>
      <c r="M20" s="15">
        <f>'ASESOR 10'!AC28</f>
        <v/>
      </c>
      <c r="N20" s="15">
        <f>'ASESOR 11'!AC28</f>
        <v/>
      </c>
      <c r="O20" s="15">
        <f>'ASESOR 12'!AC28</f>
        <v/>
      </c>
      <c r="P20" s="15">
        <f>'ASESOR 13'!AC28</f>
        <v/>
      </c>
      <c r="Q20" s="10" t="n"/>
    </row>
    <row r="21">
      <c r="A21" s="10">
        <f>CRITERIOS!B17</f>
        <v/>
      </c>
      <c r="B21" s="8">
        <f>CRITERIOS!D17</f>
        <v/>
      </c>
      <c r="C21" s="15">
        <f>IFERROR(AVERAGE(D21:P21),"")</f>
        <v/>
      </c>
      <c r="D21" s="15">
        <f>'ASESOR 01'!AC29</f>
        <v/>
      </c>
      <c r="E21" s="15">
        <f>'ASESOR 02'!AC29</f>
        <v/>
      </c>
      <c r="F21" s="15">
        <f>'ASESOR 03'!AC29</f>
        <v/>
      </c>
      <c r="G21" s="15">
        <f>'ASESOR 04'!AC29</f>
        <v/>
      </c>
      <c r="H21" s="15">
        <f>'ASESOR 05'!AC29</f>
        <v/>
      </c>
      <c r="I21" s="15">
        <f>'ASESOR 06'!AC29</f>
        <v/>
      </c>
      <c r="J21" s="15">
        <f>'ASESOR 07'!AC29</f>
        <v/>
      </c>
      <c r="K21" s="15">
        <f>'ASESOR 08'!AC29</f>
        <v/>
      </c>
      <c r="L21" s="15">
        <f>'ASESOR 09'!AC29</f>
        <v/>
      </c>
      <c r="M21" s="15">
        <f>'ASESOR 10'!AC29</f>
        <v/>
      </c>
      <c r="N21" s="15">
        <f>'ASESOR 11'!AC29</f>
        <v/>
      </c>
      <c r="O21" s="15">
        <f>'ASESOR 12'!AC29</f>
        <v/>
      </c>
      <c r="P21" s="15">
        <f>'ASESOR 13'!AC29</f>
        <v/>
      </c>
      <c r="Q21" s="10" t="n"/>
    </row>
    <row r="22">
      <c r="A22" s="10">
        <f>CRITERIOS!B18</f>
        <v/>
      </c>
      <c r="B22" s="8">
        <f>CRITERIOS!D18</f>
        <v/>
      </c>
      <c r="C22" s="15">
        <f>IFERROR(AVERAGE(D22:P22),"")</f>
        <v/>
      </c>
      <c r="D22" s="15">
        <f>'ASESOR 01'!AC30</f>
        <v/>
      </c>
      <c r="E22" s="15">
        <f>'ASESOR 02'!AC30</f>
        <v/>
      </c>
      <c r="F22" s="15">
        <f>'ASESOR 03'!AC30</f>
        <v/>
      </c>
      <c r="G22" s="15">
        <f>'ASESOR 04'!AC30</f>
        <v/>
      </c>
      <c r="H22" s="15">
        <f>'ASESOR 05'!AC30</f>
        <v/>
      </c>
      <c r="I22" s="15">
        <f>'ASESOR 06'!AC30</f>
        <v/>
      </c>
      <c r="J22" s="15">
        <f>'ASESOR 07'!AC30</f>
        <v/>
      </c>
      <c r="K22" s="15">
        <f>'ASESOR 08'!AC30</f>
        <v/>
      </c>
      <c r="L22" s="15">
        <f>'ASESOR 09'!AC30</f>
        <v/>
      </c>
      <c r="M22" s="15">
        <f>'ASESOR 10'!AC30</f>
        <v/>
      </c>
      <c r="N22" s="15">
        <f>'ASESOR 11'!AC30</f>
        <v/>
      </c>
      <c r="O22" s="15">
        <f>'ASESOR 12'!AC30</f>
        <v/>
      </c>
      <c r="P22" s="15">
        <f>'ASESOR 13'!AC30</f>
        <v/>
      </c>
      <c r="Q22" s="10" t="n"/>
    </row>
    <row r="23">
      <c r="A23" s="10">
        <f>CRITERIOS!B19</f>
        <v/>
      </c>
      <c r="B23" s="8">
        <f>CRITERIOS!D19</f>
        <v/>
      </c>
      <c r="C23" s="15">
        <f>IFERROR(AVERAGE(D23:P23),"")</f>
        <v/>
      </c>
      <c r="D23" s="15">
        <f>'ASESOR 01'!AC31</f>
        <v/>
      </c>
      <c r="E23" s="15">
        <f>'ASESOR 02'!AC31</f>
        <v/>
      </c>
      <c r="F23" s="15">
        <f>'ASESOR 03'!AC31</f>
        <v/>
      </c>
      <c r="G23" s="15">
        <f>'ASESOR 04'!AC31</f>
        <v/>
      </c>
      <c r="H23" s="15">
        <f>'ASESOR 05'!AC31</f>
        <v/>
      </c>
      <c r="I23" s="15">
        <f>'ASESOR 06'!AC31</f>
        <v/>
      </c>
      <c r="J23" s="15">
        <f>'ASESOR 07'!AC31</f>
        <v/>
      </c>
      <c r="K23" s="15">
        <f>'ASESOR 08'!AC31</f>
        <v/>
      </c>
      <c r="L23" s="15">
        <f>'ASESOR 09'!AC31</f>
        <v/>
      </c>
      <c r="M23" s="15">
        <f>'ASESOR 10'!AC31</f>
        <v/>
      </c>
      <c r="N23" s="15">
        <f>'ASESOR 11'!AC31</f>
        <v/>
      </c>
      <c r="O23" s="15">
        <f>'ASESOR 12'!AC31</f>
        <v/>
      </c>
      <c r="P23" s="15">
        <f>'ASESOR 13'!AC31</f>
        <v/>
      </c>
      <c r="Q23" s="10" t="n"/>
    </row>
    <row r="24">
      <c r="A24" s="10">
        <f>CRITERIOS!B20</f>
        <v/>
      </c>
      <c r="B24" s="8">
        <f>CRITERIOS!D20</f>
        <v/>
      </c>
      <c r="C24" s="15">
        <f>IFERROR(AVERAGE(D24:P24),"")</f>
        <v/>
      </c>
      <c r="D24" s="15">
        <f>'ASESOR 01'!AC32</f>
        <v/>
      </c>
      <c r="E24" s="15">
        <f>'ASESOR 02'!AC32</f>
        <v/>
      </c>
      <c r="F24" s="15">
        <f>'ASESOR 03'!AC32</f>
        <v/>
      </c>
      <c r="G24" s="15">
        <f>'ASESOR 04'!AC32</f>
        <v/>
      </c>
      <c r="H24" s="15">
        <f>'ASESOR 05'!AC32</f>
        <v/>
      </c>
      <c r="I24" s="15">
        <f>'ASESOR 06'!AC32</f>
        <v/>
      </c>
      <c r="J24" s="15">
        <f>'ASESOR 07'!AC32</f>
        <v/>
      </c>
      <c r="K24" s="15">
        <f>'ASESOR 08'!AC32</f>
        <v/>
      </c>
      <c r="L24" s="15">
        <f>'ASESOR 09'!AC32</f>
        <v/>
      </c>
      <c r="M24" s="15">
        <f>'ASESOR 10'!AC32</f>
        <v/>
      </c>
      <c r="N24" s="15">
        <f>'ASESOR 11'!AC32</f>
        <v/>
      </c>
      <c r="O24" s="15">
        <f>'ASESOR 12'!AC32</f>
        <v/>
      </c>
      <c r="P24" s="15">
        <f>'ASESOR 13'!AC32</f>
        <v/>
      </c>
      <c r="Q24" s="10" t="n"/>
    </row>
    <row r="25">
      <c r="A25" s="10">
        <f>CRITERIOS!B21</f>
        <v/>
      </c>
      <c r="B25" s="8">
        <f>CRITERIOS!D21</f>
        <v/>
      </c>
      <c r="C25" s="15">
        <f>IFERROR(AVERAGE(D25:P25),"")</f>
        <v/>
      </c>
      <c r="D25" s="15">
        <f>'ASESOR 01'!AC33</f>
        <v/>
      </c>
      <c r="E25" s="15">
        <f>'ASESOR 02'!AC33</f>
        <v/>
      </c>
      <c r="F25" s="15">
        <f>'ASESOR 03'!AC33</f>
        <v/>
      </c>
      <c r="G25" s="15">
        <f>'ASESOR 04'!AC33</f>
        <v/>
      </c>
      <c r="H25" s="15">
        <f>'ASESOR 05'!AC33</f>
        <v/>
      </c>
      <c r="I25" s="15">
        <f>'ASESOR 06'!AC33</f>
        <v/>
      </c>
      <c r="J25" s="15">
        <f>'ASESOR 07'!AC33</f>
        <v/>
      </c>
      <c r="K25" s="15">
        <f>'ASESOR 08'!AC33</f>
        <v/>
      </c>
      <c r="L25" s="15">
        <f>'ASESOR 09'!AC33</f>
        <v/>
      </c>
      <c r="M25" s="15">
        <f>'ASESOR 10'!AC33</f>
        <v/>
      </c>
      <c r="N25" s="15">
        <f>'ASESOR 11'!AC33</f>
        <v/>
      </c>
      <c r="O25" s="15">
        <f>'ASESOR 12'!AC33</f>
        <v/>
      </c>
      <c r="P25" s="15">
        <f>'ASESOR 13'!AC33</f>
        <v/>
      </c>
      <c r="Q25" s="10" t="n"/>
    </row>
    <row r="26">
      <c r="A26" s="10">
        <f>CRITERIOS!B22</f>
        <v/>
      </c>
      <c r="B26" s="8">
        <f>CRITERIOS!D22</f>
        <v/>
      </c>
      <c r="C26" s="15">
        <f>IFERROR(AVERAGE(D26:P26),"")</f>
        <v/>
      </c>
      <c r="D26" s="15">
        <f>'ASESOR 01'!AC34</f>
        <v/>
      </c>
      <c r="E26" s="15">
        <f>'ASESOR 02'!AC34</f>
        <v/>
      </c>
      <c r="F26" s="15">
        <f>'ASESOR 03'!AC34</f>
        <v/>
      </c>
      <c r="G26" s="15">
        <f>'ASESOR 04'!AC34</f>
        <v/>
      </c>
      <c r="H26" s="15">
        <f>'ASESOR 05'!AC34</f>
        <v/>
      </c>
      <c r="I26" s="15">
        <f>'ASESOR 06'!AC34</f>
        <v/>
      </c>
      <c r="J26" s="15">
        <f>'ASESOR 07'!AC34</f>
        <v/>
      </c>
      <c r="K26" s="15">
        <f>'ASESOR 08'!AC34</f>
        <v/>
      </c>
      <c r="L26" s="15">
        <f>'ASESOR 09'!AC34</f>
        <v/>
      </c>
      <c r="M26" s="15">
        <f>'ASESOR 10'!AC34</f>
        <v/>
      </c>
      <c r="N26" s="15">
        <f>'ASESOR 11'!AC34</f>
        <v/>
      </c>
      <c r="O26" s="15">
        <f>'ASESOR 12'!AC34</f>
        <v/>
      </c>
      <c r="P26" s="15">
        <f>'ASESOR 13'!AC34</f>
        <v/>
      </c>
      <c r="Q26" s="10" t="n"/>
    </row>
    <row r="27">
      <c r="A27" s="10">
        <f>CRITERIOS!B23</f>
        <v/>
      </c>
      <c r="B27" s="8">
        <f>CRITERIOS!D23</f>
        <v/>
      </c>
      <c r="C27" s="15">
        <f>IFERROR(AVERAGE(D27:P27),"")</f>
        <v/>
      </c>
      <c r="D27" s="15">
        <f>'ASESOR 01'!AC35</f>
        <v/>
      </c>
      <c r="E27" s="15">
        <f>'ASESOR 02'!AC35</f>
        <v/>
      </c>
      <c r="F27" s="15">
        <f>'ASESOR 03'!AC35</f>
        <v/>
      </c>
      <c r="G27" s="15">
        <f>'ASESOR 04'!AC35</f>
        <v/>
      </c>
      <c r="H27" s="15">
        <f>'ASESOR 05'!AC35</f>
        <v/>
      </c>
      <c r="I27" s="15">
        <f>'ASESOR 06'!AC35</f>
        <v/>
      </c>
      <c r="J27" s="15">
        <f>'ASESOR 07'!AC35</f>
        <v/>
      </c>
      <c r="K27" s="15">
        <f>'ASESOR 08'!AC35</f>
        <v/>
      </c>
      <c r="L27" s="15">
        <f>'ASESOR 09'!AC35</f>
        <v/>
      </c>
      <c r="M27" s="15">
        <f>'ASESOR 10'!AC35</f>
        <v/>
      </c>
      <c r="N27" s="15">
        <f>'ASESOR 11'!AC35</f>
        <v/>
      </c>
      <c r="O27" s="15">
        <f>'ASESOR 12'!AC35</f>
        <v/>
      </c>
      <c r="P27" s="15">
        <f>'ASESOR 13'!AC35</f>
        <v/>
      </c>
      <c r="Q27" s="10" t="n"/>
    </row>
    <row r="28">
      <c r="A28" s="10">
        <f>CRITERIOS!B24</f>
        <v/>
      </c>
      <c r="B28" s="8">
        <f>CRITERIOS!D24</f>
        <v/>
      </c>
      <c r="C28" s="15">
        <f>IFERROR(AVERAGE(D28:P28),"")</f>
        <v/>
      </c>
      <c r="D28" s="15">
        <f>'ASESOR 01'!AC36</f>
        <v/>
      </c>
      <c r="E28" s="15">
        <f>'ASESOR 02'!AC36</f>
        <v/>
      </c>
      <c r="F28" s="15">
        <f>'ASESOR 03'!AC36</f>
        <v/>
      </c>
      <c r="G28" s="15">
        <f>'ASESOR 04'!AC36</f>
        <v/>
      </c>
      <c r="H28" s="15">
        <f>'ASESOR 05'!AC36</f>
        <v/>
      </c>
      <c r="I28" s="15">
        <f>'ASESOR 06'!AC36</f>
        <v/>
      </c>
      <c r="J28" s="15">
        <f>'ASESOR 07'!AC36</f>
        <v/>
      </c>
      <c r="K28" s="15">
        <f>'ASESOR 08'!AC36</f>
        <v/>
      </c>
      <c r="L28" s="15">
        <f>'ASESOR 09'!AC36</f>
        <v/>
      </c>
      <c r="M28" s="15">
        <f>'ASESOR 10'!AC36</f>
        <v/>
      </c>
      <c r="N28" s="15">
        <f>'ASESOR 11'!AC36</f>
        <v/>
      </c>
      <c r="O28" s="15">
        <f>'ASESOR 12'!AC36</f>
        <v/>
      </c>
      <c r="P28" s="15">
        <f>'ASESOR 13'!AC36</f>
        <v/>
      </c>
      <c r="Q28" s="10" t="n"/>
    </row>
    <row r="29">
      <c r="A29" s="10">
        <f>CRITERIOS!B25</f>
        <v/>
      </c>
      <c r="B29" s="8">
        <f>CRITERIOS!D25</f>
        <v/>
      </c>
      <c r="C29" s="15">
        <f>IFERROR(AVERAGE(D29:P29),"")</f>
        <v/>
      </c>
      <c r="D29" s="15">
        <f>'ASESOR 01'!AC37</f>
        <v/>
      </c>
      <c r="E29" s="15">
        <f>'ASESOR 02'!AC37</f>
        <v/>
      </c>
      <c r="F29" s="15">
        <f>'ASESOR 03'!AC37</f>
        <v/>
      </c>
      <c r="G29" s="15">
        <f>'ASESOR 04'!AC37</f>
        <v/>
      </c>
      <c r="H29" s="15">
        <f>'ASESOR 05'!AC37</f>
        <v/>
      </c>
      <c r="I29" s="15">
        <f>'ASESOR 06'!AC37</f>
        <v/>
      </c>
      <c r="J29" s="15">
        <f>'ASESOR 07'!AC37</f>
        <v/>
      </c>
      <c r="K29" s="15">
        <f>'ASESOR 08'!AC37</f>
        <v/>
      </c>
      <c r="L29" s="15">
        <f>'ASESOR 09'!AC37</f>
        <v/>
      </c>
      <c r="M29" s="15">
        <f>'ASESOR 10'!AC37</f>
        <v/>
      </c>
      <c r="N29" s="15">
        <f>'ASESOR 11'!AC37</f>
        <v/>
      </c>
      <c r="O29" s="15">
        <f>'ASESOR 12'!AC37</f>
        <v/>
      </c>
      <c r="P29" s="15">
        <f>'ASESOR 13'!AC37</f>
        <v/>
      </c>
      <c r="Q29" s="10" t="n"/>
    </row>
    <row r="30">
      <c r="A30" s="10">
        <f>CRITERIOS!B26</f>
        <v/>
      </c>
      <c r="B30" s="8">
        <f>CRITERIOS!D26</f>
        <v/>
      </c>
      <c r="C30" s="15">
        <f>IFERROR(AVERAGE(D30:P30),"")</f>
        <v/>
      </c>
      <c r="D30" s="15">
        <f>'ASESOR 01'!AC38</f>
        <v/>
      </c>
      <c r="E30" s="15">
        <f>'ASESOR 02'!AC38</f>
        <v/>
      </c>
      <c r="F30" s="15">
        <f>'ASESOR 03'!AC38</f>
        <v/>
      </c>
      <c r="G30" s="15">
        <f>'ASESOR 04'!AC38</f>
        <v/>
      </c>
      <c r="H30" s="15">
        <f>'ASESOR 05'!AC38</f>
        <v/>
      </c>
      <c r="I30" s="15">
        <f>'ASESOR 06'!AC38</f>
        <v/>
      </c>
      <c r="J30" s="15">
        <f>'ASESOR 07'!AC38</f>
        <v/>
      </c>
      <c r="K30" s="15">
        <f>'ASESOR 08'!AC38</f>
        <v/>
      </c>
      <c r="L30" s="15">
        <f>'ASESOR 09'!AC38</f>
        <v/>
      </c>
      <c r="M30" s="15">
        <f>'ASESOR 10'!AC38</f>
        <v/>
      </c>
      <c r="N30" s="15">
        <f>'ASESOR 11'!AC38</f>
        <v/>
      </c>
      <c r="O30" s="15">
        <f>'ASESOR 12'!AC38</f>
        <v/>
      </c>
      <c r="P30" s="15">
        <f>'ASESOR 13'!AC38</f>
        <v/>
      </c>
      <c r="Q30" s="10" t="n"/>
    </row>
    <row r="31">
      <c r="A31" s="10">
        <f>CRITERIOS!B27</f>
        <v/>
      </c>
      <c r="B31" s="8">
        <f>CRITERIOS!D27</f>
        <v/>
      </c>
      <c r="C31" s="15">
        <f>IFERROR(AVERAGE(D31:P31),"")</f>
        <v/>
      </c>
      <c r="D31" s="15">
        <f>'ASESOR 01'!AC39</f>
        <v/>
      </c>
      <c r="E31" s="15">
        <f>'ASESOR 02'!AC39</f>
        <v/>
      </c>
      <c r="F31" s="15">
        <f>'ASESOR 03'!AC39</f>
        <v/>
      </c>
      <c r="G31" s="15">
        <f>'ASESOR 04'!AC39</f>
        <v/>
      </c>
      <c r="H31" s="15">
        <f>'ASESOR 05'!AC39</f>
        <v/>
      </c>
      <c r="I31" s="15">
        <f>'ASESOR 06'!AC39</f>
        <v/>
      </c>
      <c r="J31" s="15">
        <f>'ASESOR 07'!AC39</f>
        <v/>
      </c>
      <c r="K31" s="15">
        <f>'ASESOR 08'!AC39</f>
        <v/>
      </c>
      <c r="L31" s="15">
        <f>'ASESOR 09'!AC39</f>
        <v/>
      </c>
      <c r="M31" s="15">
        <f>'ASESOR 10'!AC39</f>
        <v/>
      </c>
      <c r="N31" s="15">
        <f>'ASESOR 11'!AC39</f>
        <v/>
      </c>
      <c r="O31" s="15">
        <f>'ASESOR 12'!AC39</f>
        <v/>
      </c>
      <c r="P31" s="15">
        <f>'ASESOR 13'!AC39</f>
        <v/>
      </c>
      <c r="Q31" s="10" t="n"/>
    </row>
    <row r="32">
      <c r="A32" s="10">
        <f>CRITERIOS!B28</f>
        <v/>
      </c>
      <c r="B32" s="8">
        <f>CRITERIOS!D28</f>
        <v/>
      </c>
      <c r="C32" s="15">
        <f>IFERROR(AVERAGE(D32:P32),"")</f>
        <v/>
      </c>
      <c r="D32" s="15">
        <f>'ASESOR 01'!AC40</f>
        <v/>
      </c>
      <c r="E32" s="15">
        <f>'ASESOR 02'!AC40</f>
        <v/>
      </c>
      <c r="F32" s="15">
        <f>'ASESOR 03'!AC40</f>
        <v/>
      </c>
      <c r="G32" s="15">
        <f>'ASESOR 04'!AC40</f>
        <v/>
      </c>
      <c r="H32" s="15">
        <f>'ASESOR 05'!AC40</f>
        <v/>
      </c>
      <c r="I32" s="15">
        <f>'ASESOR 06'!AC40</f>
        <v/>
      </c>
      <c r="J32" s="15">
        <f>'ASESOR 07'!AC40</f>
        <v/>
      </c>
      <c r="K32" s="15">
        <f>'ASESOR 08'!AC40</f>
        <v/>
      </c>
      <c r="L32" s="15">
        <f>'ASESOR 09'!AC40</f>
        <v/>
      </c>
      <c r="M32" s="15">
        <f>'ASESOR 10'!AC40</f>
        <v/>
      </c>
      <c r="N32" s="15">
        <f>'ASESOR 11'!AC40</f>
        <v/>
      </c>
      <c r="O32" s="15">
        <f>'ASESOR 12'!AC40</f>
        <v/>
      </c>
      <c r="P32" s="15">
        <f>'ASESOR 13'!AC40</f>
        <v/>
      </c>
      <c r="Q32" s="10" t="n"/>
    </row>
    <row r="33">
      <c r="A33" s="10">
        <f>CRITERIOS!B29</f>
        <v/>
      </c>
      <c r="B33" s="8">
        <f>CRITERIOS!D29</f>
        <v/>
      </c>
      <c r="C33" s="15">
        <f>IFERROR(AVERAGE(D33:P33),"")</f>
        <v/>
      </c>
      <c r="D33" s="15">
        <f>'ASESOR 01'!AC41</f>
        <v/>
      </c>
      <c r="E33" s="15">
        <f>'ASESOR 02'!AC41</f>
        <v/>
      </c>
      <c r="F33" s="15">
        <f>'ASESOR 03'!AC41</f>
        <v/>
      </c>
      <c r="G33" s="15">
        <f>'ASESOR 04'!AC41</f>
        <v/>
      </c>
      <c r="H33" s="15">
        <f>'ASESOR 05'!AC41</f>
        <v/>
      </c>
      <c r="I33" s="15">
        <f>'ASESOR 06'!AC41</f>
        <v/>
      </c>
      <c r="J33" s="15">
        <f>'ASESOR 07'!AC41</f>
        <v/>
      </c>
      <c r="K33" s="15">
        <f>'ASESOR 08'!AC41</f>
        <v/>
      </c>
      <c r="L33" s="15">
        <f>'ASESOR 09'!AC41</f>
        <v/>
      </c>
      <c r="M33" s="15">
        <f>'ASESOR 10'!AC41</f>
        <v/>
      </c>
      <c r="N33" s="15">
        <f>'ASESOR 11'!AC41</f>
        <v/>
      </c>
      <c r="O33" s="15">
        <f>'ASESOR 12'!AC41</f>
        <v/>
      </c>
      <c r="P33" s="15">
        <f>'ASESOR 13'!AC41</f>
        <v/>
      </c>
      <c r="Q33" s="10" t="n"/>
    </row>
    <row r="34">
      <c r="A34" s="10">
        <f>CRITERIOS!B30</f>
        <v/>
      </c>
      <c r="B34" s="8">
        <f>CRITERIOS!D30</f>
        <v/>
      </c>
      <c r="C34" s="15">
        <f>IFERROR(AVERAGE(D34:P34),"")</f>
        <v/>
      </c>
      <c r="D34" s="15">
        <f>'ASESOR 01'!AC42</f>
        <v/>
      </c>
      <c r="E34" s="15">
        <f>'ASESOR 02'!AC42</f>
        <v/>
      </c>
      <c r="F34" s="15">
        <f>'ASESOR 03'!AC42</f>
        <v/>
      </c>
      <c r="G34" s="15">
        <f>'ASESOR 04'!AC42</f>
        <v/>
      </c>
      <c r="H34" s="15">
        <f>'ASESOR 05'!AC42</f>
        <v/>
      </c>
      <c r="I34" s="15">
        <f>'ASESOR 06'!AC42</f>
        <v/>
      </c>
      <c r="J34" s="15">
        <f>'ASESOR 07'!AC42</f>
        <v/>
      </c>
      <c r="K34" s="15">
        <f>'ASESOR 08'!AC42</f>
        <v/>
      </c>
      <c r="L34" s="15">
        <f>'ASESOR 09'!AC42</f>
        <v/>
      </c>
      <c r="M34" s="15">
        <f>'ASESOR 10'!AC42</f>
        <v/>
      </c>
      <c r="N34" s="15">
        <f>'ASESOR 11'!AC42</f>
        <v/>
      </c>
      <c r="O34" s="15">
        <f>'ASESOR 12'!AC42</f>
        <v/>
      </c>
      <c r="P34" s="15">
        <f>'ASESOR 13'!AC42</f>
        <v/>
      </c>
      <c r="Q34" s="10" t="n"/>
    </row>
    <row r="35">
      <c r="A35" s="10">
        <f>CRITERIOS!B31</f>
        <v/>
      </c>
      <c r="B35" s="8">
        <f>CRITERIOS!D31</f>
        <v/>
      </c>
      <c r="C35" s="15">
        <f>IFERROR(AVERAGE(D35:P35),"")</f>
        <v/>
      </c>
      <c r="D35" s="15">
        <f>'ASESOR 01'!AC43</f>
        <v/>
      </c>
      <c r="E35" s="15">
        <f>'ASESOR 02'!AC43</f>
        <v/>
      </c>
      <c r="F35" s="15">
        <f>'ASESOR 03'!AC43</f>
        <v/>
      </c>
      <c r="G35" s="15">
        <f>'ASESOR 04'!AC43</f>
        <v/>
      </c>
      <c r="H35" s="15">
        <f>'ASESOR 05'!AC43</f>
        <v/>
      </c>
      <c r="I35" s="15">
        <f>'ASESOR 06'!AC43</f>
        <v/>
      </c>
      <c r="J35" s="15">
        <f>'ASESOR 07'!AC43</f>
        <v/>
      </c>
      <c r="K35" s="15">
        <f>'ASESOR 08'!AC43</f>
        <v/>
      </c>
      <c r="L35" s="15">
        <f>'ASESOR 09'!AC43</f>
        <v/>
      </c>
      <c r="M35" s="15">
        <f>'ASESOR 10'!AC43</f>
        <v/>
      </c>
      <c r="N35" s="15">
        <f>'ASESOR 11'!AC43</f>
        <v/>
      </c>
      <c r="O35" s="15">
        <f>'ASESOR 12'!AC43</f>
        <v/>
      </c>
      <c r="P35" s="15">
        <f>'ASESOR 13'!AC43</f>
        <v/>
      </c>
      <c r="Q35" s="10" t="n"/>
    </row>
    <row r="36">
      <c r="A36" s="10">
        <f>CRITERIOS!B32</f>
        <v/>
      </c>
      <c r="B36" s="8">
        <f>CRITERIOS!D32</f>
        <v/>
      </c>
      <c r="C36" s="15">
        <f>IFERROR(AVERAGE(D36:P36),"")</f>
        <v/>
      </c>
      <c r="D36" s="15">
        <f>'ASESOR 01'!AC44</f>
        <v/>
      </c>
      <c r="E36" s="15">
        <f>'ASESOR 02'!AC44</f>
        <v/>
      </c>
      <c r="F36" s="15">
        <f>'ASESOR 03'!AC44</f>
        <v/>
      </c>
      <c r="G36" s="15">
        <f>'ASESOR 04'!AC44</f>
        <v/>
      </c>
      <c r="H36" s="15">
        <f>'ASESOR 05'!AC44</f>
        <v/>
      </c>
      <c r="I36" s="15">
        <f>'ASESOR 06'!AC44</f>
        <v/>
      </c>
      <c r="J36" s="15">
        <f>'ASESOR 07'!AC44</f>
        <v/>
      </c>
      <c r="K36" s="15">
        <f>'ASESOR 08'!AC44</f>
        <v/>
      </c>
      <c r="L36" s="15">
        <f>'ASESOR 09'!AC44</f>
        <v/>
      </c>
      <c r="M36" s="15">
        <f>'ASESOR 10'!AC44</f>
        <v/>
      </c>
      <c r="N36" s="15">
        <f>'ASESOR 11'!AC44</f>
        <v/>
      </c>
      <c r="O36" s="15">
        <f>'ASESOR 12'!AC44</f>
        <v/>
      </c>
      <c r="P36" s="15">
        <f>'ASESOR 13'!AC44</f>
        <v/>
      </c>
      <c r="Q36" s="10" t="n"/>
    </row>
    <row r="37">
      <c r="A37" s="10">
        <f>CRITERIOS!B33</f>
        <v/>
      </c>
      <c r="B37" s="8">
        <f>CRITERIOS!D33</f>
        <v/>
      </c>
      <c r="C37" s="15">
        <f>IFERROR(AVERAGE(D37:P37),"")</f>
        <v/>
      </c>
      <c r="D37" s="15">
        <f>'ASESOR 01'!AC45</f>
        <v/>
      </c>
      <c r="E37" s="15">
        <f>'ASESOR 02'!AC45</f>
        <v/>
      </c>
      <c r="F37" s="15">
        <f>'ASESOR 03'!AC45</f>
        <v/>
      </c>
      <c r="G37" s="15">
        <f>'ASESOR 04'!AC45</f>
        <v/>
      </c>
      <c r="H37" s="15">
        <f>'ASESOR 05'!AC45</f>
        <v/>
      </c>
      <c r="I37" s="15">
        <f>'ASESOR 06'!AC45</f>
        <v/>
      </c>
      <c r="J37" s="15">
        <f>'ASESOR 07'!AC45</f>
        <v/>
      </c>
      <c r="K37" s="15">
        <f>'ASESOR 08'!AC45</f>
        <v/>
      </c>
      <c r="L37" s="15">
        <f>'ASESOR 09'!AC45</f>
        <v/>
      </c>
      <c r="M37" s="15">
        <f>'ASESOR 10'!AC45</f>
        <v/>
      </c>
      <c r="N37" s="15">
        <f>'ASESOR 11'!AC45</f>
        <v/>
      </c>
      <c r="O37" s="15">
        <f>'ASESOR 12'!AC45</f>
        <v/>
      </c>
      <c r="P37" s="15">
        <f>'ASESOR 13'!AC45</f>
        <v/>
      </c>
      <c r="Q37" s="10" t="n"/>
    </row>
    <row r="38">
      <c r="A38" s="10">
        <f>CRITERIOS!B34</f>
        <v/>
      </c>
      <c r="B38" s="8">
        <f>CRITERIOS!D34</f>
        <v/>
      </c>
      <c r="C38" s="15">
        <f>IFERROR(AVERAGE(D38:P38),"")</f>
        <v/>
      </c>
      <c r="D38" s="15">
        <f>'ASESOR 01'!AC46</f>
        <v/>
      </c>
      <c r="E38" s="15">
        <f>'ASESOR 02'!AC46</f>
        <v/>
      </c>
      <c r="F38" s="15">
        <f>'ASESOR 03'!AC46</f>
        <v/>
      </c>
      <c r="G38" s="15">
        <f>'ASESOR 04'!AC46</f>
        <v/>
      </c>
      <c r="H38" s="15">
        <f>'ASESOR 05'!AC46</f>
        <v/>
      </c>
      <c r="I38" s="15">
        <f>'ASESOR 06'!AC46</f>
        <v/>
      </c>
      <c r="J38" s="15">
        <f>'ASESOR 07'!AC46</f>
        <v/>
      </c>
      <c r="K38" s="15">
        <f>'ASESOR 08'!AC46</f>
        <v/>
      </c>
      <c r="L38" s="15">
        <f>'ASESOR 09'!AC46</f>
        <v/>
      </c>
      <c r="M38" s="15">
        <f>'ASESOR 10'!AC46</f>
        <v/>
      </c>
      <c r="N38" s="15">
        <f>'ASESOR 11'!AC46</f>
        <v/>
      </c>
      <c r="O38" s="15">
        <f>'ASESOR 12'!AC46</f>
        <v/>
      </c>
      <c r="P38" s="15">
        <f>'ASESOR 13'!AC46</f>
        <v/>
      </c>
      <c r="Q38" s="10" t="n"/>
    </row>
    <row r="39">
      <c r="A39" s="10">
        <f>CRITERIOS!B35</f>
        <v/>
      </c>
      <c r="B39" s="8">
        <f>CRITERIOS!D35</f>
        <v/>
      </c>
      <c r="C39" s="15">
        <f>IFERROR(AVERAGE(D39:P39),"")</f>
        <v/>
      </c>
      <c r="D39" s="15">
        <f>'ASESOR 01'!AC47</f>
        <v/>
      </c>
      <c r="E39" s="15">
        <f>'ASESOR 02'!AC47</f>
        <v/>
      </c>
      <c r="F39" s="15">
        <f>'ASESOR 03'!AC47</f>
        <v/>
      </c>
      <c r="G39" s="15">
        <f>'ASESOR 04'!AC47</f>
        <v/>
      </c>
      <c r="H39" s="15">
        <f>'ASESOR 05'!AC47</f>
        <v/>
      </c>
      <c r="I39" s="15">
        <f>'ASESOR 06'!AC47</f>
        <v/>
      </c>
      <c r="J39" s="15">
        <f>'ASESOR 07'!AC47</f>
        <v/>
      </c>
      <c r="K39" s="15">
        <f>'ASESOR 08'!AC47</f>
        <v/>
      </c>
      <c r="L39" s="15">
        <f>'ASESOR 09'!AC47</f>
        <v/>
      </c>
      <c r="M39" s="15">
        <f>'ASESOR 10'!AC47</f>
        <v/>
      </c>
      <c r="N39" s="15">
        <f>'ASESOR 11'!AC47</f>
        <v/>
      </c>
      <c r="O39" s="15">
        <f>'ASESOR 12'!AC47</f>
        <v/>
      </c>
      <c r="P39" s="15">
        <f>'ASESOR 13'!AC47</f>
        <v/>
      </c>
      <c r="Q39" s="10" t="n"/>
    </row>
    <row r="40">
      <c r="A40" s="10">
        <f>CRITERIOS!B36</f>
        <v/>
      </c>
      <c r="B40" s="8">
        <f>CRITERIOS!D36</f>
        <v/>
      </c>
      <c r="C40" s="15">
        <f>IFERROR(AVERAGE(D40:P40),"")</f>
        <v/>
      </c>
      <c r="D40" s="15">
        <f>'ASESOR 01'!AC48</f>
        <v/>
      </c>
      <c r="E40" s="15">
        <f>'ASESOR 02'!AC48</f>
        <v/>
      </c>
      <c r="F40" s="15">
        <f>'ASESOR 03'!AC48</f>
        <v/>
      </c>
      <c r="G40" s="15">
        <f>'ASESOR 04'!AC48</f>
        <v/>
      </c>
      <c r="H40" s="15">
        <f>'ASESOR 05'!AC48</f>
        <v/>
      </c>
      <c r="I40" s="15">
        <f>'ASESOR 06'!AC48</f>
        <v/>
      </c>
      <c r="J40" s="15">
        <f>'ASESOR 07'!AC48</f>
        <v/>
      </c>
      <c r="K40" s="15">
        <f>'ASESOR 08'!AC48</f>
        <v/>
      </c>
      <c r="L40" s="15">
        <f>'ASESOR 09'!AC48</f>
        <v/>
      </c>
      <c r="M40" s="15">
        <f>'ASESOR 10'!AC48</f>
        <v/>
      </c>
      <c r="N40" s="15">
        <f>'ASESOR 11'!AC48</f>
        <v/>
      </c>
      <c r="O40" s="15">
        <f>'ASESOR 12'!AC48</f>
        <v/>
      </c>
      <c r="P40" s="15">
        <f>'ASESOR 13'!AC48</f>
        <v/>
      </c>
      <c r="Q40" s="10" t="n"/>
    </row>
    <row r="41">
      <c r="A41" s="10">
        <f>CRITERIOS!B37</f>
        <v/>
      </c>
      <c r="B41" s="8">
        <f>CRITERIOS!D37</f>
        <v/>
      </c>
      <c r="C41" s="15">
        <f>IFERROR(AVERAGE(D41:P41),"")</f>
        <v/>
      </c>
      <c r="D41" s="15">
        <f>'ASESOR 01'!AC49</f>
        <v/>
      </c>
      <c r="E41" s="15">
        <f>'ASESOR 02'!AC49</f>
        <v/>
      </c>
      <c r="F41" s="15">
        <f>'ASESOR 03'!AC49</f>
        <v/>
      </c>
      <c r="G41" s="15">
        <f>'ASESOR 04'!AC49</f>
        <v/>
      </c>
      <c r="H41" s="15">
        <f>'ASESOR 05'!AC49</f>
        <v/>
      </c>
      <c r="I41" s="15">
        <f>'ASESOR 06'!AC49</f>
        <v/>
      </c>
      <c r="J41" s="15">
        <f>'ASESOR 07'!AC49</f>
        <v/>
      </c>
      <c r="K41" s="15">
        <f>'ASESOR 08'!AC49</f>
        <v/>
      </c>
      <c r="L41" s="15">
        <f>'ASESOR 09'!AC49</f>
        <v/>
      </c>
      <c r="M41" s="15">
        <f>'ASESOR 10'!AC49</f>
        <v/>
      </c>
      <c r="N41" s="15">
        <f>'ASESOR 11'!AC49</f>
        <v/>
      </c>
      <c r="O41" s="15">
        <f>'ASESOR 12'!AC49</f>
        <v/>
      </c>
      <c r="P41" s="15">
        <f>'ASESOR 13'!AC49</f>
        <v/>
      </c>
      <c r="Q41" s="10" t="n"/>
    </row>
    <row r="42">
      <c r="A42" s="10">
        <f>CRITERIOS!B38</f>
        <v/>
      </c>
      <c r="B42" s="8">
        <f>CRITERIOS!D38</f>
        <v/>
      </c>
      <c r="C42" s="15">
        <f>IFERROR(AVERAGE(D42:P42),"")</f>
        <v/>
      </c>
      <c r="D42" s="15">
        <f>'ASESOR 01'!AC50</f>
        <v/>
      </c>
      <c r="E42" s="15">
        <f>'ASESOR 02'!AC50</f>
        <v/>
      </c>
      <c r="F42" s="15">
        <f>'ASESOR 03'!AC50</f>
        <v/>
      </c>
      <c r="G42" s="15">
        <f>'ASESOR 04'!AC50</f>
        <v/>
      </c>
      <c r="H42" s="15">
        <f>'ASESOR 05'!AC50</f>
        <v/>
      </c>
      <c r="I42" s="15">
        <f>'ASESOR 06'!AC50</f>
        <v/>
      </c>
      <c r="J42" s="15">
        <f>'ASESOR 07'!AC50</f>
        <v/>
      </c>
      <c r="K42" s="15">
        <f>'ASESOR 08'!AC50</f>
        <v/>
      </c>
      <c r="L42" s="15">
        <f>'ASESOR 09'!AC50</f>
        <v/>
      </c>
      <c r="M42" s="15">
        <f>'ASESOR 10'!AC50</f>
        <v/>
      </c>
      <c r="N42" s="15">
        <f>'ASESOR 11'!AC50</f>
        <v/>
      </c>
      <c r="O42" s="15">
        <f>'ASESOR 12'!AC50</f>
        <v/>
      </c>
      <c r="P42" s="15">
        <f>'ASESOR 13'!AC50</f>
        <v/>
      </c>
      <c r="Q42" s="10" t="n"/>
    </row>
    <row r="43">
      <c r="A43" s="10">
        <f>CRITERIOS!B39</f>
        <v/>
      </c>
      <c r="B43" s="8">
        <f>CRITERIOS!D39</f>
        <v/>
      </c>
      <c r="C43" s="15">
        <f>IFERROR(AVERAGE(D43:P43),"")</f>
        <v/>
      </c>
      <c r="D43" s="15">
        <f>'ASESOR 01'!AC51</f>
        <v/>
      </c>
      <c r="E43" s="15">
        <f>'ASESOR 02'!AC51</f>
        <v/>
      </c>
      <c r="F43" s="15">
        <f>'ASESOR 03'!AC51</f>
        <v/>
      </c>
      <c r="G43" s="15">
        <f>'ASESOR 04'!AC51</f>
        <v/>
      </c>
      <c r="H43" s="15">
        <f>'ASESOR 05'!AC51</f>
        <v/>
      </c>
      <c r="I43" s="15">
        <f>'ASESOR 06'!AC51</f>
        <v/>
      </c>
      <c r="J43" s="15">
        <f>'ASESOR 07'!AC51</f>
        <v/>
      </c>
      <c r="K43" s="15">
        <f>'ASESOR 08'!AC51</f>
        <v/>
      </c>
      <c r="L43" s="15">
        <f>'ASESOR 09'!AC51</f>
        <v/>
      </c>
      <c r="M43" s="15">
        <f>'ASESOR 10'!AC51</f>
        <v/>
      </c>
      <c r="N43" s="15">
        <f>'ASESOR 11'!AC51</f>
        <v/>
      </c>
      <c r="O43" s="15">
        <f>'ASESOR 12'!AC51</f>
        <v/>
      </c>
      <c r="P43" s="15">
        <f>'ASESOR 13'!AC51</f>
        <v/>
      </c>
      <c r="Q43" s="10" t="n"/>
    </row>
    <row r="44">
      <c r="A44" s="10">
        <f>CRITERIOS!B40</f>
        <v/>
      </c>
      <c r="B44" s="8">
        <f>CRITERIOS!D40</f>
        <v/>
      </c>
      <c r="C44" s="15">
        <f>IFERROR(AVERAGE(D44:P44),"")</f>
        <v/>
      </c>
      <c r="D44" s="15">
        <f>'ASESOR 01'!AC52</f>
        <v/>
      </c>
      <c r="E44" s="15">
        <f>'ASESOR 02'!AC52</f>
        <v/>
      </c>
      <c r="F44" s="15">
        <f>'ASESOR 03'!AC52</f>
        <v/>
      </c>
      <c r="G44" s="15">
        <f>'ASESOR 04'!AC52</f>
        <v/>
      </c>
      <c r="H44" s="15">
        <f>'ASESOR 05'!AC52</f>
        <v/>
      </c>
      <c r="I44" s="15">
        <f>'ASESOR 06'!AC52</f>
        <v/>
      </c>
      <c r="J44" s="15">
        <f>'ASESOR 07'!AC52</f>
        <v/>
      </c>
      <c r="K44" s="15">
        <f>'ASESOR 08'!AC52</f>
        <v/>
      </c>
      <c r="L44" s="15">
        <f>'ASESOR 09'!AC52</f>
        <v/>
      </c>
      <c r="M44" s="15">
        <f>'ASESOR 10'!AC52</f>
        <v/>
      </c>
      <c r="N44" s="15">
        <f>'ASESOR 11'!AC52</f>
        <v/>
      </c>
      <c r="O44" s="15">
        <f>'ASESOR 12'!AC52</f>
        <v/>
      </c>
      <c r="P44" s="15">
        <f>'ASESOR 13'!AC52</f>
        <v/>
      </c>
      <c r="Q44" s="10" t="n"/>
    </row>
    <row r="45">
      <c r="A45" s="10">
        <f>CRITERIOS!B41</f>
        <v/>
      </c>
      <c r="B45" s="8">
        <f>CRITERIOS!D41</f>
        <v/>
      </c>
      <c r="C45" s="15">
        <f>IFERROR(AVERAGE(D45:P45),"")</f>
        <v/>
      </c>
      <c r="D45" s="15">
        <f>'ASESOR 01'!AC53</f>
        <v/>
      </c>
      <c r="E45" s="15">
        <f>'ASESOR 02'!AC53</f>
        <v/>
      </c>
      <c r="F45" s="15">
        <f>'ASESOR 03'!AC53</f>
        <v/>
      </c>
      <c r="G45" s="15">
        <f>'ASESOR 04'!AC53</f>
        <v/>
      </c>
      <c r="H45" s="15">
        <f>'ASESOR 05'!AC53</f>
        <v/>
      </c>
      <c r="I45" s="15">
        <f>'ASESOR 06'!AC53</f>
        <v/>
      </c>
      <c r="J45" s="15">
        <f>'ASESOR 07'!AC53</f>
        <v/>
      </c>
      <c r="K45" s="15">
        <f>'ASESOR 08'!AC53</f>
        <v/>
      </c>
      <c r="L45" s="15">
        <f>'ASESOR 09'!AC53</f>
        <v/>
      </c>
      <c r="M45" s="15">
        <f>'ASESOR 10'!AC53</f>
        <v/>
      </c>
      <c r="N45" s="15">
        <f>'ASESOR 11'!AC53</f>
        <v/>
      </c>
      <c r="O45" s="15">
        <f>'ASESOR 12'!AC53</f>
        <v/>
      </c>
      <c r="P45" s="15">
        <f>'ASESOR 13'!AC53</f>
        <v/>
      </c>
      <c r="Q45" s="10" t="n"/>
    </row>
    <row r="46">
      <c r="A46" s="10">
        <f>CRITERIOS!B42</f>
        <v/>
      </c>
      <c r="B46" s="8">
        <f>CRITERIOS!D42</f>
        <v/>
      </c>
      <c r="C46" s="15">
        <f>IFERROR(AVERAGE(D46:P46),"")</f>
        <v/>
      </c>
      <c r="D46" s="15">
        <f>'ASESOR 01'!AC54</f>
        <v/>
      </c>
      <c r="E46" s="15">
        <f>'ASESOR 02'!AC54</f>
        <v/>
      </c>
      <c r="F46" s="15">
        <f>'ASESOR 03'!AC54</f>
        <v/>
      </c>
      <c r="G46" s="15">
        <f>'ASESOR 04'!AC54</f>
        <v/>
      </c>
      <c r="H46" s="15">
        <f>'ASESOR 05'!AC54</f>
        <v/>
      </c>
      <c r="I46" s="15">
        <f>'ASESOR 06'!AC54</f>
        <v/>
      </c>
      <c r="J46" s="15">
        <f>'ASESOR 07'!AC54</f>
        <v/>
      </c>
      <c r="K46" s="15">
        <f>'ASESOR 08'!AC54</f>
        <v/>
      </c>
      <c r="L46" s="15">
        <f>'ASESOR 09'!AC54</f>
        <v/>
      </c>
      <c r="M46" s="15">
        <f>'ASESOR 10'!AC54</f>
        <v/>
      </c>
      <c r="N46" s="15">
        <f>'ASESOR 11'!AC54</f>
        <v/>
      </c>
      <c r="O46" s="15">
        <f>'ASESOR 12'!AC54</f>
        <v/>
      </c>
      <c r="P46" s="15">
        <f>'ASESOR 13'!AC54</f>
        <v/>
      </c>
      <c r="Q46" s="10" t="n"/>
    </row>
    <row r="47">
      <c r="A47" s="10">
        <f>CRITERIOS!B43</f>
        <v/>
      </c>
      <c r="B47" s="8">
        <f>CRITERIOS!D43</f>
        <v/>
      </c>
      <c r="C47" s="15">
        <f>IFERROR(AVERAGE(D47:P47),"")</f>
        <v/>
      </c>
      <c r="D47" s="15">
        <f>'ASESOR 01'!AC55</f>
        <v/>
      </c>
      <c r="E47" s="15">
        <f>'ASESOR 02'!AC55</f>
        <v/>
      </c>
      <c r="F47" s="15">
        <f>'ASESOR 03'!AC55</f>
        <v/>
      </c>
      <c r="G47" s="15">
        <f>'ASESOR 04'!AC55</f>
        <v/>
      </c>
      <c r="H47" s="15">
        <f>'ASESOR 05'!AC55</f>
        <v/>
      </c>
      <c r="I47" s="15">
        <f>'ASESOR 06'!AC55</f>
        <v/>
      </c>
      <c r="J47" s="15">
        <f>'ASESOR 07'!AC55</f>
        <v/>
      </c>
      <c r="K47" s="15">
        <f>'ASESOR 08'!AC55</f>
        <v/>
      </c>
      <c r="L47" s="15">
        <f>'ASESOR 09'!AC55</f>
        <v/>
      </c>
      <c r="M47" s="15">
        <f>'ASESOR 10'!AC55</f>
        <v/>
      </c>
      <c r="N47" s="15">
        <f>'ASESOR 11'!AC55</f>
        <v/>
      </c>
      <c r="O47" s="15">
        <f>'ASESOR 12'!AC55</f>
        <v/>
      </c>
      <c r="P47" s="15">
        <f>'ASESOR 13'!AC55</f>
        <v/>
      </c>
      <c r="Q47" s="10" t="n"/>
    </row>
    <row r="48">
      <c r="A48" s="10">
        <f>CRITERIOS!B44</f>
        <v/>
      </c>
      <c r="B48" s="8">
        <f>CRITERIOS!D44</f>
        <v/>
      </c>
      <c r="C48" s="15">
        <f>IFERROR(AVERAGE(D48:P48),"")</f>
        <v/>
      </c>
      <c r="D48" s="15">
        <f>'ASESOR 01'!AC56</f>
        <v/>
      </c>
      <c r="E48" s="15">
        <f>'ASESOR 02'!AC56</f>
        <v/>
      </c>
      <c r="F48" s="15">
        <f>'ASESOR 03'!AC56</f>
        <v/>
      </c>
      <c r="G48" s="15">
        <f>'ASESOR 04'!AC56</f>
        <v/>
      </c>
      <c r="H48" s="15">
        <f>'ASESOR 05'!AC56</f>
        <v/>
      </c>
      <c r="I48" s="15">
        <f>'ASESOR 06'!AC56</f>
        <v/>
      </c>
      <c r="J48" s="15">
        <f>'ASESOR 07'!AC56</f>
        <v/>
      </c>
      <c r="K48" s="15">
        <f>'ASESOR 08'!AC56</f>
        <v/>
      </c>
      <c r="L48" s="15">
        <f>'ASESOR 09'!AC56</f>
        <v/>
      </c>
      <c r="M48" s="15">
        <f>'ASESOR 10'!AC56</f>
        <v/>
      </c>
      <c r="N48" s="15">
        <f>'ASESOR 11'!AC56</f>
        <v/>
      </c>
      <c r="O48" s="15">
        <f>'ASESOR 12'!AC56</f>
        <v/>
      </c>
      <c r="P48" s="15">
        <f>'ASESOR 13'!AC56</f>
        <v/>
      </c>
      <c r="Q48" s="10" t="n"/>
    </row>
    <row r="49">
      <c r="A49" s="10">
        <f>CRITERIOS!B45</f>
        <v/>
      </c>
      <c r="B49" s="8">
        <f>CRITERIOS!D45</f>
        <v/>
      </c>
      <c r="C49" s="15">
        <f>IFERROR(AVERAGE(D49:P49),"")</f>
        <v/>
      </c>
      <c r="D49" s="15">
        <f>'ASESOR 01'!AC57</f>
        <v/>
      </c>
      <c r="E49" s="15">
        <f>'ASESOR 02'!AC57</f>
        <v/>
      </c>
      <c r="F49" s="15">
        <f>'ASESOR 03'!AC57</f>
        <v/>
      </c>
      <c r="G49" s="15">
        <f>'ASESOR 04'!AC57</f>
        <v/>
      </c>
      <c r="H49" s="15">
        <f>'ASESOR 05'!AC57</f>
        <v/>
      </c>
      <c r="I49" s="15">
        <f>'ASESOR 06'!AC57</f>
        <v/>
      </c>
      <c r="J49" s="15">
        <f>'ASESOR 07'!AC57</f>
        <v/>
      </c>
      <c r="K49" s="15">
        <f>'ASESOR 08'!AC57</f>
        <v/>
      </c>
      <c r="L49" s="15">
        <f>'ASESOR 09'!AC57</f>
        <v/>
      </c>
      <c r="M49" s="15">
        <f>'ASESOR 10'!AC57</f>
        <v/>
      </c>
      <c r="N49" s="15">
        <f>'ASESOR 11'!AC57</f>
        <v/>
      </c>
      <c r="O49" s="15">
        <f>'ASESOR 12'!AC57</f>
        <v/>
      </c>
      <c r="P49" s="15">
        <f>'ASESOR 13'!AC57</f>
        <v/>
      </c>
      <c r="Q49" s="10" t="n"/>
    </row>
    <row r="50">
      <c r="A50" s="10">
        <f>CRITERIOS!B46</f>
        <v/>
      </c>
      <c r="B50" s="8">
        <f>CRITERIOS!D46</f>
        <v/>
      </c>
      <c r="C50" s="15">
        <f>IFERROR(AVERAGE(D50:P50),"")</f>
        <v/>
      </c>
      <c r="D50" s="15">
        <f>'ASESOR 01'!AC58</f>
        <v/>
      </c>
      <c r="E50" s="15">
        <f>'ASESOR 02'!AC58</f>
        <v/>
      </c>
      <c r="F50" s="15">
        <f>'ASESOR 03'!AC58</f>
        <v/>
      </c>
      <c r="G50" s="15">
        <f>'ASESOR 04'!AC58</f>
        <v/>
      </c>
      <c r="H50" s="15">
        <f>'ASESOR 05'!AC58</f>
        <v/>
      </c>
      <c r="I50" s="15">
        <f>'ASESOR 06'!AC58</f>
        <v/>
      </c>
      <c r="J50" s="15">
        <f>'ASESOR 07'!AC58</f>
        <v/>
      </c>
      <c r="K50" s="15">
        <f>'ASESOR 08'!AC58</f>
        <v/>
      </c>
      <c r="L50" s="15">
        <f>'ASESOR 09'!AC58</f>
        <v/>
      </c>
      <c r="M50" s="15">
        <f>'ASESOR 10'!AC58</f>
        <v/>
      </c>
      <c r="N50" s="15">
        <f>'ASESOR 11'!AC58</f>
        <v/>
      </c>
      <c r="O50" s="15">
        <f>'ASESOR 12'!AC58</f>
        <v/>
      </c>
      <c r="P50" s="15">
        <f>'ASESOR 13'!AC58</f>
        <v/>
      </c>
      <c r="Q50" s="10" t="n"/>
    </row>
    <row r="51">
      <c r="A51" s="10">
        <f>CRITERIOS!B47</f>
        <v/>
      </c>
      <c r="B51" s="8">
        <f>CRITERIOS!D47</f>
        <v/>
      </c>
      <c r="C51" s="15">
        <f>IFERROR(AVERAGE(D51:P51),"")</f>
        <v/>
      </c>
      <c r="D51" s="15">
        <f>'ASESOR 01'!AC59</f>
        <v/>
      </c>
      <c r="E51" s="15">
        <f>'ASESOR 02'!AC59</f>
        <v/>
      </c>
      <c r="F51" s="15">
        <f>'ASESOR 03'!AC59</f>
        <v/>
      </c>
      <c r="G51" s="15">
        <f>'ASESOR 04'!AC59</f>
        <v/>
      </c>
      <c r="H51" s="15">
        <f>'ASESOR 05'!AC59</f>
        <v/>
      </c>
      <c r="I51" s="15">
        <f>'ASESOR 06'!AC59</f>
        <v/>
      </c>
      <c r="J51" s="15">
        <f>'ASESOR 07'!AC59</f>
        <v/>
      </c>
      <c r="K51" s="15">
        <f>'ASESOR 08'!AC59</f>
        <v/>
      </c>
      <c r="L51" s="15">
        <f>'ASESOR 09'!AC59</f>
        <v/>
      </c>
      <c r="M51" s="15">
        <f>'ASESOR 10'!AC59</f>
        <v/>
      </c>
      <c r="N51" s="15">
        <f>'ASESOR 11'!AC59</f>
        <v/>
      </c>
      <c r="O51" s="15">
        <f>'ASESOR 12'!AC59</f>
        <v/>
      </c>
      <c r="P51" s="15">
        <f>'ASESOR 13'!AC59</f>
        <v/>
      </c>
      <c r="Q51" s="10" t="n"/>
    </row>
    <row r="52">
      <c r="A52" s="10">
        <f>CRITERIOS!B48</f>
        <v/>
      </c>
      <c r="B52" s="8">
        <f>CRITERIOS!D48</f>
        <v/>
      </c>
      <c r="C52" s="15">
        <f>IFERROR(AVERAGE(D52:P52),"")</f>
        <v/>
      </c>
      <c r="D52" s="15">
        <f>'ASESOR 01'!AC60</f>
        <v/>
      </c>
      <c r="E52" s="15">
        <f>'ASESOR 02'!AC60</f>
        <v/>
      </c>
      <c r="F52" s="15">
        <f>'ASESOR 03'!AC60</f>
        <v/>
      </c>
      <c r="G52" s="15">
        <f>'ASESOR 04'!AC60</f>
        <v/>
      </c>
      <c r="H52" s="15">
        <f>'ASESOR 05'!AC60</f>
        <v/>
      </c>
      <c r="I52" s="15">
        <f>'ASESOR 06'!AC60</f>
        <v/>
      </c>
      <c r="J52" s="15">
        <f>'ASESOR 07'!AC60</f>
        <v/>
      </c>
      <c r="K52" s="15">
        <f>'ASESOR 08'!AC60</f>
        <v/>
      </c>
      <c r="L52" s="15">
        <f>'ASESOR 09'!AC60</f>
        <v/>
      </c>
      <c r="M52" s="15">
        <f>'ASESOR 10'!AC60</f>
        <v/>
      </c>
      <c r="N52" s="15">
        <f>'ASESOR 11'!AC60</f>
        <v/>
      </c>
      <c r="O52" s="15">
        <f>'ASESOR 12'!AC60</f>
        <v/>
      </c>
      <c r="P52" s="15">
        <f>'ASESOR 13'!AC60</f>
        <v/>
      </c>
      <c r="Q52" s="10" t="n"/>
    </row>
    <row r="53">
      <c r="A53" s="10">
        <f>CRITERIOS!B49</f>
        <v/>
      </c>
      <c r="B53" s="8">
        <f>CRITERIOS!D49</f>
        <v/>
      </c>
      <c r="C53" s="15">
        <f>IFERROR(AVERAGE(D53:P53),"")</f>
        <v/>
      </c>
      <c r="D53" s="15">
        <f>'ASESOR 01'!AC61</f>
        <v/>
      </c>
      <c r="E53" s="15">
        <f>'ASESOR 02'!AC61</f>
        <v/>
      </c>
      <c r="F53" s="15">
        <f>'ASESOR 03'!AC61</f>
        <v/>
      </c>
      <c r="G53" s="15">
        <f>'ASESOR 04'!AC61</f>
        <v/>
      </c>
      <c r="H53" s="15">
        <f>'ASESOR 05'!AC61</f>
        <v/>
      </c>
      <c r="I53" s="15">
        <f>'ASESOR 06'!AC61</f>
        <v/>
      </c>
      <c r="J53" s="15">
        <f>'ASESOR 07'!AC61</f>
        <v/>
      </c>
      <c r="K53" s="15">
        <f>'ASESOR 08'!AC61</f>
        <v/>
      </c>
      <c r="L53" s="15">
        <f>'ASESOR 09'!AC61</f>
        <v/>
      </c>
      <c r="M53" s="15">
        <f>'ASESOR 10'!AC61</f>
        <v/>
      </c>
      <c r="N53" s="15">
        <f>'ASESOR 11'!AC61</f>
        <v/>
      </c>
      <c r="O53" s="15">
        <f>'ASESOR 12'!AC61</f>
        <v/>
      </c>
      <c r="P53" s="15">
        <f>'ASESOR 13'!AC61</f>
        <v/>
      </c>
      <c r="Q53" s="10" t="n"/>
    </row>
    <row r="54">
      <c r="A54" s="10">
        <f>CRITERIOS!B50</f>
        <v/>
      </c>
      <c r="B54" s="8">
        <f>CRITERIOS!D50</f>
        <v/>
      </c>
      <c r="C54" s="15">
        <f>IFERROR(AVERAGE(D54:P54),"")</f>
        <v/>
      </c>
      <c r="D54" s="15">
        <f>'ASESOR 01'!AC62</f>
        <v/>
      </c>
      <c r="E54" s="15">
        <f>'ASESOR 02'!AC62</f>
        <v/>
      </c>
      <c r="F54" s="15">
        <f>'ASESOR 03'!AC62</f>
        <v/>
      </c>
      <c r="G54" s="15">
        <f>'ASESOR 04'!AC62</f>
        <v/>
      </c>
      <c r="H54" s="15">
        <f>'ASESOR 05'!AC62</f>
        <v/>
      </c>
      <c r="I54" s="15">
        <f>'ASESOR 06'!AC62</f>
        <v/>
      </c>
      <c r="J54" s="15">
        <f>'ASESOR 07'!AC62</f>
        <v/>
      </c>
      <c r="K54" s="15">
        <f>'ASESOR 08'!AC62</f>
        <v/>
      </c>
      <c r="L54" s="15">
        <f>'ASESOR 09'!AC62</f>
        <v/>
      </c>
      <c r="M54" s="15">
        <f>'ASESOR 10'!AC62</f>
        <v/>
      </c>
      <c r="N54" s="15">
        <f>'ASESOR 11'!AC62</f>
        <v/>
      </c>
      <c r="O54" s="15">
        <f>'ASESOR 12'!AC62</f>
        <v/>
      </c>
      <c r="P54" s="15">
        <f>'ASESOR 13'!AC62</f>
        <v/>
      </c>
      <c r="Q54" s="10" t="n"/>
    </row>
    <row r="55">
      <c r="A55" s="10">
        <f>CRITERIOS!B51</f>
        <v/>
      </c>
      <c r="B55" s="8">
        <f>CRITERIOS!D51</f>
        <v/>
      </c>
      <c r="C55" s="15">
        <f>IFERROR(AVERAGE(D55:P55),"")</f>
        <v/>
      </c>
      <c r="D55" s="15">
        <f>'ASESOR 01'!AC63</f>
        <v/>
      </c>
      <c r="E55" s="15">
        <f>'ASESOR 02'!AC63</f>
        <v/>
      </c>
      <c r="F55" s="15">
        <f>'ASESOR 03'!AC63</f>
        <v/>
      </c>
      <c r="G55" s="15">
        <f>'ASESOR 04'!AC63</f>
        <v/>
      </c>
      <c r="H55" s="15">
        <f>'ASESOR 05'!AC63</f>
        <v/>
      </c>
      <c r="I55" s="15">
        <f>'ASESOR 06'!AC63</f>
        <v/>
      </c>
      <c r="J55" s="15">
        <f>'ASESOR 07'!AC63</f>
        <v/>
      </c>
      <c r="K55" s="15">
        <f>'ASESOR 08'!AC63</f>
        <v/>
      </c>
      <c r="L55" s="15">
        <f>'ASESOR 09'!AC63</f>
        <v/>
      </c>
      <c r="M55" s="15">
        <f>'ASESOR 10'!AC63</f>
        <v/>
      </c>
      <c r="N55" s="15">
        <f>'ASESOR 11'!AC63</f>
        <v/>
      </c>
      <c r="O55" s="15">
        <f>'ASESOR 12'!AC63</f>
        <v/>
      </c>
      <c r="P55" s="15">
        <f>'ASESOR 13'!AC63</f>
        <v/>
      </c>
      <c r="Q55" s="10" t="n"/>
    </row>
    <row r="56">
      <c r="A56" s="10">
        <f>CRITERIOS!B52</f>
        <v/>
      </c>
      <c r="B56" s="8">
        <f>CRITERIOS!D52</f>
        <v/>
      </c>
      <c r="C56" s="15">
        <f>IFERROR(AVERAGE(D56:P56),"")</f>
        <v/>
      </c>
      <c r="D56" s="15">
        <f>'ASESOR 01'!AC64</f>
        <v/>
      </c>
      <c r="E56" s="15">
        <f>'ASESOR 02'!AC64</f>
        <v/>
      </c>
      <c r="F56" s="15">
        <f>'ASESOR 03'!AC64</f>
        <v/>
      </c>
      <c r="G56" s="15">
        <f>'ASESOR 04'!AC64</f>
        <v/>
      </c>
      <c r="H56" s="15">
        <f>'ASESOR 05'!AC64</f>
        <v/>
      </c>
      <c r="I56" s="15">
        <f>'ASESOR 06'!AC64</f>
        <v/>
      </c>
      <c r="J56" s="15">
        <f>'ASESOR 07'!AC64</f>
        <v/>
      </c>
      <c r="K56" s="15">
        <f>'ASESOR 08'!AC64</f>
        <v/>
      </c>
      <c r="L56" s="15">
        <f>'ASESOR 09'!AC64</f>
        <v/>
      </c>
      <c r="M56" s="15">
        <f>'ASESOR 10'!AC64</f>
        <v/>
      </c>
      <c r="N56" s="15">
        <f>'ASESOR 11'!AC64</f>
        <v/>
      </c>
      <c r="O56" s="15">
        <f>'ASESOR 12'!AC64</f>
        <v/>
      </c>
      <c r="P56" s="15">
        <f>'ASESOR 13'!AC64</f>
        <v/>
      </c>
      <c r="Q56" s="10" t="n"/>
    </row>
    <row r="57">
      <c r="A57" s="10">
        <f>CRITERIOS!B53</f>
        <v/>
      </c>
      <c r="B57" s="8">
        <f>CRITERIOS!D53</f>
        <v/>
      </c>
      <c r="C57" s="15">
        <f>IFERROR(AVERAGE(D57:P57),"")</f>
        <v/>
      </c>
      <c r="D57" s="15">
        <f>'ASESOR 01'!AC65</f>
        <v/>
      </c>
      <c r="E57" s="15">
        <f>'ASESOR 02'!AC65</f>
        <v/>
      </c>
      <c r="F57" s="15">
        <f>'ASESOR 03'!AC65</f>
        <v/>
      </c>
      <c r="G57" s="15">
        <f>'ASESOR 04'!AC65</f>
        <v/>
      </c>
      <c r="H57" s="15">
        <f>'ASESOR 05'!AC65</f>
        <v/>
      </c>
      <c r="I57" s="15">
        <f>'ASESOR 06'!AC65</f>
        <v/>
      </c>
      <c r="J57" s="15">
        <f>'ASESOR 07'!AC65</f>
        <v/>
      </c>
      <c r="K57" s="15">
        <f>'ASESOR 08'!AC65</f>
        <v/>
      </c>
      <c r="L57" s="15">
        <f>'ASESOR 09'!AC65</f>
        <v/>
      </c>
      <c r="M57" s="15">
        <f>'ASESOR 10'!AC65</f>
        <v/>
      </c>
      <c r="N57" s="15">
        <f>'ASESOR 11'!AC65</f>
        <v/>
      </c>
      <c r="O57" s="15">
        <f>'ASESOR 12'!AC65</f>
        <v/>
      </c>
      <c r="P57" s="15">
        <f>'ASESOR 13'!AC65</f>
        <v/>
      </c>
      <c r="Q57" s="10" t="n"/>
    </row>
    <row r="58">
      <c r="A58" s="10">
        <f>CRITERIOS!B54</f>
        <v/>
      </c>
      <c r="B58" s="8">
        <f>CRITERIOS!D54</f>
        <v/>
      </c>
      <c r="C58" s="15">
        <f>IFERROR(AVERAGE(D58:P58),"")</f>
        <v/>
      </c>
      <c r="D58" s="15">
        <f>'ASESOR 01'!AC66</f>
        <v/>
      </c>
      <c r="E58" s="15">
        <f>'ASESOR 02'!AC66</f>
        <v/>
      </c>
      <c r="F58" s="15">
        <f>'ASESOR 03'!AC66</f>
        <v/>
      </c>
      <c r="G58" s="15">
        <f>'ASESOR 04'!AC66</f>
        <v/>
      </c>
      <c r="H58" s="15">
        <f>'ASESOR 05'!AC66</f>
        <v/>
      </c>
      <c r="I58" s="15">
        <f>'ASESOR 06'!AC66</f>
        <v/>
      </c>
      <c r="J58" s="15">
        <f>'ASESOR 07'!AC66</f>
        <v/>
      </c>
      <c r="K58" s="15">
        <f>'ASESOR 08'!AC66</f>
        <v/>
      </c>
      <c r="L58" s="15">
        <f>'ASESOR 09'!AC66</f>
        <v/>
      </c>
      <c r="M58" s="15">
        <f>'ASESOR 10'!AC66</f>
        <v/>
      </c>
      <c r="N58" s="15">
        <f>'ASESOR 11'!AC66</f>
        <v/>
      </c>
      <c r="O58" s="15">
        <f>'ASESOR 12'!AC66</f>
        <v/>
      </c>
      <c r="P58" s="15">
        <f>'ASESOR 13'!AC66</f>
        <v/>
      </c>
      <c r="Q58" s="10" t="n"/>
    </row>
    <row r="59">
      <c r="A59" s="10">
        <f>CRITERIOS!B55</f>
        <v/>
      </c>
      <c r="B59" s="8">
        <f>CRITERIOS!D55</f>
        <v/>
      </c>
      <c r="C59" s="15">
        <f>IFERROR(AVERAGE(D59:P59),"")</f>
        <v/>
      </c>
      <c r="D59" s="15">
        <f>'ASESOR 01'!AC67</f>
        <v/>
      </c>
      <c r="E59" s="15">
        <f>'ASESOR 02'!AC67</f>
        <v/>
      </c>
      <c r="F59" s="15">
        <f>'ASESOR 03'!AC67</f>
        <v/>
      </c>
      <c r="G59" s="15">
        <f>'ASESOR 04'!AC67</f>
        <v/>
      </c>
      <c r="H59" s="15">
        <f>'ASESOR 05'!AC67</f>
        <v/>
      </c>
      <c r="I59" s="15">
        <f>'ASESOR 06'!AC67</f>
        <v/>
      </c>
      <c r="J59" s="15">
        <f>'ASESOR 07'!AC67</f>
        <v/>
      </c>
      <c r="K59" s="15">
        <f>'ASESOR 08'!AC67</f>
        <v/>
      </c>
      <c r="L59" s="15">
        <f>'ASESOR 09'!AC67</f>
        <v/>
      </c>
      <c r="M59" s="15">
        <f>'ASESOR 10'!AC67</f>
        <v/>
      </c>
      <c r="N59" s="15">
        <f>'ASESOR 11'!AC67</f>
        <v/>
      </c>
      <c r="O59" s="15">
        <f>'ASESOR 12'!AC67</f>
        <v/>
      </c>
      <c r="P59" s="15">
        <f>'ASESOR 13'!AC67</f>
        <v/>
      </c>
      <c r="Q59" s="10" t="n"/>
    </row>
    <row r="60">
      <c r="A60" s="10">
        <f>CRITERIOS!B56</f>
        <v/>
      </c>
      <c r="B60" s="8">
        <f>CRITERIOS!D56</f>
        <v/>
      </c>
      <c r="C60" s="15">
        <f>IFERROR(AVERAGE(D60:P60),"")</f>
        <v/>
      </c>
      <c r="D60" s="15">
        <f>'ASESOR 01'!AC68</f>
        <v/>
      </c>
      <c r="E60" s="15">
        <f>'ASESOR 02'!AC68</f>
        <v/>
      </c>
      <c r="F60" s="15">
        <f>'ASESOR 03'!AC68</f>
        <v/>
      </c>
      <c r="G60" s="15">
        <f>'ASESOR 04'!AC68</f>
        <v/>
      </c>
      <c r="H60" s="15">
        <f>'ASESOR 05'!AC68</f>
        <v/>
      </c>
      <c r="I60" s="15">
        <f>'ASESOR 06'!AC68</f>
        <v/>
      </c>
      <c r="J60" s="15">
        <f>'ASESOR 07'!AC68</f>
        <v/>
      </c>
      <c r="K60" s="15">
        <f>'ASESOR 08'!AC68</f>
        <v/>
      </c>
      <c r="L60" s="15">
        <f>'ASESOR 09'!AC68</f>
        <v/>
      </c>
      <c r="M60" s="15">
        <f>'ASESOR 10'!AC68</f>
        <v/>
      </c>
      <c r="N60" s="15">
        <f>'ASESOR 11'!AC68</f>
        <v/>
      </c>
      <c r="O60" s="15">
        <f>'ASESOR 12'!AC68</f>
        <v/>
      </c>
      <c r="P60" s="15">
        <f>'ASESOR 13'!AC68</f>
        <v/>
      </c>
      <c r="Q60" s="10" t="n"/>
    </row>
    <row r="61">
      <c r="A61" s="10">
        <f>CRITERIOS!B57</f>
        <v/>
      </c>
      <c r="B61" s="8">
        <f>CRITERIOS!D57</f>
        <v/>
      </c>
      <c r="C61" s="15">
        <f>IFERROR(AVERAGE(D61:P61),"")</f>
        <v/>
      </c>
      <c r="D61" s="15">
        <f>'ASESOR 01'!AC69</f>
        <v/>
      </c>
      <c r="E61" s="15">
        <f>'ASESOR 02'!AC69</f>
        <v/>
      </c>
      <c r="F61" s="15">
        <f>'ASESOR 03'!AC69</f>
        <v/>
      </c>
      <c r="G61" s="15">
        <f>'ASESOR 04'!AC69</f>
        <v/>
      </c>
      <c r="H61" s="15">
        <f>'ASESOR 05'!AC69</f>
        <v/>
      </c>
      <c r="I61" s="15">
        <f>'ASESOR 06'!AC69</f>
        <v/>
      </c>
      <c r="J61" s="15">
        <f>'ASESOR 07'!AC69</f>
        <v/>
      </c>
      <c r="K61" s="15">
        <f>'ASESOR 08'!AC69</f>
        <v/>
      </c>
      <c r="L61" s="15">
        <f>'ASESOR 09'!AC69</f>
        <v/>
      </c>
      <c r="M61" s="15">
        <f>'ASESOR 10'!AC69</f>
        <v/>
      </c>
      <c r="N61" s="15">
        <f>'ASESOR 11'!AC69</f>
        <v/>
      </c>
      <c r="O61" s="15">
        <f>'ASESOR 12'!AC69</f>
        <v/>
      </c>
      <c r="P61" s="15">
        <f>'ASESOR 13'!AC69</f>
        <v/>
      </c>
      <c r="Q61" s="10" t="n"/>
    </row>
    <row r="62">
      <c r="A62" s="10">
        <f>CRITERIOS!B58</f>
        <v/>
      </c>
      <c r="B62" s="8">
        <f>CRITERIOS!D58</f>
        <v/>
      </c>
      <c r="C62" s="15">
        <f>IFERROR(AVERAGE(D62:P62),"")</f>
        <v/>
      </c>
      <c r="D62" s="15">
        <f>'ASESOR 01'!AC70</f>
        <v/>
      </c>
      <c r="E62" s="15">
        <f>'ASESOR 02'!AC70</f>
        <v/>
      </c>
      <c r="F62" s="15">
        <f>'ASESOR 03'!AC70</f>
        <v/>
      </c>
      <c r="G62" s="15">
        <f>'ASESOR 04'!AC70</f>
        <v/>
      </c>
      <c r="H62" s="15">
        <f>'ASESOR 05'!AC70</f>
        <v/>
      </c>
      <c r="I62" s="15">
        <f>'ASESOR 06'!AC70</f>
        <v/>
      </c>
      <c r="J62" s="15">
        <f>'ASESOR 07'!AC70</f>
        <v/>
      </c>
      <c r="K62" s="15">
        <f>'ASESOR 08'!AC70</f>
        <v/>
      </c>
      <c r="L62" s="15">
        <f>'ASESOR 09'!AC70</f>
        <v/>
      </c>
      <c r="M62" s="15">
        <f>'ASESOR 10'!AC70</f>
        <v/>
      </c>
      <c r="N62" s="15">
        <f>'ASESOR 11'!AC70</f>
        <v/>
      </c>
      <c r="O62" s="15">
        <f>'ASESOR 12'!AC70</f>
        <v/>
      </c>
      <c r="P62" s="15">
        <f>'ASESOR 13'!AC70</f>
        <v/>
      </c>
      <c r="Q62" s="10" t="n"/>
    </row>
    <row r="63">
      <c r="A63" s="10">
        <f>CRITERIOS!B59</f>
        <v/>
      </c>
      <c r="B63" s="8">
        <f>CRITERIOS!D59</f>
        <v/>
      </c>
      <c r="C63" s="15">
        <f>IFERROR(AVERAGE(D63:P63),"")</f>
        <v/>
      </c>
      <c r="D63" s="15">
        <f>'ASESOR 01'!AC71</f>
        <v/>
      </c>
      <c r="E63" s="15">
        <f>'ASESOR 02'!AC71</f>
        <v/>
      </c>
      <c r="F63" s="15">
        <f>'ASESOR 03'!AC71</f>
        <v/>
      </c>
      <c r="G63" s="15">
        <f>'ASESOR 04'!AC71</f>
        <v/>
      </c>
      <c r="H63" s="15">
        <f>'ASESOR 05'!AC71</f>
        <v/>
      </c>
      <c r="I63" s="15">
        <f>'ASESOR 06'!AC71</f>
        <v/>
      </c>
      <c r="J63" s="15">
        <f>'ASESOR 07'!AC71</f>
        <v/>
      </c>
      <c r="K63" s="15">
        <f>'ASESOR 08'!AC71</f>
        <v/>
      </c>
      <c r="L63" s="15">
        <f>'ASESOR 09'!AC71</f>
        <v/>
      </c>
      <c r="M63" s="15">
        <f>'ASESOR 10'!AC71</f>
        <v/>
      </c>
      <c r="N63" s="15">
        <f>'ASESOR 11'!AC71</f>
        <v/>
      </c>
      <c r="O63" s="15">
        <f>'ASESOR 12'!AC71</f>
        <v/>
      </c>
      <c r="P63" s="15">
        <f>'ASESOR 13'!AC71</f>
        <v/>
      </c>
      <c r="Q63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26" customWidth="1" min="3" max="3"/>
    <col width="70" customWidth="1" min="4" max="4"/>
    <col width="11" customWidth="1" min="5" max="5"/>
    <col width="11" customWidth="1" min="6" max="6"/>
    <col width="18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  <col width="8" customWidth="1" min="15" max="15"/>
    <col width="28" customWidth="1" min="16" max="16"/>
    <col width="9" customWidth="1" min="17" max="17"/>
    <col width="46" customWidth="1" min="18" max="18"/>
    <col width="46" customWidth="1" min="19" max="19"/>
    <col width="46" customWidth="1" min="20" max="20"/>
    <col width="46" customWidth="1" min="21" max="21"/>
  </cols>
  <sheetData>
    <row r="1" ht="42" customHeight="1">
      <c r="A1" s="6" t="inlineStr">
        <is>
          <t>#</t>
        </is>
      </c>
      <c r="B1" s="6" t="inlineStr">
        <is>
          <t>Código</t>
        </is>
      </c>
      <c r="C1" s="6" t="inlineStr">
        <is>
          <t>Dimensión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Canal</t>
        </is>
      </c>
      <c r="G1" s="6" t="inlineStr">
        <is>
          <t>Aplica a</t>
        </is>
      </c>
      <c r="H1" s="6" t="inlineStr">
        <is>
          <t>Aplica Comercial</t>
        </is>
      </c>
      <c r="I1" s="6" t="inlineStr">
        <is>
          <t>Aplica Cob. consulta</t>
        </is>
      </c>
      <c r="J1" s="6" t="inlineStr">
        <is>
          <t>Aplica Cob. campaña</t>
        </is>
      </c>
      <c r="K1" s="6" t="inlineStr">
        <is>
          <t>Peso Comercial</t>
        </is>
      </c>
      <c r="L1" s="6" t="inlineStr">
        <is>
          <t>Peso Cob. consulta</t>
        </is>
      </c>
      <c r="M1" s="6" t="inlineStr">
        <is>
          <t>Peso Cob. campaña</t>
        </is>
      </c>
      <c r="N1" s="6" t="inlineStr">
        <is>
          <t>Receptor N/A</t>
        </is>
      </c>
      <c r="O1" s="6" t="inlineStr">
        <is>
          <t>Admite N/A</t>
        </is>
      </c>
      <c r="P1" s="6" t="inlineStr">
        <is>
          <t>Fuente</t>
        </is>
      </c>
      <c r="Q1" s="6" t="inlineStr">
        <is>
          <t>Alerta Dirección</t>
        </is>
      </c>
      <c r="R1" s="6" t="inlineStr">
        <is>
          <t>Propiedad WhatsApp</t>
        </is>
      </c>
      <c r="S1" s="6" t="inlineStr">
        <is>
          <t>Propiedad Llamada</t>
        </is>
      </c>
      <c r="T1" s="6" t="inlineStr">
        <is>
          <t>Propiedad Correo</t>
        </is>
      </c>
      <c r="U1" s="6" t="inlineStr">
        <is>
          <t>Propiedad Presencial</t>
        </is>
      </c>
    </row>
    <row r="2">
      <c r="A2" s="20" t="n">
        <v>1</v>
      </c>
      <c r="B2" s="20" t="inlineStr">
        <is>
          <t>HD-1</t>
        </is>
      </c>
      <c r="C2" s="20" t="inlineStr">
        <is>
          <t>M1 · Control Habeas Data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Todos</t>
        </is>
      </c>
      <c r="H2" s="20" t="n">
        <v>1</v>
      </c>
      <c r="I2" s="20" t="n">
        <v>1</v>
      </c>
      <c r="J2" s="20" t="n">
        <v>1</v>
      </c>
      <c r="K2" s="20" t="n">
        <v>0</v>
      </c>
      <c r="L2" s="20" t="n">
        <v>0</v>
      </c>
      <c r="M2" s="20" t="n">
        <v>0</v>
      </c>
      <c r="N2" s="20" t="inlineStr"/>
      <c r="O2" s="20" t="inlineStr"/>
      <c r="P2" s="20" t="inlineStr">
        <is>
          <t>PV-IN-04 4.7</t>
        </is>
      </c>
      <c r="Q2" s="20" t="n">
        <v>1</v>
      </c>
      <c r="R2" s="10" t="inlineStr">
        <is>
          <t>wa_hd_preguntas_seguridad_antes_de_informar</t>
        </is>
      </c>
      <c r="S2" s="10" t="inlineStr">
        <is>
          <t>ll_hd_preguntas_seguridad_antes_de_informar</t>
        </is>
      </c>
      <c r="T2" s="10" t="inlineStr">
        <is>
          <t>co_hd_preguntas_seguridad_antes_de_informar</t>
        </is>
      </c>
      <c r="U2" s="10" t="inlineStr">
        <is>
          <t>pr_hd_preguntas_seguridad_antes_de_informar</t>
        </is>
      </c>
    </row>
    <row r="3">
      <c r="A3" s="20" t="n">
        <v>2</v>
      </c>
      <c r="B3" s="20" t="inlineStr">
        <is>
          <t>HD-2</t>
        </is>
      </c>
      <c r="C3" s="20" t="inlineStr">
        <is>
          <t>M1 · Control Habeas Data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Todos</t>
        </is>
      </c>
      <c r="H3" s="20" t="n">
        <v>1</v>
      </c>
      <c r="I3" s="20" t="n">
        <v>1</v>
      </c>
      <c r="J3" s="20" t="n">
        <v>1</v>
      </c>
      <c r="K3" s="20" t="n">
        <v>0</v>
      </c>
      <c r="L3" s="20" t="n">
        <v>0</v>
      </c>
      <c r="M3" s="20" t="n">
        <v>0</v>
      </c>
      <c r="N3" s="20" t="inlineStr"/>
      <c r="O3" s="20" t="inlineStr"/>
      <c r="P3" s="20" t="inlineStr">
        <is>
          <t>PV-IN-04 4.7</t>
        </is>
      </c>
      <c r="Q3" s="20" t="n">
        <v>1</v>
      </c>
      <c r="R3" s="10" t="inlineStr">
        <is>
          <t>wa_hd_preguntas_seguridad_completas</t>
        </is>
      </c>
      <c r="S3" s="10" t="inlineStr">
        <is>
          <t>ll_hd_preguntas_seguridad_completas</t>
        </is>
      </c>
      <c r="T3" s="10" t="inlineStr">
        <is>
          <t>co_hd_preguntas_seguridad_completas</t>
        </is>
      </c>
      <c r="U3" s="10" t="inlineStr">
        <is>
          <t>pr_hd_preguntas_seguridad_completas</t>
        </is>
      </c>
    </row>
    <row r="4">
      <c r="A4" s="20" t="n">
        <v>3</v>
      </c>
      <c r="B4" s="20" t="inlineStr">
        <is>
          <t>HD-3</t>
        </is>
      </c>
      <c r="C4" s="20" t="inlineStr">
        <is>
          <t>M1 · Control Habeas Data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Todos</t>
        </is>
      </c>
      <c r="H4" s="20" t="n">
        <v>1</v>
      </c>
      <c r="I4" s="20" t="n">
        <v>1</v>
      </c>
      <c r="J4" s="20" t="n">
        <v>1</v>
      </c>
      <c r="K4" s="20" t="n">
        <v>0</v>
      </c>
      <c r="L4" s="20" t="n">
        <v>0</v>
      </c>
      <c r="M4" s="20" t="n">
        <v>0</v>
      </c>
      <c r="N4" s="20" t="inlineStr"/>
      <c r="O4" s="20" t="inlineStr"/>
      <c r="P4" s="20" t="inlineStr">
        <is>
          <t>PV-IN-04 4.7 · Ley 1581 de 2012</t>
        </is>
      </c>
      <c r="Q4" s="20" t="n">
        <v>1</v>
      </c>
      <c r="R4" s="10" t="inlineStr">
        <is>
          <t>wa_hd_no_informa_a_terceros_no_autorizados</t>
        </is>
      </c>
      <c r="S4" s="10" t="inlineStr">
        <is>
          <t>ll_hd_no_informa_a_terceros_no_autorizados</t>
        </is>
      </c>
      <c r="T4" s="10" t="inlineStr">
        <is>
          <t>co_hd_no_informa_a_terceros_no_autorizados</t>
        </is>
      </c>
      <c r="U4" s="10" t="inlineStr">
        <is>
          <t>pr_hd_no_informa_a_terceros_no_autorizados</t>
        </is>
      </c>
    </row>
    <row r="5">
      <c r="A5" s="20" t="n">
        <v>4</v>
      </c>
      <c r="B5" s="20" t="inlineStr">
        <is>
          <t>HD-4</t>
        </is>
      </c>
      <c r="C5" s="20" t="inlineStr">
        <is>
          <t>M1 · Control Habeas Data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Todos</t>
        </is>
      </c>
      <c r="H5" s="20" t="n">
        <v>1</v>
      </c>
      <c r="I5" s="20" t="n">
        <v>1</v>
      </c>
      <c r="J5" s="20" t="n">
        <v>1</v>
      </c>
      <c r="K5" s="20" t="n">
        <v>0</v>
      </c>
      <c r="L5" s="20" t="n">
        <v>0</v>
      </c>
      <c r="M5" s="20" t="n">
        <v>0</v>
      </c>
      <c r="N5" s="20" t="inlineStr"/>
      <c r="O5" s="20" t="inlineStr"/>
      <c r="P5" s="20" t="inlineStr">
        <is>
          <t>Ley 1581 de 2012</t>
        </is>
      </c>
      <c r="Q5" s="20" t="n">
        <v>0</v>
      </c>
      <c r="R5" s="10" t="inlineStr">
        <is>
          <t>wa_hd_protege_datos_y_usa_canales_oficiales</t>
        </is>
      </c>
      <c r="S5" s="10" t="inlineStr">
        <is>
          <t>ll_hd_protege_datos_y_usa_canales_oficiales</t>
        </is>
      </c>
      <c r="T5" s="10" t="inlineStr">
        <is>
          <t>co_hd_protege_datos_y_usa_canales_oficiales</t>
        </is>
      </c>
      <c r="U5" s="10" t="inlineStr">
        <is>
          <t>pr_hd_protege_datos_y_usa_canales_oficiales</t>
        </is>
      </c>
    </row>
    <row r="6">
      <c r="A6" s="20" t="n">
        <v>5</v>
      </c>
      <c r="B6" s="20" t="inlineStr">
        <is>
          <t>HD-5</t>
        </is>
      </c>
      <c r="C6" s="20" t="inlineStr">
        <is>
          <t>M1 · Control Habeas Data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Todos</t>
        </is>
      </c>
      <c r="H6" s="20" t="n">
        <v>1</v>
      </c>
      <c r="I6" s="20" t="n">
        <v>1</v>
      </c>
      <c r="J6" s="20" t="n">
        <v>1</v>
      </c>
      <c r="K6" s="20" t="n">
        <v>0</v>
      </c>
      <c r="L6" s="20" t="n">
        <v>0</v>
      </c>
      <c r="M6" s="20" t="n">
        <v>0</v>
      </c>
      <c r="N6" s="20" t="inlineStr"/>
      <c r="O6" s="20" t="inlineStr"/>
      <c r="P6" s="20" t="inlineStr">
        <is>
          <t>Ley 1581 de 2012 · Ley 2300 de 2023</t>
        </is>
      </c>
      <c r="Q6" s="20" t="n">
        <v>0</v>
      </c>
      <c r="R6" s="10" t="inlineStr">
        <is>
          <t>wa_hd_respeta_autorizacion_de_contacto</t>
        </is>
      </c>
      <c r="S6" s="10" t="inlineStr">
        <is>
          <t>ll_hd_respeta_autorizacion_de_contacto</t>
        </is>
      </c>
      <c r="T6" s="10" t="inlineStr">
        <is>
          <t>co_hd_respeta_autorizacion_de_contacto</t>
        </is>
      </c>
      <c r="U6" s="10" t="inlineStr">
        <is>
          <t>pr_hd_respeta_autorizacion_de_contacto</t>
        </is>
      </c>
    </row>
    <row r="7">
      <c r="A7" s="20" t="n">
        <v>6</v>
      </c>
      <c r="B7" s="20" t="inlineStr">
        <is>
          <t>ECU-1</t>
        </is>
      </c>
      <c r="C7" s="20" t="inlineStr">
        <is>
          <t>2. Asesoría comercial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Todos</t>
        </is>
      </c>
      <c r="H7" s="20" t="n">
        <v>1</v>
      </c>
      <c r="I7" s="20" t="n">
        <v>1</v>
      </c>
      <c r="J7" s="20" t="n">
        <v>1</v>
      </c>
      <c r="K7" s="20" t="n">
        <v>0</v>
      </c>
      <c r="L7" s="20" t="n">
        <v>0</v>
      </c>
      <c r="M7" s="20" t="n">
        <v>0</v>
      </c>
      <c r="N7" s="20" t="inlineStr"/>
      <c r="O7" s="20" t="inlineStr"/>
      <c r="P7" s="20" t="inlineStr">
        <is>
          <t>PV-PR-09 6.3</t>
        </is>
      </c>
      <c r="Q7" s="20" t="n">
        <v>0</v>
      </c>
      <c r="R7" s="10" t="inlineStr">
        <is>
          <t>wa_ecu_informacion_correcta_y_completa</t>
        </is>
      </c>
      <c r="S7" s="10" t="inlineStr">
        <is>
          <t>ll_ecu_informacion_correcta_y_completa</t>
        </is>
      </c>
      <c r="T7" s="10" t="inlineStr">
        <is>
          <t>co_ecu_informacion_correcta_y_completa</t>
        </is>
      </c>
      <c r="U7" s="10" t="inlineStr">
        <is>
          <t>pr_ecu_informacion_correcta_y_completa</t>
        </is>
      </c>
    </row>
    <row r="8">
      <c r="A8" s="20" t="n">
        <v>7</v>
      </c>
      <c r="B8" s="20" t="inlineStr">
        <is>
          <t>ECU-2</t>
        </is>
      </c>
      <c r="C8" s="20" t="inlineStr">
        <is>
          <t>5. Experiencia del asociado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Todos</t>
        </is>
      </c>
      <c r="H8" s="20" t="n">
        <v>1</v>
      </c>
      <c r="I8" s="20" t="n">
        <v>1</v>
      </c>
      <c r="J8" s="20" t="n">
        <v>1</v>
      </c>
      <c r="K8" s="20" t="n">
        <v>0</v>
      </c>
      <c r="L8" s="20" t="n">
        <v>0</v>
      </c>
      <c r="M8" s="20" t="n">
        <v>0</v>
      </c>
      <c r="N8" s="20" t="inlineStr"/>
      <c r="O8" s="20" t="inlineStr"/>
      <c r="P8" s="20" t="inlineStr">
        <is>
          <t>PV-IN-04 4.8</t>
        </is>
      </c>
      <c r="Q8" s="20" t="n">
        <v>1</v>
      </c>
      <c r="R8" s="10" t="inlineStr">
        <is>
          <t>wa_ecu_trato_respetuoso</t>
        </is>
      </c>
      <c r="S8" s="10" t="inlineStr">
        <is>
          <t>ll_ecu_trato_respetuoso</t>
        </is>
      </c>
      <c r="T8" s="10" t="inlineStr">
        <is>
          <t>co_ecu_trato_respetuoso</t>
        </is>
      </c>
      <c r="U8" s="10" t="inlineStr">
        <is>
          <t>pr_ecu_trato_respetuoso</t>
        </is>
      </c>
    </row>
    <row r="9">
      <c r="A9" s="20" t="n">
        <v>8</v>
      </c>
      <c r="B9" s="20" t="inlineStr">
        <is>
          <t>ECU-3</t>
        </is>
      </c>
      <c r="C9" s="20" t="inlineStr">
        <is>
          <t>4. Registro y seguimiento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Todos</t>
        </is>
      </c>
      <c r="H9" s="20" t="n">
        <v>1</v>
      </c>
      <c r="I9" s="20" t="n">
        <v>1</v>
      </c>
      <c r="J9" s="20" t="n">
        <v>1</v>
      </c>
      <c r="K9" s="20" t="n">
        <v>0</v>
      </c>
      <c r="L9" s="20" t="n">
        <v>0</v>
      </c>
      <c r="M9" s="20" t="n">
        <v>0</v>
      </c>
      <c r="N9" s="20" t="inlineStr"/>
      <c r="O9" s="20" t="inlineStr"/>
      <c r="P9" s="20" t="inlineStr">
        <is>
          <t>PV-PR-09 6.2</t>
        </is>
      </c>
      <c r="Q9" s="20" t="n">
        <v>0</v>
      </c>
      <c r="R9" s="10" t="inlineStr">
        <is>
          <t>wa_ecu_da_respuesta_y_cierre_a_solicitudes</t>
        </is>
      </c>
      <c r="S9" s="10" t="inlineStr">
        <is>
          <t>ll_ecu_da_respuesta_y_cierre_a_solicitudes</t>
        </is>
      </c>
      <c r="T9" s="10" t="inlineStr">
        <is>
          <t>co_ecu_da_respuesta_y_cierre_a_solicitudes</t>
        </is>
      </c>
      <c r="U9" s="10" t="inlineStr">
        <is>
          <t>pr_ecu_da_respuesta_y_cierre_a_solicitudes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1. Contacto oportuno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Todos</t>
        </is>
      </c>
      <c r="G10" s="20" t="inlineStr">
        <is>
          <t>Comercial</t>
        </is>
      </c>
      <c r="H10" s="20" t="n">
        <v>1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inlineStr"/>
      <c r="O10" s="20" t="inlineStr">
        <is>
          <t>X</t>
        </is>
      </c>
      <c r="P10" s="20" t="inlineStr">
        <is>
          <t>PV-PR-09 4 y 6.3</t>
        </is>
      </c>
      <c r="Q10" s="20" t="n">
        <v>0</v>
      </c>
      <c r="R10" s="10" t="inlineStr">
        <is>
          <t>wa_ecn_primer_contacto_dentro_de_sla</t>
        </is>
      </c>
      <c r="S10" s="10" t="inlineStr">
        <is>
          <t>ll_ecn_primer_contacto_dentro_de_sla</t>
        </is>
      </c>
      <c r="T10" s="10" t="inlineStr">
        <is>
          <t>co_ecn_primer_contacto_dentro_de_sla</t>
        </is>
      </c>
      <c r="U10" s="10" t="inlineStr">
        <is>
          <t>pr_ecn_primer_contacto_dentro_de_sla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1. Contacto oportuno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Todos</t>
        </is>
      </c>
      <c r="G11" s="20" t="inlineStr">
        <is>
          <t>Comercial</t>
        </is>
      </c>
      <c r="H11" s="20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  <c r="N11" s="20" t="inlineStr"/>
      <c r="O11" s="20" t="inlineStr">
        <is>
          <t>X</t>
        </is>
      </c>
      <c r="P11" s="20" t="inlineStr">
        <is>
          <t>PV-PR-09 6.3</t>
        </is>
      </c>
      <c r="Q11" s="20" t="n">
        <v>0</v>
      </c>
      <c r="R11" s="10" t="inlineStr">
        <is>
          <t>wa_ecn_descalifica_con_intentos_y_motivo</t>
        </is>
      </c>
      <c r="S11" s="10" t="inlineStr">
        <is>
          <t>ll_ecn_descalifica_con_intentos_y_motivo</t>
        </is>
      </c>
      <c r="T11" s="10" t="inlineStr">
        <is>
          <t>co_ecn_descalifica_con_intentos_y_motivo</t>
        </is>
      </c>
      <c r="U11" s="10" t="inlineStr">
        <is>
          <t>pr_ecn_descalifica_con_intentos_y_motivo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3. Avance con evidencia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Todos</t>
        </is>
      </c>
      <c r="G12" s="20" t="inlineStr">
        <is>
          <t>Comercial</t>
        </is>
      </c>
      <c r="H12" s="20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  <c r="N12" s="20" t="inlineStr"/>
      <c r="O12" s="20" t="inlineStr">
        <is>
          <t>X</t>
        </is>
      </c>
      <c r="P12" s="20" t="inlineStr">
        <is>
          <t>PV-PR-09 6.3</t>
        </is>
      </c>
      <c r="Q12" s="20" t="n">
        <v>0</v>
      </c>
      <c r="R12" s="10" t="inlineStr">
        <is>
          <t>wa_ecn_crea_o_asocia_negocio</t>
        </is>
      </c>
      <c r="S12" s="10" t="inlineStr">
        <is>
          <t>ll_ecn_crea_o_asocia_negocio</t>
        </is>
      </c>
      <c r="T12" s="10" t="inlineStr">
        <is>
          <t>co_ecn_crea_o_asocia_negocio</t>
        </is>
      </c>
      <c r="U12" s="10" t="inlineStr">
        <is>
          <t>pr_ecn_crea_o_asocia_negocio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3. Avance con 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Todos</t>
        </is>
      </c>
      <c r="G13" s="20" t="inlineStr">
        <is>
          <t>Comercial</t>
        </is>
      </c>
      <c r="H13" s="20" t="n">
        <v>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inlineStr"/>
      <c r="O13" s="20" t="inlineStr">
        <is>
          <t>X</t>
        </is>
      </c>
      <c r="P13" s="20" t="inlineStr">
        <is>
          <t>PV-PR-09 6.4</t>
        </is>
      </c>
      <c r="Q13" s="20" t="n">
        <v>0</v>
      </c>
      <c r="R13" s="10" t="inlineStr">
        <is>
          <t>wa_ecn_mueve_etapas_con_evidencia</t>
        </is>
      </c>
      <c r="S13" s="10" t="inlineStr">
        <is>
          <t>ll_ecn_mueve_etapas_con_evidencia</t>
        </is>
      </c>
      <c r="T13" s="10" t="inlineStr">
        <is>
          <t>co_ecn_mueve_etapas_con_evidencia</t>
        </is>
      </c>
      <c r="U13" s="10" t="inlineStr">
        <is>
          <t>pr_ecn_mueve_etapas_con_evidencia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4. Registro y seguimiento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Todos</t>
        </is>
      </c>
      <c r="H14" s="20" t="n">
        <v>1</v>
      </c>
      <c r="I14" s="20" t="n">
        <v>1</v>
      </c>
      <c r="J14" s="20" t="n">
        <v>1</v>
      </c>
      <c r="K14" s="20" t="n">
        <v>0</v>
      </c>
      <c r="L14" s="20" t="n">
        <v>0</v>
      </c>
      <c r="M14" s="20" t="n">
        <v>0</v>
      </c>
      <c r="N14" s="20" t="inlineStr"/>
      <c r="O14" s="20" t="inlineStr"/>
      <c r="P14" s="20" t="inlineStr">
        <is>
          <t>PV-PR-09 6.1</t>
        </is>
      </c>
      <c r="Q14" s="20" t="n">
        <v>0</v>
      </c>
      <c r="R14" s="10" t="inlineStr">
        <is>
          <t>wa_ecn_deja_estado_proxima_accion_responsable_fecha</t>
        </is>
      </c>
      <c r="S14" s="10" t="inlineStr">
        <is>
          <t>ll_ecn_deja_estado_proxima_accion_responsable_fecha</t>
        </is>
      </c>
      <c r="T14" s="10" t="inlineStr">
        <is>
          <t>co_ecn_deja_estado_proxima_accion_responsable_fecha</t>
        </is>
      </c>
      <c r="U14" s="10" t="inlineStr">
        <is>
          <t>pr_ecn_deja_estado_proxima_accion_responsable_fecha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2. Asesoría comercial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Todos</t>
        </is>
      </c>
      <c r="H15" s="20" t="n">
        <v>1</v>
      </c>
      <c r="I15" s="20" t="n">
        <v>1</v>
      </c>
      <c r="J15" s="20" t="n">
        <v>1</v>
      </c>
      <c r="K15" s="20" t="n">
        <v>0</v>
      </c>
      <c r="L15" s="20" t="n">
        <v>0</v>
      </c>
      <c r="M15" s="20" t="n">
        <v>0</v>
      </c>
      <c r="N15" s="20" t="inlineStr"/>
      <c r="O15" s="20" t="inlineStr"/>
      <c r="P15" s="20" t="inlineStr">
        <is>
          <t>Política comercial y de cartera</t>
        </is>
      </c>
      <c r="Q15" s="20" t="n">
        <v>0</v>
      </c>
      <c r="R15" s="10" t="inlineStr">
        <is>
          <t>wa_ecc_no_promete_condiciones_no_autorizadas</t>
        </is>
      </c>
      <c r="S15" s="10" t="inlineStr">
        <is>
          <t>ll_ecc_no_promete_condiciones_no_autorizadas</t>
        </is>
      </c>
      <c r="T15" s="10" t="inlineStr">
        <is>
          <t>co_ecc_no_promete_condiciones_no_autorizadas</t>
        </is>
      </c>
      <c r="U15" s="10" t="inlineStr">
        <is>
          <t>pr_ecc_no_promete_condiciones_no_autorizadas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3. Avance con evidencia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Todos</t>
        </is>
      </c>
      <c r="H16" s="20" t="n">
        <v>1</v>
      </c>
      <c r="I16" s="20" t="n">
        <v>1</v>
      </c>
      <c r="J16" s="20" t="n">
        <v>1</v>
      </c>
      <c r="K16" s="20" t="n">
        <v>0</v>
      </c>
      <c r="L16" s="20" t="n">
        <v>0</v>
      </c>
      <c r="M16" s="20" t="n">
        <v>0</v>
      </c>
      <c r="N16" s="20" t="inlineStr"/>
      <c r="O16" s="20" t="inlineStr">
        <is>
          <t>X</t>
        </is>
      </c>
      <c r="P16" s="20" t="inlineStr">
        <is>
          <t>PV-IN-04 4.8</t>
        </is>
      </c>
      <c r="Q16" s="20" t="n">
        <v>1</v>
      </c>
      <c r="R16" s="10" t="inlineStr">
        <is>
          <t>wa_ecc_no_altera_documentos</t>
        </is>
      </c>
      <c r="S16" s="10" t="inlineStr">
        <is>
          <t>ll_ecc_no_altera_documentos</t>
        </is>
      </c>
      <c r="T16" s="10" t="inlineStr">
        <is>
          <t>co_ecc_no_altera_documentos</t>
        </is>
      </c>
      <c r="U16" s="10" t="inlineStr">
        <is>
          <t>pr_ecc_no_altera_documentos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7. Gestión de cobranza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Todos</t>
        </is>
      </c>
      <c r="G17" s="20" t="inlineStr">
        <is>
          <t>Cobranza</t>
        </is>
      </c>
      <c r="H17" s="20" t="n">
        <v>0</v>
      </c>
      <c r="I17" s="20" t="n">
        <v>1</v>
      </c>
      <c r="J17" s="20" t="n">
        <v>1</v>
      </c>
      <c r="K17" s="20" t="n">
        <v>0</v>
      </c>
      <c r="L17" s="20" t="n">
        <v>0</v>
      </c>
      <c r="M17" s="20" t="n">
        <v>0</v>
      </c>
      <c r="N17" s="20" t="inlineStr"/>
      <c r="O17" s="20" t="inlineStr"/>
      <c r="P17" s="20" t="inlineStr">
        <is>
          <t>Ley 2300 de 2023 y Ley 1266 de 2008</t>
        </is>
      </c>
      <c r="Q17" s="20" t="n">
        <v>0</v>
      </c>
      <c r="R17" s="10" t="inlineStr">
        <is>
          <t>wa_ecc_cobra_con_respeto_y_dentro_de_la_ley</t>
        </is>
      </c>
      <c r="S17" s="10" t="inlineStr">
        <is>
          <t>ll_ecc_cobra_con_respeto_y_dentro_de_la_ley</t>
        </is>
      </c>
      <c r="T17" s="10" t="inlineStr">
        <is>
          <t>co_ecc_cobra_con_respeto_y_dentro_de_la_ley</t>
        </is>
      </c>
      <c r="U17" s="10" t="inlineStr">
        <is>
          <t>pr_ecc_cobra_con_respeto_y_dentro_de_la_ley</t>
        </is>
      </c>
    </row>
    <row r="18">
      <c r="A18" s="8" t="n">
        <v>17</v>
      </c>
      <c r="B18" s="8" t="inlineStr">
        <is>
          <t>P1-1</t>
        </is>
      </c>
      <c r="C18" s="8" t="inlineStr">
        <is>
          <t>1. Contacto oportuno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Todos</t>
        </is>
      </c>
      <c r="G18" s="8" t="inlineStr">
        <is>
          <t>Comercial</t>
        </is>
      </c>
      <c r="H18" s="8" t="n">
        <v>1</v>
      </c>
      <c r="I18" s="8" t="n">
        <v>0</v>
      </c>
      <c r="J18" s="8" t="n">
        <v>0</v>
      </c>
      <c r="K18" s="8" t="n">
        <v>6</v>
      </c>
      <c r="L18" s="8" t="n">
        <v>0</v>
      </c>
      <c r="M18" s="8" t="n">
        <v>0</v>
      </c>
      <c r="N18" s="8" t="inlineStr">
        <is>
          <t>P1-2</t>
        </is>
      </c>
      <c r="O18" s="8" t="inlineStr">
        <is>
          <t>X</t>
        </is>
      </c>
      <c r="P18" s="8" t="inlineStr">
        <is>
          <t>PV-PR-09 6.3</t>
        </is>
      </c>
      <c r="Q18" s="8" t="n">
        <v>0</v>
      </c>
      <c r="R18" s="10" t="inlineStr">
        <is>
          <t>wa_sigue_cadencia_48h_multicanal</t>
        </is>
      </c>
      <c r="S18" s="10" t="inlineStr">
        <is>
          <t>ll_sigue_cadencia_48h_multicanal</t>
        </is>
      </c>
      <c r="T18" s="10" t="inlineStr">
        <is>
          <t>co_sigue_cadencia_48h_multicanal</t>
        </is>
      </c>
      <c r="U18" s="10" t="inlineStr">
        <is>
          <t>pr_sigue_cadencia_48h_multicanal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1. Contacto oportuno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Todos</t>
        </is>
      </c>
      <c r="G19" s="25" t="inlineStr">
        <is>
          <t>Comercial</t>
        </is>
      </c>
      <c r="H19" s="25" t="n">
        <v>1</v>
      </c>
      <c r="I19" s="25" t="n">
        <v>0</v>
      </c>
      <c r="J19" s="25" t="n">
        <v>0</v>
      </c>
      <c r="K19" s="25" t="n">
        <v>3</v>
      </c>
      <c r="L19" s="25" t="n">
        <v>0</v>
      </c>
      <c r="M19" s="25" t="n">
        <v>0</v>
      </c>
      <c r="N19" s="25" t="inlineStr"/>
      <c r="O19" s="25" t="inlineStr"/>
      <c r="P19" s="25" t="inlineStr">
        <is>
          <t>AS-040</t>
        </is>
      </c>
      <c r="Q19" s="25" t="n">
        <v>0</v>
      </c>
      <c r="R19" s="10" t="inlineStr">
        <is>
          <t>wa_responde_a_tiempo_en_conversacion_activa</t>
        </is>
      </c>
      <c r="S19" s="10" t="inlineStr">
        <is>
          <t>ll_responde_a_tiempo_en_conversacion_activa</t>
        </is>
      </c>
      <c r="T19" s="10" t="inlineStr">
        <is>
          <t>co_responde_a_tiempo_en_conversacion_activa</t>
        </is>
      </c>
      <c r="U19" s="10" t="inlineStr">
        <is>
          <t>pr_responde_a_tiempo_en_conversacion_activa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2. Asesoría comercial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Todos</t>
        </is>
      </c>
      <c r="G20" s="25" t="inlineStr">
        <is>
          <t>Comercial</t>
        </is>
      </c>
      <c r="H20" s="25" t="n">
        <v>1</v>
      </c>
      <c r="I20" s="25" t="n">
        <v>0</v>
      </c>
      <c r="J20" s="25" t="n">
        <v>0</v>
      </c>
      <c r="K20" s="25" t="n">
        <v>2</v>
      </c>
      <c r="L20" s="25" t="n">
        <v>0</v>
      </c>
      <c r="M20" s="25" t="n">
        <v>0</v>
      </c>
      <c r="N20" s="25" t="inlineStr"/>
      <c r="O20" s="25" t="inlineStr"/>
      <c r="P20" s="25" t="inlineStr">
        <is>
          <t>PV-IN-08</t>
        </is>
      </c>
      <c r="Q20" s="25" t="n">
        <v>0</v>
      </c>
      <c r="R20" s="10" t="inlineStr">
        <is>
          <t>wa_revisa_duplicados_e_historial</t>
        </is>
      </c>
      <c r="S20" s="10" t="inlineStr">
        <is>
          <t>ll_revisa_duplicados_e_historial</t>
        </is>
      </c>
      <c r="T20" s="10" t="inlineStr">
        <is>
          <t>co_revisa_duplicados_e_historial</t>
        </is>
      </c>
      <c r="U20" s="10" t="inlineStr">
        <is>
          <t>pr_revisa_duplicados_e_historial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2. Asesoría comercial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Todos</t>
        </is>
      </c>
      <c r="G21" s="25" t="inlineStr">
        <is>
          <t>Comercial</t>
        </is>
      </c>
      <c r="H21" s="25" t="n">
        <v>1</v>
      </c>
      <c r="I21" s="25" t="n">
        <v>0</v>
      </c>
      <c r="J21" s="25" t="n">
        <v>0</v>
      </c>
      <c r="K21" s="25" t="n">
        <v>3</v>
      </c>
      <c r="L21" s="25" t="n">
        <v>0</v>
      </c>
      <c r="M21" s="25" t="n">
        <v>0</v>
      </c>
      <c r="N21" s="25" t="inlineStr"/>
      <c r="O21" s="25" t="inlineStr"/>
      <c r="P21" s="25" t="inlineStr">
        <is>
          <t>PV-IN-08</t>
        </is>
      </c>
      <c r="Q21" s="25" t="n">
        <v>0</v>
      </c>
      <c r="R21" s="10" t="inlineStr">
        <is>
          <t>wa_perfila_el_caso</t>
        </is>
      </c>
      <c r="S21" s="10" t="inlineStr">
        <is>
          <t>ll_perfila_el_caso</t>
        </is>
      </c>
      <c r="T21" s="10" t="inlineStr">
        <is>
          <t>co_perfila_el_caso</t>
        </is>
      </c>
      <c r="U21" s="10" t="inlineStr">
        <is>
          <t>pr_perfila_el_caso</t>
        </is>
      </c>
    </row>
    <row r="22">
      <c r="A22" s="8" t="n">
        <v>21</v>
      </c>
      <c r="B22" s="8" t="inlineStr">
        <is>
          <t>P2-3</t>
        </is>
      </c>
      <c r="C22" s="8" t="inlineStr">
        <is>
          <t>2. Asesoría comercial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Todos</t>
        </is>
      </c>
      <c r="G22" s="8" t="inlineStr">
        <is>
          <t>Comercial</t>
        </is>
      </c>
      <c r="H22" s="8" t="n">
        <v>1</v>
      </c>
      <c r="I22" s="8" t="n">
        <v>0</v>
      </c>
      <c r="J22" s="8" t="n">
        <v>0</v>
      </c>
      <c r="K22" s="8" t="n">
        <v>4</v>
      </c>
      <c r="L22" s="8" t="n">
        <v>0</v>
      </c>
      <c r="M22" s="8" t="n">
        <v>0</v>
      </c>
      <c r="N22" s="8" t="inlineStr">
        <is>
          <t>P2-2</t>
        </is>
      </c>
      <c r="O22" s="8" t="inlineStr">
        <is>
          <t>X</t>
        </is>
      </c>
      <c r="P22" s="8" t="inlineStr">
        <is>
          <t>PV-PR-09 6.3</t>
        </is>
      </c>
      <c r="Q22" s="8" t="n">
        <v>0</v>
      </c>
      <c r="R22" s="10" t="inlineStr">
        <is>
          <t>wa_indaga_que_monto_y_cuando_financiar</t>
        </is>
      </c>
      <c r="S22" s="10" t="inlineStr">
        <is>
          <t>ll_indaga_que_monto_y_cuando_financiar</t>
        </is>
      </c>
      <c r="T22" s="10" t="inlineStr">
        <is>
          <t>co_indaga_que_monto_y_cuando_financiar</t>
        </is>
      </c>
      <c r="U22" s="10" t="inlineStr">
        <is>
          <t>pr_indaga_que_monto_y_cuando_financiar</t>
        </is>
      </c>
    </row>
    <row r="23">
      <c r="A23" s="8" t="n">
        <v>22</v>
      </c>
      <c r="B23" s="8" t="inlineStr">
        <is>
          <t>P2-4</t>
        </is>
      </c>
      <c r="C23" s="8" t="inlineStr">
        <is>
          <t>2. Asesoría comercial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Todos</t>
        </is>
      </c>
      <c r="G23" s="8" t="inlineStr">
        <is>
          <t>Comercial</t>
        </is>
      </c>
      <c r="H23" s="8" t="n">
        <v>1</v>
      </c>
      <c r="I23" s="8" t="n">
        <v>0</v>
      </c>
      <c r="J23" s="8" t="n">
        <v>0</v>
      </c>
      <c r="K23" s="8" t="n">
        <v>4</v>
      </c>
      <c r="L23" s="8" t="n">
        <v>0</v>
      </c>
      <c r="M23" s="8" t="n">
        <v>0</v>
      </c>
      <c r="N23" s="8" t="inlineStr">
        <is>
          <t>P2-2</t>
        </is>
      </c>
      <c r="O23" s="8" t="inlineStr">
        <is>
          <t>X</t>
        </is>
      </c>
      <c r="P23" s="8" t="inlineStr">
        <is>
          <t>AS-026</t>
        </is>
      </c>
      <c r="Q23" s="8" t="n">
        <v>0</v>
      </c>
      <c r="R23" s="10" t="inlineStr">
        <is>
          <t>wa_resuelve_dudas_y_objeciones_sin_presionar</t>
        </is>
      </c>
      <c r="S23" s="10" t="inlineStr">
        <is>
          <t>ll_resuelve_dudas_y_objeciones_sin_presionar</t>
        </is>
      </c>
      <c r="T23" s="10" t="inlineStr">
        <is>
          <t>co_resuelve_dudas_y_objeciones_sin_presionar</t>
        </is>
      </c>
      <c r="U23" s="10" t="inlineStr">
        <is>
          <t>pr_resuelve_dudas_y_objeciones_sin_presionar</t>
        </is>
      </c>
    </row>
    <row r="24">
      <c r="A24" s="8" t="n">
        <v>23</v>
      </c>
      <c r="B24" s="8" t="inlineStr">
        <is>
          <t>P2-5</t>
        </is>
      </c>
      <c r="C24" s="8" t="inlineStr">
        <is>
          <t>2. Asesoría comercial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Todos</t>
        </is>
      </c>
      <c r="G24" s="8" t="inlineStr">
        <is>
          <t>Comercial</t>
        </is>
      </c>
      <c r="H24" s="8" t="n">
        <v>1</v>
      </c>
      <c r="I24" s="8" t="n">
        <v>0</v>
      </c>
      <c r="J24" s="8" t="n">
        <v>0</v>
      </c>
      <c r="K24" s="8" t="n">
        <v>2</v>
      </c>
      <c r="L24" s="8" t="n">
        <v>0</v>
      </c>
      <c r="M24" s="8" t="n">
        <v>0</v>
      </c>
      <c r="N24" s="8" t="inlineStr">
        <is>
          <t>P2-2</t>
        </is>
      </c>
      <c r="O24" s="8" t="inlineStr">
        <is>
          <t>X</t>
        </is>
      </c>
      <c r="P24" s="8" t="inlineStr">
        <is>
          <t>PV-PR-09</t>
        </is>
      </c>
      <c r="Q24" s="8" t="n">
        <v>0</v>
      </c>
      <c r="R24" s="10" t="inlineStr">
        <is>
          <t>wa_ofrece_valor_adicional_o_alternativa</t>
        </is>
      </c>
      <c r="S24" s="10" t="inlineStr">
        <is>
          <t>ll_ofrece_valor_adicional_o_alternativa</t>
        </is>
      </c>
      <c r="T24" s="10" t="inlineStr">
        <is>
          <t>co_ofrece_valor_adicional_o_alternativa</t>
        </is>
      </c>
      <c r="U24" s="10" t="inlineStr">
        <is>
          <t>pr_ofrece_valor_adicional_o_alternativa</t>
        </is>
      </c>
    </row>
    <row r="25">
      <c r="A25" s="8" t="n">
        <v>24</v>
      </c>
      <c r="B25" s="8" t="inlineStr">
        <is>
          <t>P3-1</t>
        </is>
      </c>
      <c r="C25" s="8" t="inlineStr">
        <is>
          <t>3. Avance con evidencia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Todos</t>
        </is>
      </c>
      <c r="G25" s="8" t="inlineStr">
        <is>
          <t>Comercial</t>
        </is>
      </c>
      <c r="H25" s="8" t="n">
        <v>1</v>
      </c>
      <c r="I25" s="8" t="n">
        <v>0</v>
      </c>
      <c r="J25" s="8" t="n">
        <v>0</v>
      </c>
      <c r="K25" s="8" t="n">
        <v>4</v>
      </c>
      <c r="L25" s="8" t="n">
        <v>0</v>
      </c>
      <c r="M25" s="8" t="n">
        <v>0</v>
      </c>
      <c r="N25" s="8" t="inlineStr">
        <is>
          <t>P4-3</t>
        </is>
      </c>
      <c r="O25" s="8" t="inlineStr">
        <is>
          <t>X</t>
        </is>
      </c>
      <c r="P25" s="8" t="inlineStr">
        <is>
          <t>PV-IN-09</t>
        </is>
      </c>
      <c r="Q25" s="8" t="n">
        <v>0</v>
      </c>
      <c r="R25" s="10" t="inlineStr">
        <is>
          <t>wa_pendientes_con_tarea_responsable_y_fecha</t>
        </is>
      </c>
      <c r="S25" s="10" t="inlineStr">
        <is>
          <t>ll_pendientes_con_tarea_responsable_y_fecha</t>
        </is>
      </c>
      <c r="T25" s="10" t="inlineStr">
        <is>
          <t>co_pendientes_con_tarea_responsable_y_fecha</t>
        </is>
      </c>
      <c r="U25" s="10" t="inlineStr">
        <is>
          <t>pr_pendientes_con_tarea_responsable_y_fecha</t>
        </is>
      </c>
    </row>
    <row r="26">
      <c r="A26" s="8" t="n">
        <v>25</v>
      </c>
      <c r="B26" s="8" t="inlineStr">
        <is>
          <t>P3-2</t>
        </is>
      </c>
      <c r="C26" s="8" t="inlineStr">
        <is>
          <t>3. Avance con evidencia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Todos</t>
        </is>
      </c>
      <c r="G26" s="8" t="inlineStr">
        <is>
          <t>Comercial</t>
        </is>
      </c>
      <c r="H26" s="8" t="n">
        <v>1</v>
      </c>
      <c r="I26" s="8" t="n">
        <v>0</v>
      </c>
      <c r="J26" s="8" t="n">
        <v>0</v>
      </c>
      <c r="K26" s="8" t="n">
        <v>4</v>
      </c>
      <c r="L26" s="8" t="n">
        <v>0</v>
      </c>
      <c r="M26" s="8" t="n">
        <v>0</v>
      </c>
      <c r="N26" s="8" t="inlineStr">
        <is>
          <t>P4-3</t>
        </is>
      </c>
      <c r="O26" s="8" t="inlineStr">
        <is>
          <t>X</t>
        </is>
      </c>
      <c r="P26" s="8" t="inlineStr">
        <is>
          <t>PV-IN-09</t>
        </is>
      </c>
      <c r="Q26" s="8" t="n">
        <v>0</v>
      </c>
      <c r="R26" s="10" t="inlineStr">
        <is>
          <t>wa_escala_estudio_y_gestiona_congelado_48h</t>
        </is>
      </c>
      <c r="S26" s="10" t="inlineStr">
        <is>
          <t>ll_escala_estudio_y_gestiona_congelado_48h</t>
        </is>
      </c>
      <c r="T26" s="10" t="inlineStr">
        <is>
          <t>co_escala_estudio_y_gestiona_congelado_48h</t>
        </is>
      </c>
      <c r="U26" s="10" t="inlineStr">
        <is>
          <t>pr_escala_estudio_y_gestiona_congelado_48h</t>
        </is>
      </c>
    </row>
    <row r="27">
      <c r="A27" s="8" t="n">
        <v>26</v>
      </c>
      <c r="B27" s="8" t="inlineStr">
        <is>
          <t>P3-3</t>
        </is>
      </c>
      <c r="C27" s="8" t="inlineStr">
        <is>
          <t>3. Avance con evidencia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Todos</t>
        </is>
      </c>
      <c r="G27" s="8" t="inlineStr">
        <is>
          <t>Comercial</t>
        </is>
      </c>
      <c r="H27" s="8" t="n">
        <v>1</v>
      </c>
      <c r="I27" s="8" t="n">
        <v>0</v>
      </c>
      <c r="J27" s="8" t="n">
        <v>0</v>
      </c>
      <c r="K27" s="8" t="n">
        <v>4</v>
      </c>
      <c r="L27" s="8" t="n">
        <v>0</v>
      </c>
      <c r="M27" s="8" t="n">
        <v>0</v>
      </c>
      <c r="N27" s="8" t="inlineStr">
        <is>
          <t>P4-3</t>
        </is>
      </c>
      <c r="O27" s="8" t="inlineStr">
        <is>
          <t>X</t>
        </is>
      </c>
      <c r="P27" s="8" t="inlineStr">
        <is>
          <t>PV-IN-09</t>
        </is>
      </c>
      <c r="Q27" s="8" t="n">
        <v>0</v>
      </c>
      <c r="R27" s="10" t="inlineStr">
        <is>
          <t>wa_aprobado_confirma_condiciones_y_sigue_desembolso</t>
        </is>
      </c>
      <c r="S27" s="10" t="inlineStr">
        <is>
          <t>ll_aprobado_confirma_condiciones_y_sigue_desembolso</t>
        </is>
      </c>
      <c r="T27" s="10" t="inlineStr">
        <is>
          <t>co_aprobado_confirma_condiciones_y_sigue_desembolso</t>
        </is>
      </c>
      <c r="U27" s="10" t="inlineStr">
        <is>
          <t>pr_aprobado_confirma_condiciones_y_sigue_desembolso</t>
        </is>
      </c>
    </row>
    <row r="28">
      <c r="A28" s="8" t="n">
        <v>27</v>
      </c>
      <c r="B28" s="8" t="inlineStr">
        <is>
          <t>P3-4</t>
        </is>
      </c>
      <c r="C28" s="8" t="inlineStr">
        <is>
          <t>3. Avance con evidencia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Todos</t>
        </is>
      </c>
      <c r="G28" s="8" t="inlineStr">
        <is>
          <t>Comercial</t>
        </is>
      </c>
      <c r="H28" s="8" t="n">
        <v>1</v>
      </c>
      <c r="I28" s="8" t="n">
        <v>0</v>
      </c>
      <c r="J28" s="8" t="n">
        <v>0</v>
      </c>
      <c r="K28" s="8" t="n">
        <v>2</v>
      </c>
      <c r="L28" s="8" t="n">
        <v>0</v>
      </c>
      <c r="M28" s="8" t="n">
        <v>0</v>
      </c>
      <c r="N28" s="8" t="inlineStr">
        <is>
          <t>P4-3</t>
        </is>
      </c>
      <c r="O28" s="8" t="inlineStr">
        <is>
          <t>X</t>
        </is>
      </c>
      <c r="P28" s="8" t="inlineStr">
        <is>
          <t>PV-IN-08 / PV-IN-09</t>
        </is>
      </c>
      <c r="Q28" s="8" t="n">
        <v>0</v>
      </c>
      <c r="R28" s="10" t="inlineStr">
        <is>
          <t>wa_usa_motivo_correcto_al_descalificar</t>
        </is>
      </c>
      <c r="S28" s="10" t="inlineStr">
        <is>
          <t>ll_usa_motivo_correcto_al_descalificar</t>
        </is>
      </c>
      <c r="T28" s="10" t="inlineStr">
        <is>
          <t>co_usa_motivo_correcto_al_descalificar</t>
        </is>
      </c>
      <c r="U28" s="10" t="inlineStr">
        <is>
          <t>pr_usa_motivo_correcto_al_descalificar</t>
        </is>
      </c>
    </row>
    <row r="29">
      <c r="A29" s="8" t="n">
        <v>28</v>
      </c>
      <c r="B29" s="8" t="inlineStr">
        <is>
          <t>P3-5</t>
        </is>
      </c>
      <c r="C29" s="8" t="inlineStr">
        <is>
          <t>3. Avance con evidencia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Todos</t>
        </is>
      </c>
      <c r="G29" s="8" t="inlineStr">
        <is>
          <t>Comercial</t>
        </is>
      </c>
      <c r="H29" s="8" t="n">
        <v>1</v>
      </c>
      <c r="I29" s="8" t="n">
        <v>0</v>
      </c>
      <c r="J29" s="8" t="n">
        <v>0</v>
      </c>
      <c r="K29" s="8" t="n">
        <v>2</v>
      </c>
      <c r="L29" s="8" t="n">
        <v>0</v>
      </c>
      <c r="M29" s="8" t="n">
        <v>0</v>
      </c>
      <c r="N29" s="8" t="inlineStr">
        <is>
          <t>P4-3</t>
        </is>
      </c>
      <c r="O29" s="8" t="inlineStr">
        <is>
          <t>X</t>
        </is>
      </c>
      <c r="P29" s="8" t="inlineStr">
        <is>
          <t>PV-IN-05</t>
        </is>
      </c>
      <c r="Q29" s="8" t="n">
        <v>0</v>
      </c>
      <c r="R29" s="10" t="inlineStr">
        <is>
          <t>wa_postventa_informa_pagos_y_registra_ticket</t>
        </is>
      </c>
      <c r="S29" s="10" t="inlineStr">
        <is>
          <t>ll_postventa_informa_pagos_y_registra_ticket</t>
        </is>
      </c>
      <c r="T29" s="10" t="inlineStr">
        <is>
          <t>co_postventa_informa_pagos_y_registra_ticket</t>
        </is>
      </c>
      <c r="U29" s="10" t="inlineStr">
        <is>
          <t>pr_postventa_informa_pagos_y_registra_ticket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7. Gestión de cobranza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Todos</t>
        </is>
      </c>
      <c r="G30" s="25" t="inlineStr">
        <is>
          <t>Cobranza</t>
        </is>
      </c>
      <c r="H30" s="25" t="n">
        <v>0</v>
      </c>
      <c r="I30" s="25" t="n">
        <v>1</v>
      </c>
      <c r="J30" s="25" t="n">
        <v>1</v>
      </c>
      <c r="K30" s="25" t="n">
        <v>0</v>
      </c>
      <c r="L30" s="25" t="n">
        <v>10</v>
      </c>
      <c r="M30" s="25" t="n">
        <v>10</v>
      </c>
      <c r="N30" s="25" t="inlineStr"/>
      <c r="O30" s="25" t="inlineStr"/>
      <c r="P30" s="25" t="inlineStr">
        <is>
          <t>Política de cartera</t>
        </is>
      </c>
      <c r="Q30" s="25" t="n">
        <v>0</v>
      </c>
      <c r="R30" s="10" t="inlineStr">
        <is>
          <t>wa_informa_obligacion_correcta_y_vigente</t>
        </is>
      </c>
      <c r="S30" s="10" t="inlineStr">
        <is>
          <t>ll_informa_obligacion_correcta_y_vigente</t>
        </is>
      </c>
      <c r="T30" s="10" t="inlineStr">
        <is>
          <t>co_informa_obligacion_correcta_y_vigente</t>
        </is>
      </c>
      <c r="U30" s="10" t="inlineStr">
        <is>
          <t>pr_informa_obligacion_correcta_y_vigente</t>
        </is>
      </c>
    </row>
    <row r="31">
      <c r="A31" s="8" t="n">
        <v>30</v>
      </c>
      <c r="B31" s="8" t="inlineStr">
        <is>
          <t>CB-2</t>
        </is>
      </c>
      <c r="C31" s="8" t="inlineStr">
        <is>
          <t>7. Gestión de cobranza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Todos</t>
        </is>
      </c>
      <c r="G31" s="8" t="inlineStr">
        <is>
          <t>Cobranza</t>
        </is>
      </c>
      <c r="H31" s="8" t="n">
        <v>0</v>
      </c>
      <c r="I31" s="8" t="n">
        <v>1</v>
      </c>
      <c r="J31" s="8" t="n">
        <v>1</v>
      </c>
      <c r="K31" s="8" t="n">
        <v>0</v>
      </c>
      <c r="L31" s="8" t="n">
        <v>8</v>
      </c>
      <c r="M31" s="8" t="n">
        <v>8</v>
      </c>
      <c r="N31" s="8" t="inlineStr">
        <is>
          <t>CB-1</t>
        </is>
      </c>
      <c r="O31" s="8" t="inlineStr">
        <is>
          <t>X</t>
        </is>
      </c>
      <c r="P31" s="8" t="inlineStr">
        <is>
          <t>Política de cartera</t>
        </is>
      </c>
      <c r="Q31" s="8" t="n">
        <v>0</v>
      </c>
      <c r="R31" s="10" t="inlineStr">
        <is>
          <t>wa_ofrece_alternativas_de_pago_autorizadas</t>
        </is>
      </c>
      <c r="S31" s="10" t="inlineStr">
        <is>
          <t>ll_ofrece_alternativas_de_pago_autorizadas</t>
        </is>
      </c>
      <c r="T31" s="10" t="inlineStr">
        <is>
          <t>co_ofrece_alternativas_de_pago_autorizadas</t>
        </is>
      </c>
      <c r="U31" s="10" t="inlineStr">
        <is>
          <t>pr_ofrece_alternativas_de_pago_autorizadas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7. Gestión de cobranza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Todos</t>
        </is>
      </c>
      <c r="G32" s="25" t="inlineStr">
        <is>
          <t>Cobranza</t>
        </is>
      </c>
      <c r="H32" s="25" t="n">
        <v>0</v>
      </c>
      <c r="I32" s="25" t="n">
        <v>1</v>
      </c>
      <c r="J32" s="25" t="n">
        <v>1</v>
      </c>
      <c r="K32" s="25" t="n">
        <v>0</v>
      </c>
      <c r="L32" s="25" t="n">
        <v>6</v>
      </c>
      <c r="M32" s="25" t="n">
        <v>6</v>
      </c>
      <c r="N32" s="25" t="inlineStr"/>
      <c r="O32" s="25" t="inlineStr"/>
      <c r="P32" s="25" t="inlineStr">
        <is>
          <t>PV-PR-09 8</t>
        </is>
      </c>
      <c r="Q32" s="25" t="n">
        <v>0</v>
      </c>
      <c r="R32" s="10" t="inlineStr">
        <is>
          <t>wa_registra_resultado_cobranza_en_hubspot</t>
        </is>
      </c>
      <c r="S32" s="10" t="inlineStr">
        <is>
          <t>ll_registra_resultado_cobranza_en_hubspot</t>
        </is>
      </c>
      <c r="T32" s="10" t="inlineStr">
        <is>
          <t>co_registra_resultado_cobranza_en_hubspot</t>
        </is>
      </c>
      <c r="U32" s="10" t="inlineStr">
        <is>
          <t>pr_registra_resultado_cobranza_en_hubspot</t>
        </is>
      </c>
    </row>
    <row r="33">
      <c r="A33" s="8" t="n">
        <v>32</v>
      </c>
      <c r="B33" s="8" t="inlineStr">
        <is>
          <t>CB-4</t>
        </is>
      </c>
      <c r="C33" s="8" t="inlineStr">
        <is>
          <t>7. Gestión de cobranza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Todos</t>
        </is>
      </c>
      <c r="G33" s="8" t="inlineStr">
        <is>
          <t>Cobranza</t>
        </is>
      </c>
      <c r="H33" s="8" t="n">
        <v>0</v>
      </c>
      <c r="I33" s="8" t="n">
        <v>1</v>
      </c>
      <c r="J33" s="8" t="n">
        <v>1</v>
      </c>
      <c r="K33" s="8" t="n">
        <v>0</v>
      </c>
      <c r="L33" s="8" t="n">
        <v>4</v>
      </c>
      <c r="M33" s="8" t="n">
        <v>4</v>
      </c>
      <c r="N33" s="8" t="inlineStr">
        <is>
          <t>CB-3</t>
        </is>
      </c>
      <c r="O33" s="8" t="inlineStr">
        <is>
          <t>X</t>
        </is>
      </c>
      <c r="P33" s="8" t="inlineStr">
        <is>
          <t>PV-PR-09 6.1</t>
        </is>
      </c>
      <c r="Q33" s="8" t="n">
        <v>0</v>
      </c>
      <c r="R33" s="10" t="inlineStr">
        <is>
          <t>wa_deja_tarea_seguimiento_compromiso_pago</t>
        </is>
      </c>
      <c r="S33" s="10" t="inlineStr">
        <is>
          <t>ll_deja_tarea_seguimiento_compromiso_pago</t>
        </is>
      </c>
      <c r="T33" s="10" t="inlineStr">
        <is>
          <t>co_deja_tarea_seguimiento_compromiso_pago</t>
        </is>
      </c>
      <c r="U33" s="10" t="inlineStr">
        <is>
          <t>pr_deja_tarea_seguimiento_compromiso_pago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7. Gestión de cobranza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Todos</t>
        </is>
      </c>
      <c r="G34" s="25" t="inlineStr">
        <is>
          <t>Cobranza - consulta</t>
        </is>
      </c>
      <c r="H34" s="25" t="n">
        <v>0</v>
      </c>
      <c r="I34" s="25" t="n">
        <v>1</v>
      </c>
      <c r="J34" s="25" t="n">
        <v>0</v>
      </c>
      <c r="K34" s="25" t="n">
        <v>0</v>
      </c>
      <c r="L34" s="25" t="n">
        <v>6</v>
      </c>
      <c r="M34" s="25" t="n">
        <v>0</v>
      </c>
      <c r="N34" s="25" t="inlineStr"/>
      <c r="O34" s="25" t="inlineStr"/>
      <c r="P34" s="25" t="inlineStr">
        <is>
          <t>AS-040</t>
        </is>
      </c>
      <c r="Q34" s="25" t="n">
        <v>0</v>
      </c>
      <c r="R34" s="10" t="inlineStr">
        <is>
          <t>wa_consulta_responde_oportunamente</t>
        </is>
      </c>
      <c r="S34" s="10" t="inlineStr">
        <is>
          <t>ll_consulta_responde_oportunamente</t>
        </is>
      </c>
      <c r="T34" s="10" t="inlineStr">
        <is>
          <t>co_consulta_responde_oportunamente</t>
        </is>
      </c>
      <c r="U34" s="10" t="inlineStr">
        <is>
          <t>pr_consulta_responde_oportunamente</t>
        </is>
      </c>
    </row>
    <row r="35">
      <c r="A35" s="8" t="n">
        <v>34</v>
      </c>
      <c r="B35" s="8" t="inlineStr">
        <is>
          <t>CB-6</t>
        </is>
      </c>
      <c r="C35" s="8" t="inlineStr">
        <is>
          <t>7. Gestión de cobranza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Todos</t>
        </is>
      </c>
      <c r="G35" s="8" t="inlineStr">
        <is>
          <t>Cobranza - consulta</t>
        </is>
      </c>
      <c r="H35" s="8" t="n">
        <v>0</v>
      </c>
      <c r="I35" s="8" t="n">
        <v>1</v>
      </c>
      <c r="J35" s="8" t="n">
        <v>0</v>
      </c>
      <c r="K35" s="8" t="n">
        <v>0</v>
      </c>
      <c r="L35" s="8" t="n">
        <v>6</v>
      </c>
      <c r="M35" s="8" t="n">
        <v>0</v>
      </c>
      <c r="N35" s="8" t="inlineStr">
        <is>
          <t>CB-5</t>
        </is>
      </c>
      <c r="O35" s="8" t="inlineStr">
        <is>
          <t>X</t>
        </is>
      </c>
      <c r="P35" s="8" t="inlineStr">
        <is>
          <t>PV-FR-59 (valor)</t>
        </is>
      </c>
      <c r="Q35" s="8" t="n">
        <v>0</v>
      </c>
      <c r="R35" s="10" t="inlineStr">
        <is>
          <t>wa_consulta_confirma_entendimiento_y_recibo_digital</t>
        </is>
      </c>
      <c r="S35" s="10" t="inlineStr">
        <is>
          <t>ll_consulta_confirma_entendimiento_y_recibo_digital</t>
        </is>
      </c>
      <c r="T35" s="10" t="inlineStr">
        <is>
          <t>co_consulta_confirma_entendimiento_y_recibo_digital</t>
        </is>
      </c>
      <c r="U35" s="10" t="inlineStr">
        <is>
          <t>pr_consulta_confirma_entendimiento_y_recibo_digital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7. Gestión de cobranza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Todos</t>
        </is>
      </c>
      <c r="G36" s="25" t="inlineStr">
        <is>
          <t>Cobranza - campaña</t>
        </is>
      </c>
      <c r="H36" s="25" t="n">
        <v>0</v>
      </c>
      <c r="I36" s="25" t="n">
        <v>0</v>
      </c>
      <c r="J36" s="25" t="n">
        <v>1</v>
      </c>
      <c r="K36" s="25" t="n">
        <v>0</v>
      </c>
      <c r="L36" s="25" t="n">
        <v>0</v>
      </c>
      <c r="M36" s="25" t="n">
        <v>6</v>
      </c>
      <c r="N36" s="25" t="inlineStr"/>
      <c r="O36" s="25" t="inlineStr"/>
      <c r="P36" s="25" t="inlineStr">
        <is>
          <t>Workflow de cobranza WhatsApp</t>
        </is>
      </c>
      <c r="Q36" s="25" t="n">
        <v>0</v>
      </c>
      <c r="R36" s="10" t="inlineStr">
        <is>
          <t>wa_campana_responde_replica_oportunamente</t>
        </is>
      </c>
      <c r="S36" s="10" t="inlineStr">
        <is>
          <t>ll_campana_responde_replica_oportunamente</t>
        </is>
      </c>
      <c r="T36" s="10" t="inlineStr">
        <is>
          <t>co_campana_responde_replica_oportunamente</t>
        </is>
      </c>
      <c r="U36" s="10" t="inlineStr">
        <is>
          <t>pr_campana_responde_replica_oportunamente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7. Gestión de cobranza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Todos</t>
        </is>
      </c>
      <c r="G37" s="25" t="inlineStr">
        <is>
          <t>Cobranza - campaña</t>
        </is>
      </c>
      <c r="H37" s="25" t="n">
        <v>0</v>
      </c>
      <c r="I37" s="25" t="n">
        <v>0</v>
      </c>
      <c r="J37" s="25" t="n">
        <v>1</v>
      </c>
      <c r="K37" s="25" t="n">
        <v>0</v>
      </c>
      <c r="L37" s="25" t="n">
        <v>0</v>
      </c>
      <c r="M37" s="25" t="n">
        <v>6</v>
      </c>
      <c r="N37" s="25" t="inlineStr"/>
      <c r="O37" s="25" t="inlineStr"/>
      <c r="P37" s="25" t="inlineStr">
        <is>
          <t>Ley 2300 de 2023</t>
        </is>
      </c>
      <c r="Q37" s="25" t="n">
        <v>0</v>
      </c>
      <c r="R37" s="10" t="inlineStr">
        <is>
          <t>wa_campana_retoma_motivo_y_se_identifica</t>
        </is>
      </c>
      <c r="S37" s="10" t="inlineStr">
        <is>
          <t>ll_campana_retoma_motivo_y_se_identifica</t>
        </is>
      </c>
      <c r="T37" s="10" t="inlineStr">
        <is>
          <t>co_campana_retoma_motivo_y_se_identifica</t>
        </is>
      </c>
      <c r="U37" s="10" t="inlineStr">
        <is>
          <t>pr_campana_retoma_motivo_y_se_identifica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4. Registro y seguimiento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Todos</t>
        </is>
      </c>
      <c r="H38" s="25" t="n">
        <v>1</v>
      </c>
      <c r="I38" s="25" t="n">
        <v>1</v>
      </c>
      <c r="J38" s="25" t="n">
        <v>1</v>
      </c>
      <c r="K38" s="25" t="n">
        <v>6</v>
      </c>
      <c r="L38" s="25" t="n">
        <v>6</v>
      </c>
      <c r="M38" s="25" t="n">
        <v>6</v>
      </c>
      <c r="N38" s="25" t="inlineStr"/>
      <c r="O38" s="25" t="inlineStr"/>
      <c r="P38" s="25" t="inlineStr">
        <is>
          <t>PV-IN-10</t>
        </is>
      </c>
      <c r="Q38" s="25" t="n">
        <v>0</v>
      </c>
      <c r="R38" s="10" t="inlineStr">
        <is>
          <t>wa_registra_contacto_como_actividad_correcta</t>
        </is>
      </c>
      <c r="S38" s="10" t="inlineStr">
        <is>
          <t>ll_registra_contacto_como_actividad_correcta</t>
        </is>
      </c>
      <c r="T38" s="10" t="inlineStr">
        <is>
          <t>co_registra_contacto_como_actividad_correcta</t>
        </is>
      </c>
      <c r="U38" s="10" t="inlineStr">
        <is>
          <t>pr_registra_contacto_como_actividad_correcta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4. Registro y seguimiento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Todos</t>
        </is>
      </c>
      <c r="H39" s="25" t="n">
        <v>1</v>
      </c>
      <c r="I39" s="25" t="n">
        <v>1</v>
      </c>
      <c r="J39" s="25" t="n">
        <v>1</v>
      </c>
      <c r="K39" s="25" t="n">
        <v>5</v>
      </c>
      <c r="L39" s="25" t="n">
        <v>5</v>
      </c>
      <c r="M39" s="25" t="n">
        <v>5</v>
      </c>
      <c r="N39" s="25" t="inlineStr"/>
      <c r="O39" s="25" t="inlineStr"/>
      <c r="P39" s="25" t="inlineStr">
        <is>
          <t>PV-IN-08</t>
        </is>
      </c>
      <c r="Q39" s="25" t="n">
        <v>0</v>
      </c>
      <c r="R39" s="10" t="inlineStr">
        <is>
          <t>wa_actividad_en_objeto_correcto_y_asociada</t>
        </is>
      </c>
      <c r="S39" s="10" t="inlineStr">
        <is>
          <t>ll_actividad_en_objeto_correcto_y_asociada</t>
        </is>
      </c>
      <c r="T39" s="10" t="inlineStr">
        <is>
          <t>co_actividad_en_objeto_correcto_y_asociada</t>
        </is>
      </c>
      <c r="U39" s="10" t="inlineStr">
        <is>
          <t>pr_actividad_en_objeto_correcto_y_asociada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4. Registro y seguimiento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Todos</t>
        </is>
      </c>
      <c r="H40" s="25" t="n">
        <v>1</v>
      </c>
      <c r="I40" s="25" t="n">
        <v>1</v>
      </c>
      <c r="J40" s="25" t="n">
        <v>1</v>
      </c>
      <c r="K40" s="25" t="n">
        <v>9</v>
      </c>
      <c r="L40" s="25" t="n">
        <v>9</v>
      </c>
      <c r="M40" s="25" t="n">
        <v>9</v>
      </c>
      <c r="N40" s="25" t="inlineStr"/>
      <c r="O40" s="25" t="inlineStr"/>
      <c r="P40" s="25" t="inlineStr">
        <is>
          <t>PV-PR-09 8</t>
        </is>
      </c>
      <c r="Q40" s="25" t="n">
        <v>0</v>
      </c>
      <c r="R40" s="10" t="inlineStr">
        <is>
          <t>wa_notas_dicen_que_paso_que_falta_quien_cuando</t>
        </is>
      </c>
      <c r="S40" s="10" t="inlineStr">
        <is>
          <t>ll_notas_dicen_que_paso_que_falta_quien_cuando</t>
        </is>
      </c>
      <c r="T40" s="10" t="inlineStr">
        <is>
          <t>co_notas_dicen_que_paso_que_falta_quien_cuando</t>
        </is>
      </c>
      <c r="U40" s="10" t="inlineStr">
        <is>
          <t>pr_notas_dicen_que_paso_que_falta_quien_cuando</t>
        </is>
      </c>
    </row>
    <row r="41">
      <c r="A41" s="8" t="n">
        <v>40</v>
      </c>
      <c r="B41" s="8" t="inlineStr">
        <is>
          <t>P4-4</t>
        </is>
      </c>
      <c r="C41" s="8" t="inlineStr">
        <is>
          <t>4. Registro y seguimiento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Todos</t>
        </is>
      </c>
      <c r="H41" s="8" t="n">
        <v>1</v>
      </c>
      <c r="I41" s="8" t="n">
        <v>1</v>
      </c>
      <c r="J41" s="8" t="n">
        <v>1</v>
      </c>
      <c r="K41" s="8" t="n">
        <v>5</v>
      </c>
      <c r="L41" s="8" t="n">
        <v>5</v>
      </c>
      <c r="M41" s="8" t="n">
        <v>5</v>
      </c>
      <c r="N41" s="8" t="inlineStr">
        <is>
          <t>P4-3</t>
        </is>
      </c>
      <c r="O41" s="8" t="inlineStr">
        <is>
          <t>X</t>
        </is>
      </c>
      <c r="P41" s="8" t="inlineStr">
        <is>
          <t>AS-026</t>
        </is>
      </c>
      <c r="Q41" s="8" t="n">
        <v>0</v>
      </c>
      <c r="R41" s="10" t="inlineStr">
        <is>
          <t>wa_no_pide_de_nuevo_y_resume_al_transferir</t>
        </is>
      </c>
      <c r="S41" s="10" t="inlineStr">
        <is>
          <t>ll_no_pide_de_nuevo_y_resume_al_transferir</t>
        </is>
      </c>
      <c r="T41" s="10" t="inlineStr">
        <is>
          <t>co_no_pide_de_nuevo_y_resume_al_transferir</t>
        </is>
      </c>
      <c r="U41" s="10" t="inlineStr">
        <is>
          <t>pr_no_pide_de_nuevo_y_resume_al_transferir</t>
        </is>
      </c>
    </row>
    <row r="42">
      <c r="A42" s="8" t="n">
        <v>41</v>
      </c>
      <c r="B42" s="8" t="inlineStr">
        <is>
          <t>P4-5</t>
        </is>
      </c>
      <c r="C42" s="8" t="inlineStr">
        <is>
          <t>4. Registro y seguimiento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Todos</t>
        </is>
      </c>
      <c r="H42" s="8" t="n">
        <v>1</v>
      </c>
      <c r="I42" s="8" t="n">
        <v>1</v>
      </c>
      <c r="J42" s="8" t="n">
        <v>1</v>
      </c>
      <c r="K42" s="8" t="n">
        <v>3</v>
      </c>
      <c r="L42" s="8" t="n">
        <v>3</v>
      </c>
      <c r="M42" s="8" t="n">
        <v>3</v>
      </c>
      <c r="N42" s="8" t="inlineStr">
        <is>
          <t>P4-2</t>
        </is>
      </c>
      <c r="O42" s="8" t="inlineStr">
        <is>
          <t>X</t>
        </is>
      </c>
      <c r="P42" s="8" t="inlineStr">
        <is>
          <t>PV-FR-59</t>
        </is>
      </c>
      <c r="Q42" s="8" t="n">
        <v>0</v>
      </c>
      <c r="R42" s="10" t="inlineStr">
        <is>
          <t>wa_registra_datos_correctos_en_hubspot</t>
        </is>
      </c>
      <c r="S42" s="10" t="inlineStr">
        <is>
          <t>ll_registra_datos_correctos_en_hubspot</t>
        </is>
      </c>
      <c r="T42" s="10" t="inlineStr">
        <is>
          <t>co_registra_datos_correctos_en_hubspot</t>
        </is>
      </c>
      <c r="U42" s="10" t="inlineStr">
        <is>
          <t>pr_registra_datos_correctos_en_hubspot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5. Experiencia del asociado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Todos</t>
        </is>
      </c>
      <c r="H43" s="25" t="n">
        <v>1</v>
      </c>
      <c r="I43" s="25" t="n">
        <v>1</v>
      </c>
      <c r="J43" s="25" t="n">
        <v>1</v>
      </c>
      <c r="K43" s="25" t="n">
        <v>8</v>
      </c>
      <c r="L43" s="25" t="n">
        <v>8</v>
      </c>
      <c r="M43" s="25" t="n">
        <v>8</v>
      </c>
      <c r="N43" s="25" t="inlineStr"/>
      <c r="O43" s="25" t="inlineStr"/>
      <c r="P43" s="25" t="inlineStr">
        <is>
          <t>AS-026</t>
        </is>
      </c>
      <c r="Q43" s="25" t="n">
        <v>0</v>
      </c>
      <c r="R43" s="10" t="inlineStr">
        <is>
          <t>wa_cordial_claro_transmite_confianza_empatia</t>
        </is>
      </c>
      <c r="S43" s="10" t="inlineStr">
        <is>
          <t>ll_cordial_claro_transmite_confianza_empatia</t>
        </is>
      </c>
      <c r="T43" s="10" t="inlineStr">
        <is>
          <t>co_cordial_claro_transmite_confianza_empatia</t>
        </is>
      </c>
      <c r="U43" s="10" t="inlineStr">
        <is>
          <t>pr_cordial_claro_transmite_confianza_empatia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5. Experiencia del asociado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Todos</t>
        </is>
      </c>
      <c r="H44" s="25" t="n">
        <v>1</v>
      </c>
      <c r="I44" s="25" t="n">
        <v>1</v>
      </c>
      <c r="J44" s="25" t="n">
        <v>1</v>
      </c>
      <c r="K44" s="25" t="n">
        <v>6</v>
      </c>
      <c r="L44" s="25" t="n">
        <v>6</v>
      </c>
      <c r="M44" s="25" t="n">
        <v>6</v>
      </c>
      <c r="N44" s="25" t="inlineStr"/>
      <c r="O44" s="25" t="inlineStr"/>
      <c r="P44" s="25" t="inlineStr">
        <is>
          <t>AS-026</t>
        </is>
      </c>
      <c r="Q44" s="25" t="n">
        <v>0</v>
      </c>
      <c r="R44" s="10" t="inlineStr">
        <is>
          <t>wa_escucha_sin_interrumpir_no_discute</t>
        </is>
      </c>
      <c r="S44" s="10" t="inlineStr">
        <is>
          <t>ll_escucha_sin_interrumpir_no_discute</t>
        </is>
      </c>
      <c r="T44" s="10" t="inlineStr">
        <is>
          <t>co_escucha_sin_interrumpir_no_discute</t>
        </is>
      </c>
      <c r="U44" s="10" t="inlineStr">
        <is>
          <t>pr_escucha_sin_interrumpir_no_discute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5. Experiencia del asociado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Todos</t>
        </is>
      </c>
      <c r="H45" s="25" t="n">
        <v>1</v>
      </c>
      <c r="I45" s="25" t="n">
        <v>1</v>
      </c>
      <c r="J45" s="25" t="n">
        <v>1</v>
      </c>
      <c r="K45" s="25" t="n">
        <v>9</v>
      </c>
      <c r="L45" s="25" t="n">
        <v>9</v>
      </c>
      <c r="M45" s="25" t="n">
        <v>9</v>
      </c>
      <c r="N45" s="25" t="inlineStr"/>
      <c r="O45" s="25" t="inlineStr"/>
      <c r="P45" s="25" t="inlineStr">
        <is>
          <t>AS-026</t>
        </is>
      </c>
      <c r="Q45" s="25" t="n">
        <v>0</v>
      </c>
      <c r="R45" s="10" t="inlineStr">
        <is>
          <t>wa_cierra_con_compromiso_y_proximo_paso</t>
        </is>
      </c>
      <c r="S45" s="10" t="inlineStr">
        <is>
          <t>ll_cierra_con_compromiso_y_proximo_paso</t>
        </is>
      </c>
      <c r="T45" s="10" t="inlineStr">
        <is>
          <t>co_cierra_con_compromiso_y_proximo_paso</t>
        </is>
      </c>
      <c r="U45" s="10" t="inlineStr">
        <is>
          <t>pr_cierra_con_compromiso_y_proximo_paso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5. Experiencia del asociado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Todos</t>
        </is>
      </c>
      <c r="H46" s="25" t="n">
        <v>1</v>
      </c>
      <c r="I46" s="25" t="n">
        <v>1</v>
      </c>
      <c r="J46" s="25" t="n">
        <v>1</v>
      </c>
      <c r="K46" s="25" t="n">
        <v>5</v>
      </c>
      <c r="L46" s="25" t="n">
        <v>5</v>
      </c>
      <c r="M46" s="25" t="n">
        <v>5</v>
      </c>
      <c r="N46" s="25" t="inlineStr"/>
      <c r="O46" s="25" t="inlineStr"/>
      <c r="P46" s="25" t="inlineStr">
        <is>
          <t>AS-026</t>
        </is>
      </c>
      <c r="Q46" s="25" t="n">
        <v>0</v>
      </c>
      <c r="R46" s="10" t="inlineStr">
        <is>
          <t>wa_usa_bien_el_tiempo</t>
        </is>
      </c>
      <c r="S46" s="10" t="inlineStr">
        <is>
          <t>ll_usa_bien_el_tiempo</t>
        </is>
      </c>
      <c r="T46" s="10" t="inlineStr">
        <is>
          <t>co_usa_bien_el_tiempo</t>
        </is>
      </c>
      <c r="U46" s="10" t="inlineStr">
        <is>
          <t>pr_usa_bien_el_tiempo</t>
        </is>
      </c>
    </row>
    <row r="47">
      <c r="A47" s="25" t="n">
        <v>46</v>
      </c>
      <c r="B47" s="25" t="inlineStr">
        <is>
          <t>WA-1</t>
        </is>
      </c>
      <c r="C47" s="25" t="inlineStr">
        <is>
          <t>5. Canal WhatsApp</t>
        </is>
      </c>
      <c r="D47" s="25" t="inlineStr">
        <is>
          <t>Adapta las plantillas al caso (no las envía sin ajustar) y escribe con buena redacción y ortografía.</t>
        </is>
      </c>
      <c r="E47" s="25" t="inlineStr">
        <is>
          <t>No crítico</t>
        </is>
      </c>
      <c r="F47" s="25" t="inlineStr">
        <is>
          <t>WhatsApp</t>
        </is>
      </c>
      <c r="G47" s="25" t="inlineStr">
        <is>
          <t>Todos</t>
        </is>
      </c>
      <c r="H47" s="25" t="n">
        <v>1</v>
      </c>
      <c r="I47" s="25" t="n">
        <v>1</v>
      </c>
      <c r="J47" s="25" t="n">
        <v>1</v>
      </c>
      <c r="K47" s="25" t="n">
        <v>1</v>
      </c>
      <c r="L47" s="25" t="n">
        <v>1</v>
      </c>
      <c r="M47" s="25" t="n">
        <v>1</v>
      </c>
      <c r="N47" s="25" t="inlineStr"/>
      <c r="O47" s="25" t="inlineStr"/>
      <c r="P47" s="25" t="inlineStr">
        <is>
          <t>AS-040</t>
        </is>
      </c>
      <c r="Q47" s="25" t="n">
        <v>0</v>
      </c>
      <c r="R47" s="10" t="inlineStr">
        <is>
          <t>wa_adapta_plantillas_y_buena_redaccion</t>
        </is>
      </c>
    </row>
    <row r="48">
      <c r="A48" s="25" t="n">
        <v>47</v>
      </c>
      <c r="B48" s="25" t="inlineStr">
        <is>
          <t>WA-3</t>
        </is>
      </c>
      <c r="C48" s="25" t="inlineStr">
        <is>
          <t>5. Canal WhatsApp</t>
        </is>
      </c>
      <c r="D48" s="25" t="inlineStr">
        <is>
          <t>Crea el contacto en el CRM si no existe y asocia la cuenta del asociado (PV-IN-02).</t>
        </is>
      </c>
      <c r="E48" s="25" t="inlineStr">
        <is>
          <t>No crítico</t>
        </is>
      </c>
      <c r="F48" s="25" t="inlineStr">
        <is>
          <t>WhatsApp</t>
        </is>
      </c>
      <c r="G48" s="25" t="inlineStr">
        <is>
          <t>Todos</t>
        </is>
      </c>
      <c r="H48" s="25" t="n">
        <v>1</v>
      </c>
      <c r="I48" s="25" t="n">
        <v>1</v>
      </c>
      <c r="J48" s="25" t="n">
        <v>1</v>
      </c>
      <c r="K48" s="25" t="n">
        <v>1</v>
      </c>
      <c r="L48" s="25" t="n">
        <v>1</v>
      </c>
      <c r="M48" s="25" t="n">
        <v>1</v>
      </c>
      <c r="N48" s="25" t="inlineStr"/>
      <c r="O48" s="25" t="inlineStr"/>
      <c r="P48" s="25" t="inlineStr">
        <is>
          <t>Proceso WhatsApp sedes comerciales 9-11</t>
        </is>
      </c>
      <c r="Q48" s="25" t="n">
        <v>0</v>
      </c>
      <c r="R48" s="10" t="inlineStr">
        <is>
          <t>wa_crea_o_asocia_contacto_en_crm</t>
        </is>
      </c>
    </row>
    <row r="49">
      <c r="A49" s="8" t="n">
        <v>48</v>
      </c>
      <c r="B49" s="8" t="inlineStr">
        <is>
          <t>WA-4</t>
        </is>
      </c>
      <c r="C49" s="8" t="inlineStr">
        <is>
          <t>5. Canal WhatsApp</t>
        </is>
      </c>
      <c r="D49" s="8" t="inlineStr">
        <is>
          <t>Solicita los documentos de cada línea según el perfilamiento realizado.</t>
        </is>
      </c>
      <c r="E49" s="8" t="inlineStr">
        <is>
          <t>No crítico</t>
        </is>
      </c>
      <c r="F49" s="8" t="inlineStr">
        <is>
          <t>WhatsApp</t>
        </is>
      </c>
      <c r="G49" s="8" t="inlineStr">
        <is>
          <t>Todos</t>
        </is>
      </c>
      <c r="H49" s="8" t="n">
        <v>1</v>
      </c>
      <c r="I49" s="8" t="n">
        <v>1</v>
      </c>
      <c r="J49" s="8" t="n">
        <v>1</v>
      </c>
      <c r="K49" s="8" t="n">
        <v>1</v>
      </c>
      <c r="L49" s="8" t="n">
        <v>1</v>
      </c>
      <c r="M49" s="8" t="n">
        <v>1</v>
      </c>
      <c r="N49" s="8" t="inlineStr">
        <is>
          <t>WA-1</t>
        </is>
      </c>
      <c r="O49" s="8" t="inlineStr">
        <is>
          <t>X</t>
        </is>
      </c>
      <c r="P49" s="8" t="inlineStr">
        <is>
          <t>Proceso WhatsApp sedes comerciales 15.4</t>
        </is>
      </c>
      <c r="Q49" s="8" t="n">
        <v>0</v>
      </c>
      <c r="R49" s="10" t="inlineStr">
        <is>
          <t>wa_solicita_documentos_segun_perfilamiento</t>
        </is>
      </c>
    </row>
    <row r="50">
      <c r="A50" s="25" t="n">
        <v>49</v>
      </c>
      <c r="B50" s="25" t="inlineStr">
        <is>
          <t>WA-5</t>
        </is>
      </c>
      <c r="C50" s="25" t="inlineStr">
        <is>
          <t>5. Canal WhatsApp</t>
        </is>
      </c>
      <c r="D50" s="25" t="inlineStr">
        <is>
          <t>Envía la encuesta de satisfacción y cierra la conversación.</t>
        </is>
      </c>
      <c r="E50" s="25" t="inlineStr">
        <is>
          <t>No crítico</t>
        </is>
      </c>
      <c r="F50" s="25" t="inlineStr">
        <is>
          <t>WhatsApp</t>
        </is>
      </c>
      <c r="G50" s="25" t="inlineStr">
        <is>
          <t>Todos</t>
        </is>
      </c>
      <c r="H50" s="25" t="n">
        <v>1</v>
      </c>
      <c r="I50" s="25" t="n">
        <v>1</v>
      </c>
      <c r="J50" s="25" t="n">
        <v>1</v>
      </c>
      <c r="K50" s="25" t="n">
        <v>1</v>
      </c>
      <c r="L50" s="25" t="n">
        <v>1</v>
      </c>
      <c r="M50" s="25" t="n">
        <v>1</v>
      </c>
      <c r="N50" s="25" t="inlineStr"/>
      <c r="O50" s="25" t="inlineStr"/>
      <c r="P50" s="25" t="inlineStr">
        <is>
          <t>Proceso WhatsApp sedes comerciales 15.6 y 16</t>
        </is>
      </c>
      <c r="Q50" s="25" t="n">
        <v>0</v>
      </c>
      <c r="R50" s="10" t="inlineStr">
        <is>
          <t>wa_envia_encuesta_y_cierra_conversacion</t>
        </is>
      </c>
    </row>
    <row r="51">
      <c r="A51" s="25" t="n">
        <v>50</v>
      </c>
      <c r="B51" s="25" t="inlineStr">
        <is>
          <t>LL-1</t>
        </is>
      </c>
      <c r="C51" s="25" t="inlineStr">
        <is>
          <t>5. Canal Llamada</t>
        </is>
      </c>
      <c r="D51" s="25" t="inlineStr">
        <is>
          <t>Se presenta al abrir la llamada.</t>
        </is>
      </c>
      <c r="E51" s="25" t="inlineStr">
        <is>
          <t>No crítico</t>
        </is>
      </c>
      <c r="F51" s="25" t="inlineStr">
        <is>
          <t>Llamada</t>
        </is>
      </c>
      <c r="G51" s="25" t="inlineStr">
        <is>
          <t>Todos</t>
        </is>
      </c>
      <c r="H51" s="25" t="n">
        <v>1</v>
      </c>
      <c r="I51" s="25" t="n">
        <v>1</v>
      </c>
      <c r="J51" s="25" t="n">
        <v>1</v>
      </c>
      <c r="K51" s="25" t="n">
        <v>1</v>
      </c>
      <c r="L51" s="25" t="n">
        <v>1</v>
      </c>
      <c r="M51" s="25" t="n">
        <v>1</v>
      </c>
      <c r="N51" s="25" t="inlineStr"/>
      <c r="O51" s="25" t="inlineStr"/>
      <c r="P51" s="25" t="inlineStr">
        <is>
          <t>AS-026</t>
        </is>
      </c>
      <c r="Q51" s="25" t="n">
        <v>0</v>
      </c>
      <c r="S51" s="10" t="inlineStr">
        <is>
          <t>ll_se_presenta_al_abrir</t>
        </is>
      </c>
    </row>
    <row r="52">
      <c r="A52" s="8" t="n">
        <v>51</v>
      </c>
      <c r="B52" s="8" t="inlineStr">
        <is>
          <t>LL-2</t>
        </is>
      </c>
      <c r="C52" s="8" t="inlineStr">
        <is>
          <t>5. Canal Llamada</t>
        </is>
      </c>
      <c r="D52" s="8" t="inlineStr">
        <is>
          <t>Maneja bien la espera (informa y retoma).</t>
        </is>
      </c>
      <c r="E52" s="8" t="inlineStr">
        <is>
          <t>No crítico</t>
        </is>
      </c>
      <c r="F52" s="8" t="inlineStr">
        <is>
          <t>Llamada</t>
        </is>
      </c>
      <c r="G52" s="8" t="inlineStr">
        <is>
          <t>Todos</t>
        </is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inlineStr">
        <is>
          <t>LL-3</t>
        </is>
      </c>
      <c r="O52" s="8" t="inlineStr">
        <is>
          <t>X</t>
        </is>
      </c>
      <c r="P52" s="8" t="inlineStr">
        <is>
          <t>AS-026</t>
        </is>
      </c>
      <c r="Q52" s="8" t="n">
        <v>0</v>
      </c>
      <c r="S52" s="10" t="inlineStr">
        <is>
          <t>ll_maneja_bien_la_espera</t>
        </is>
      </c>
    </row>
    <row r="53">
      <c r="A53" s="25" t="n">
        <v>52</v>
      </c>
      <c r="B53" s="25" t="inlineStr">
        <is>
          <t>LL-3</t>
        </is>
      </c>
      <c r="C53" s="25" t="inlineStr">
        <is>
          <t>5. Canal Llamada</t>
        </is>
      </c>
      <c r="D53" s="25" t="inlineStr">
        <is>
          <t>Resume los acuerdos al cerrar.</t>
        </is>
      </c>
      <c r="E53" s="25" t="inlineStr">
        <is>
          <t>No crítico</t>
        </is>
      </c>
      <c r="F53" s="25" t="inlineStr">
        <is>
          <t>Llamada</t>
        </is>
      </c>
      <c r="G53" s="25" t="inlineStr">
        <is>
          <t>Todos</t>
        </is>
      </c>
      <c r="H53" s="25" t="n">
        <v>1</v>
      </c>
      <c r="I53" s="25" t="n">
        <v>1</v>
      </c>
      <c r="J53" s="25" t="n">
        <v>1</v>
      </c>
      <c r="K53" s="25" t="n">
        <v>2</v>
      </c>
      <c r="L53" s="25" t="n">
        <v>2</v>
      </c>
      <c r="M53" s="25" t="n">
        <v>2</v>
      </c>
      <c r="N53" s="25" t="inlineStr"/>
      <c r="O53" s="25" t="inlineStr"/>
      <c r="P53" s="25" t="inlineStr">
        <is>
          <t>AS-026</t>
        </is>
      </c>
      <c r="Q53" s="25" t="n">
        <v>0</v>
      </c>
      <c r="S53" s="10" t="inlineStr">
        <is>
          <t>ll_resume_acuerdos_al_cerrar</t>
        </is>
      </c>
    </row>
    <row r="54">
      <c r="A54" s="25" t="n">
        <v>53</v>
      </c>
      <c r="B54" s="25" t="inlineStr">
        <is>
          <t>CO-1</t>
        </is>
      </c>
      <c r="C54" s="25" t="inlineStr">
        <is>
          <t>5. Canal Correo</t>
        </is>
      </c>
      <c r="D54" s="25" t="inlineStr">
        <is>
          <t>Usa un asunto claro.</t>
        </is>
      </c>
      <c r="E54" s="25" t="inlineStr">
        <is>
          <t>No crítico</t>
        </is>
      </c>
      <c r="F54" s="25" t="inlineStr">
        <is>
          <t>Correo</t>
        </is>
      </c>
      <c r="G54" s="25" t="inlineStr">
        <is>
          <t>Todos</t>
        </is>
      </c>
      <c r="H54" s="25" t="n">
        <v>1</v>
      </c>
      <c r="I54" s="25" t="n">
        <v>1</v>
      </c>
      <c r="J54" s="25" t="n">
        <v>1</v>
      </c>
      <c r="K54" s="25" t="n">
        <v>1</v>
      </c>
      <c r="L54" s="25" t="n">
        <v>1</v>
      </c>
      <c r="M54" s="25" t="n">
        <v>1</v>
      </c>
      <c r="N54" s="25" t="inlineStr"/>
      <c r="O54" s="25" t="inlineStr"/>
      <c r="P54" s="25" t="inlineStr">
        <is>
          <t>AS-039</t>
        </is>
      </c>
      <c r="Q54" s="25" t="n">
        <v>0</v>
      </c>
      <c r="T54" s="10" t="inlineStr">
        <is>
          <t>co_usa_asunto_claro</t>
        </is>
      </c>
    </row>
    <row r="55">
      <c r="A55" s="25" t="n">
        <v>54</v>
      </c>
      <c r="B55" s="25" t="inlineStr">
        <is>
          <t>CO-2</t>
        </is>
      </c>
      <c r="C55" s="25" t="inlineStr">
        <is>
          <t>5. Canal Correo</t>
        </is>
      </c>
      <c r="D55" s="25" t="inlineStr">
        <is>
          <t>Incluye saludo y firma actualizada.</t>
        </is>
      </c>
      <c r="E55" s="25" t="inlineStr">
        <is>
          <t>No crítico</t>
        </is>
      </c>
      <c r="F55" s="25" t="inlineStr">
        <is>
          <t>Correo</t>
        </is>
      </c>
      <c r="G55" s="25" t="inlineStr">
        <is>
          <t>Todos</t>
        </is>
      </c>
      <c r="H55" s="25" t="n">
        <v>1</v>
      </c>
      <c r="I55" s="25" t="n">
        <v>1</v>
      </c>
      <c r="J55" s="25" t="n">
        <v>1</v>
      </c>
      <c r="K55" s="25" t="n">
        <v>1</v>
      </c>
      <c r="L55" s="25" t="n">
        <v>1</v>
      </c>
      <c r="M55" s="25" t="n">
        <v>1</v>
      </c>
      <c r="N55" s="25" t="inlineStr"/>
      <c r="O55" s="25" t="inlineStr"/>
      <c r="P55" s="25" t="inlineStr">
        <is>
          <t>AS-039</t>
        </is>
      </c>
      <c r="Q55" s="25" t="n">
        <v>0</v>
      </c>
      <c r="T55" s="10" t="inlineStr">
        <is>
          <t>co_incluye_saludo_y_firma_actualizada</t>
        </is>
      </c>
    </row>
    <row r="56">
      <c r="A56" s="25" t="n">
        <v>55</v>
      </c>
      <c r="B56" s="25" t="inlineStr">
        <is>
          <t>CO-3</t>
        </is>
      </c>
      <c r="C56" s="25" t="inlineStr">
        <is>
          <t>5. Canal Correo</t>
        </is>
      </c>
      <c r="D56" s="25" t="inlineStr">
        <is>
          <t>Dice qué solicita y para cuándo.</t>
        </is>
      </c>
      <c r="E56" s="25" t="inlineStr">
        <is>
          <t>No crítico</t>
        </is>
      </c>
      <c r="F56" s="25" t="inlineStr">
        <is>
          <t>Correo</t>
        </is>
      </c>
      <c r="G56" s="25" t="inlineStr">
        <is>
          <t>Todos</t>
        </is>
      </c>
      <c r="H56" s="25" t="n">
        <v>1</v>
      </c>
      <c r="I56" s="25" t="n">
        <v>1</v>
      </c>
      <c r="J56" s="25" t="n">
        <v>1</v>
      </c>
      <c r="K56" s="25" t="n">
        <v>2</v>
      </c>
      <c r="L56" s="25" t="n">
        <v>2</v>
      </c>
      <c r="M56" s="25" t="n">
        <v>2</v>
      </c>
      <c r="N56" s="25" t="inlineStr"/>
      <c r="O56" s="25" t="inlineStr"/>
      <c r="P56" s="25" t="inlineStr">
        <is>
          <t>AS-039</t>
        </is>
      </c>
      <c r="Q56" s="25" t="n">
        <v>0</v>
      </c>
      <c r="T56" s="10" t="inlineStr">
        <is>
          <t>co_dice_que_solicita_y_para_cuando</t>
        </is>
      </c>
    </row>
    <row r="57">
      <c r="A57" s="8" t="n">
        <v>56</v>
      </c>
      <c r="B57" s="8" t="inlineStr">
        <is>
          <t>PR-1</t>
        </is>
      </c>
      <c r="C57" s="8" t="inlineStr">
        <is>
          <t>5. Canal Presencial</t>
        </is>
      </c>
      <c r="D57" s="8" t="inlineStr">
        <is>
          <t>Orienta al asociado en la sede.</t>
        </is>
      </c>
      <c r="E57" s="8" t="inlineStr">
        <is>
          <t>No crítico</t>
        </is>
      </c>
      <c r="F57" s="8" t="inlineStr">
        <is>
          <t>Presencial</t>
        </is>
      </c>
      <c r="G57" s="8" t="inlineStr">
        <is>
          <t>Todos</t>
        </is>
      </c>
      <c r="H57" s="8" t="n">
        <v>1</v>
      </c>
      <c r="I57" s="8" t="n">
        <v>1</v>
      </c>
      <c r="J57" s="8" t="n">
        <v>1</v>
      </c>
      <c r="K57" s="8" t="n">
        <v>1</v>
      </c>
      <c r="L57" s="8" t="n">
        <v>1</v>
      </c>
      <c r="M57" s="8" t="n">
        <v>1</v>
      </c>
      <c r="N57" s="8" t="inlineStr">
        <is>
          <t>PR-3</t>
        </is>
      </c>
      <c r="O57" s="8" t="inlineStr">
        <is>
          <t>X</t>
        </is>
      </c>
      <c r="P57" s="8" t="inlineStr">
        <is>
          <t>AS-026</t>
        </is>
      </c>
      <c r="Q57" s="8" t="n">
        <v>0</v>
      </c>
      <c r="U57" s="10" t="inlineStr">
        <is>
          <t>pr_orienta_al_asociado_en_sede</t>
        </is>
      </c>
    </row>
    <row r="58">
      <c r="A58" s="8" t="n">
        <v>57</v>
      </c>
      <c r="B58" s="8" t="inlineStr">
        <is>
          <t>PR-2</t>
        </is>
      </c>
      <c r="C58" s="8" t="inlineStr">
        <is>
          <t>5. Canal Presencial</t>
        </is>
      </c>
      <c r="D58" s="8" t="inlineStr">
        <is>
          <t>Revisa los documentos en el momento.</t>
        </is>
      </c>
      <c r="E58" s="8" t="inlineStr">
        <is>
          <t>No crítico</t>
        </is>
      </c>
      <c r="F58" s="8" t="inlineStr">
        <is>
          <t>Presencial</t>
        </is>
      </c>
      <c r="G58" s="8" t="inlineStr">
        <is>
          <t>Todos</t>
        </is>
      </c>
      <c r="H58" s="8" t="n">
        <v>1</v>
      </c>
      <c r="I58" s="8" t="n">
        <v>1</v>
      </c>
      <c r="J58" s="8" t="n">
        <v>1</v>
      </c>
      <c r="K58" s="8" t="n">
        <v>1</v>
      </c>
      <c r="L58" s="8" t="n">
        <v>1</v>
      </c>
      <c r="M58" s="8" t="n">
        <v>1</v>
      </c>
      <c r="N58" s="8" t="inlineStr">
        <is>
          <t>PR-3</t>
        </is>
      </c>
      <c r="O58" s="8" t="inlineStr">
        <is>
          <t>X</t>
        </is>
      </c>
      <c r="P58" s="8" t="inlineStr">
        <is>
          <t>PV-IN-09</t>
        </is>
      </c>
      <c r="Q58" s="8" t="n">
        <v>0</v>
      </c>
      <c r="U58" s="10" t="inlineStr">
        <is>
          <t>pr_revisa_documentos_en_el_momento</t>
        </is>
      </c>
    </row>
    <row r="59">
      <c r="A59" s="25" t="n">
        <v>58</v>
      </c>
      <c r="B59" s="25" t="inlineStr">
        <is>
          <t>PR-3</t>
        </is>
      </c>
      <c r="C59" s="25" t="inlineStr">
        <is>
          <t>5. Canal Presencial</t>
        </is>
      </c>
      <c r="D59" s="25" t="inlineStr">
        <is>
          <t>Registra la reunión en HubSpot.</t>
        </is>
      </c>
      <c r="E59" s="25" t="inlineStr">
        <is>
          <t>No crítico</t>
        </is>
      </c>
      <c r="F59" s="25" t="inlineStr">
        <is>
          <t>Presencial</t>
        </is>
      </c>
      <c r="G59" s="25" t="inlineStr">
        <is>
          <t>Todos</t>
        </is>
      </c>
      <c r="H59" s="25" t="n">
        <v>1</v>
      </c>
      <c r="I59" s="25" t="n">
        <v>1</v>
      </c>
      <c r="J59" s="25" t="n">
        <v>1</v>
      </c>
      <c r="K59" s="25" t="n">
        <v>2</v>
      </c>
      <c r="L59" s="25" t="n">
        <v>2</v>
      </c>
      <c r="M59" s="25" t="n">
        <v>2</v>
      </c>
      <c r="N59" s="25" t="inlineStr"/>
      <c r="O59" s="25" t="inlineStr"/>
      <c r="P59" s="25" t="inlineStr">
        <is>
          <t>PV-IN-10</t>
        </is>
      </c>
      <c r="Q59" s="25" t="n">
        <v>0</v>
      </c>
      <c r="U59" s="10" t="inlineStr">
        <is>
          <t>pr_registra_reunion_en_hubspot</t>
        </is>
      </c>
    </row>
    <row r="60">
      <c r="J60" s="4" t="inlineStr">
        <is>
          <t>Total</t>
        </is>
      </c>
      <c r="K60" s="4">
        <f>SUM(K2:K59)</f>
        <v/>
      </c>
      <c r="L60" s="4">
        <f>SUM(L2:L59)</f>
        <v/>
      </c>
      <c r="M60" s="4">
        <f>SUM(M2:M59)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wa_hd_preguntas_seguridad_antes_de_informar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wa_hd_preguntas_seguridad_completas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wa_hd_no_informa_a_terceros_no_autorizados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wa_hd_protege_datos_y_usa_canales_oficiales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wa_hd_respeta_autorizacion_de_contacto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wa_ecu_informacion_correcta_y_completa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wa_ecu_trato_respetuoso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wa_ecu_da_respuesta_y_cierre_a_solicitudes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wa_ecn_primer_contacto_dentro_de_sla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wa_ecn_descalifica_con_intentos_y_motivo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wa_ecn_crea_o_asocia_negocio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wa_ecn_mueve_etapas_con_evidencia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wa_ecn_deja_estado_proxima_accion_responsable_fecha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wa_ecc_no_promete_condiciones_no_autorizadas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wa_ecc_no_altera_documentos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wa_ecc_cobra_con_respeto_y_dentro_de_la_ley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wa_sigue_cadencia_48h_multicanal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wa_responde_a_tiempo_en_conversacion_activa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wa_revisa_duplicados_e_historial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wa_perfila_el_caso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wa_indaga_que_monto_y_cuando_financiar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wa_resuelve_dudas_y_objeciones_sin_presionar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wa_ofrece_valor_adicional_o_alternativa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wa_pendientes_con_tarea_responsable_y_fecha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wa_escala_estudio_y_gestiona_congelado_48h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wa_aprobado_confirma_condiciones_y_sigue_desembolso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wa_usa_motivo_correcto_al_descalificar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wa_postventa_informa_pagos_y_registra_ticket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wa_informa_obligacion_correcta_y_vigente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wa_ofrece_alternativas_de_pago_autorizadas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wa_registra_resultado_cobranza_en_hubspot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wa_deja_tarea_seguimiento_compromiso_pago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wa_consulta_responde_oportunamente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wa_consulta_confirma_entendimiento_y_recibo_digital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wa_campana_responde_replica_oportunamente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wa_campana_retoma_motivo_y_se_identifica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wa_registra_contacto_como_actividad_correcta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wa_actividad_en_objeto_correcto_y_asociada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wa_notas_dicen_que_paso_que_falta_quien_cuando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wa_no_pide_de_nuevo_y_resume_al_transferir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wa_registra_datos_correctos_en_hubspot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wa_cordial_claro_transmite_confianza_empatia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wa_escucha_sin_interrumpir_no_discute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wa_cierra_con_compromiso_y_proximo_paso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wa_usa_bien_el_tiempo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WA-1</t>
        </is>
      </c>
      <c r="C47" s="25" t="inlineStr">
        <is>
          <t>wa_adapta_plantillas_y_buena_redaccion</t>
        </is>
      </c>
      <c r="D47" s="25" t="inlineStr">
        <is>
          <t>Adapta las plantillas al caso (no las envía sin ajustar) y escribe con buena redacción y ortografía.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AS-040</t>
        </is>
      </c>
    </row>
    <row r="48">
      <c r="A48" s="25" t="n">
        <v>47</v>
      </c>
      <c r="B48" s="25" t="inlineStr">
        <is>
          <t>WA-3</t>
        </is>
      </c>
      <c r="C48" s="25" t="inlineStr">
        <is>
          <t>wa_crea_o_asocia_contacto_en_crm</t>
        </is>
      </c>
      <c r="D48" s="25" t="inlineStr">
        <is>
          <t>Crea el contacto en el CRM si no existe y asocia la cuenta del asociado (PV-IN-02).</t>
        </is>
      </c>
      <c r="E48" s="25" t="inlineStr">
        <is>
          <t>No crítico</t>
        </is>
      </c>
      <c r="F48" s="25" t="inlineStr">
        <is>
          <t>Todos</t>
        </is>
      </c>
      <c r="G48" s="25" t="inlineStr">
        <is>
          <t>X</t>
        </is>
      </c>
      <c r="H48" s="25" t="n">
        <v>1</v>
      </c>
      <c r="I48" s="25" t="n">
        <v>1</v>
      </c>
      <c r="J48" s="25" t="n">
        <v>1</v>
      </c>
      <c r="K48" s="25" t="n"/>
      <c r="L48" s="25" t="inlineStr">
        <is>
          <t>X</t>
        </is>
      </c>
      <c r="M48" s="25" t="n">
        <v>0</v>
      </c>
      <c r="N48" s="25" t="n"/>
      <c r="O48" s="25" t="n"/>
      <c r="P48" s="25" t="n"/>
      <c r="Q48" s="25" t="n"/>
      <c r="R48" s="25" t="inlineStr">
        <is>
          <t>Proceso WhatsApp sedes comerciales 9-11</t>
        </is>
      </c>
    </row>
    <row r="49">
      <c r="A49" s="8" t="n">
        <v>48</v>
      </c>
      <c r="B49" s="8" t="inlineStr">
        <is>
          <t>WA-4</t>
        </is>
      </c>
      <c r="C49" s="8" t="inlineStr">
        <is>
          <t>wa_solicita_documentos_segun_perfilamiento</t>
        </is>
      </c>
      <c r="D49" s="8" t="inlineStr">
        <is>
          <t>Solicita los documentos de cada línea según el perfilamiento realizado.</t>
        </is>
      </c>
      <c r="E49" s="8" t="inlineStr">
        <is>
          <t>No crítico</t>
        </is>
      </c>
      <c r="F49" s="8" t="inlineStr">
        <is>
          <t>Todos</t>
        </is>
      </c>
      <c r="G49" s="8" t="inlineStr">
        <is>
          <t>X</t>
        </is>
      </c>
      <c r="H49" s="8" t="n">
        <v>1</v>
      </c>
      <c r="I49" s="8" t="n">
        <v>1</v>
      </c>
      <c r="J49" s="8" t="n">
        <v>1</v>
      </c>
      <c r="K49" s="8" t="n">
        <v>46</v>
      </c>
      <c r="L49" s="8" t="inlineStr">
        <is>
          <t>X</t>
        </is>
      </c>
      <c r="M49" s="8" t="n">
        <v>0</v>
      </c>
      <c r="N49" s="8" t="inlineStr">
        <is>
          <t>X</t>
        </is>
      </c>
      <c r="O49" s="8" t="n">
        <v>1</v>
      </c>
      <c r="P49" s="8" t="n">
        <v>1</v>
      </c>
      <c r="Q49" s="8" t="n">
        <v>1</v>
      </c>
      <c r="R49" s="8" t="inlineStr">
        <is>
          <t>Proceso WhatsApp sedes comerciales 15.4</t>
        </is>
      </c>
    </row>
    <row r="50">
      <c r="A50" s="25" t="n">
        <v>49</v>
      </c>
      <c r="B50" s="25" t="inlineStr">
        <is>
          <t>WA-5</t>
        </is>
      </c>
      <c r="C50" s="25" t="inlineStr">
        <is>
          <t>wa_envia_encuesta_y_cierra_conversacion</t>
        </is>
      </c>
      <c r="D50" s="25" t="inlineStr">
        <is>
          <t>Envía la encuesta de satisfacción y cierra la conversación.</t>
        </is>
      </c>
      <c r="E50" s="25" t="inlineStr">
        <is>
          <t>No crítico</t>
        </is>
      </c>
      <c r="F50" s="25" t="inlineStr">
        <is>
          <t>Todos</t>
        </is>
      </c>
      <c r="G50" s="25" t="inlineStr">
        <is>
          <t>X</t>
        </is>
      </c>
      <c r="H50" s="25" t="n">
        <v>1</v>
      </c>
      <c r="I50" s="25" t="n">
        <v>1</v>
      </c>
      <c r="J50" s="25" t="n">
        <v>1</v>
      </c>
      <c r="K50" s="25" t="n"/>
      <c r="L50" s="25" t="inlineStr">
        <is>
          <t>X</t>
        </is>
      </c>
      <c r="M50" s="25" t="n">
        <v>0</v>
      </c>
      <c r="N50" s="25" t="n"/>
      <c r="O50" s="25" t="n"/>
      <c r="P50" s="25" t="n"/>
      <c r="Q50" s="25" t="n"/>
      <c r="R50" s="25" t="inlineStr">
        <is>
          <t>Proceso WhatsApp sedes comerciales 15.6 y 16</t>
        </is>
      </c>
    </row>
    <row r="51">
      <c r="G51" s="4" t="inlineStr">
        <is>
          <t>Total</t>
        </is>
      </c>
      <c r="H51" s="4">
        <f>SUM(H2:H50)</f>
        <v/>
      </c>
      <c r="I51" s="4">
        <f>SUM(I2:I50)</f>
        <v/>
      </c>
      <c r="J51" s="4">
        <f>SUM(J2:J50)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ll_hd_preguntas_seguridad_antes_de_informar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ll_hd_preguntas_seguridad_completas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ll_hd_no_informa_a_terceros_no_autorizados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ll_hd_protege_datos_y_usa_canales_oficiales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ll_hd_respeta_autorizacion_de_contacto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ll_ecu_informacion_correcta_y_completa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ll_ecu_trato_respetuoso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ll_ecu_da_respuesta_y_cierre_a_solicitudes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ll_ecn_primer_contacto_dentro_de_sla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ll_ecn_descalifica_con_intentos_y_motivo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ll_ecn_crea_o_asocia_negocio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ll_ecn_mueve_etapas_con_evidencia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ll_ecn_deja_estado_proxima_accion_responsable_fecha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ll_ecc_no_promete_condiciones_no_autorizadas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ll_ecc_no_altera_documentos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ll_ecc_cobra_con_respeto_y_dentro_de_la_ley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ll_sigue_cadencia_48h_multicanal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ll_responde_a_tiempo_en_conversacion_activa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ll_revisa_duplicados_e_historial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ll_perfila_el_caso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ll_indaga_que_monto_y_cuando_financiar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ll_resuelve_dudas_y_objeciones_sin_presionar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ll_ofrece_valor_adicional_o_alternativa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ll_pendientes_con_tarea_responsable_y_fecha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ll_escala_estudio_y_gestiona_congelado_48h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ll_aprobado_confirma_condiciones_y_sigue_desembolso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ll_usa_motivo_correcto_al_descalificar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ll_postventa_informa_pagos_y_registra_ticket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ll_informa_obligacion_correcta_y_vigente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ll_ofrece_alternativas_de_pago_autorizadas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ll_registra_resultado_cobranza_en_hubspot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ll_deja_tarea_seguimiento_compromiso_pago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ll_consulta_responde_oportunamente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ll_consulta_confirma_entendimiento_y_recibo_digital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ll_campana_responde_replica_oportunamente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ll_campana_retoma_motivo_y_se_identifica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ll_registra_contacto_como_actividad_correcta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ll_actividad_en_objeto_correcto_y_asociada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ll_notas_dicen_que_paso_que_falta_quien_cuando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ll_no_pide_de_nuevo_y_resume_al_transferir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ll_registra_datos_correctos_en_hubspot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ll_cordial_claro_transmite_confianza_empatia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ll_escucha_sin_interrumpir_no_discute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ll_cierra_con_compromiso_y_proximo_paso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ll_usa_bien_el_tiempo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LL-1</t>
        </is>
      </c>
      <c r="C47" s="25" t="inlineStr">
        <is>
          <t>ll_se_presenta_al_abrir</t>
        </is>
      </c>
      <c r="D47" s="25" t="inlineStr">
        <is>
          <t>Se presenta al abrir la llamada.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AS-026</t>
        </is>
      </c>
    </row>
    <row r="48">
      <c r="A48" s="8" t="n">
        <v>47</v>
      </c>
      <c r="B48" s="8" t="inlineStr">
        <is>
          <t>LL-2</t>
        </is>
      </c>
      <c r="C48" s="8" t="inlineStr">
        <is>
          <t>ll_maneja_bien_la_espera</t>
        </is>
      </c>
      <c r="D48" s="8" t="inlineStr">
        <is>
          <t>Maneja bien la espera (informa y retoma).</t>
        </is>
      </c>
      <c r="E48" s="8" t="inlineStr">
        <is>
          <t>No crítico</t>
        </is>
      </c>
      <c r="F48" s="8" t="inlineStr">
        <is>
          <t>Todos</t>
        </is>
      </c>
      <c r="G48" s="8" t="inlineStr">
        <is>
          <t>X</t>
        </is>
      </c>
      <c r="H48" s="8" t="n">
        <v>1</v>
      </c>
      <c r="I48" s="8" t="n">
        <v>1</v>
      </c>
      <c r="J48" s="8" t="n">
        <v>1</v>
      </c>
      <c r="K48" s="8" t="n">
        <v>48</v>
      </c>
      <c r="L48" s="8" t="inlineStr">
        <is>
          <t>X</t>
        </is>
      </c>
      <c r="M48" s="8" t="n">
        <v>0</v>
      </c>
      <c r="N48" s="8" t="inlineStr">
        <is>
          <t>X</t>
        </is>
      </c>
      <c r="O48" s="8" t="n">
        <v>1</v>
      </c>
      <c r="P48" s="8" t="n">
        <v>1</v>
      </c>
      <c r="Q48" s="8" t="n">
        <v>1</v>
      </c>
      <c r="R48" s="8" t="inlineStr">
        <is>
          <t>AS-026</t>
        </is>
      </c>
    </row>
    <row r="49">
      <c r="A49" s="25" t="n">
        <v>48</v>
      </c>
      <c r="B49" s="25" t="inlineStr">
        <is>
          <t>LL-3</t>
        </is>
      </c>
      <c r="C49" s="25" t="inlineStr">
        <is>
          <t>ll_resume_acuerdos_al_cerrar</t>
        </is>
      </c>
      <c r="D49" s="25" t="inlineStr">
        <is>
          <t>Resume los acuerdos al cerrar.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AS-026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co_hd_preguntas_seguridad_antes_de_informar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co_hd_preguntas_seguridad_completas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co_hd_no_informa_a_terceros_no_autorizados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co_hd_protege_datos_y_usa_canales_oficiales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co_hd_respeta_autorizacion_de_contacto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co_ecu_informacion_correcta_y_completa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co_ecu_trato_respetuoso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co_ecu_da_respuesta_y_cierre_a_solicitudes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co_ecn_primer_contacto_dentro_de_sla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co_ecn_descalifica_con_intentos_y_motivo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co_ecn_crea_o_asocia_negocio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co_ecn_mueve_etapas_con_evidencia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co_ecn_deja_estado_proxima_accion_responsable_fecha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co_ecc_no_promete_condiciones_no_autorizadas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co_ecc_no_altera_documentos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co_ecc_cobra_con_respeto_y_dentro_de_la_ley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co_sigue_cadencia_48h_multicanal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co_responde_a_tiempo_en_conversacion_activa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co_revisa_duplicados_e_historial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co_perfila_el_caso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co_indaga_que_monto_y_cuando_financiar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co_resuelve_dudas_y_objeciones_sin_presionar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co_ofrece_valor_adicional_o_alternativa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co_pendientes_con_tarea_responsable_y_fecha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co_escala_estudio_y_gestiona_congelado_48h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co_aprobado_confirma_condiciones_y_sigue_desembolso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co_usa_motivo_correcto_al_descalificar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co_postventa_informa_pagos_y_registra_ticket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co_informa_obligacion_correcta_y_vigente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co_ofrece_alternativas_de_pago_autorizadas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co_registra_resultado_cobranza_en_hubspot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co_deja_tarea_seguimiento_compromiso_pago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co_consulta_responde_oportunamente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co_consulta_confirma_entendimiento_y_recibo_digital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co_campana_responde_replica_oportunamente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co_campana_retoma_motivo_y_se_identifica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co_registra_contacto_como_actividad_correcta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co_actividad_en_objeto_correcto_y_asociada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co_notas_dicen_que_paso_que_falta_quien_cuando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co_no_pide_de_nuevo_y_resume_al_transferir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co_registra_datos_correctos_en_hubspot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co_cordial_claro_transmite_confianza_empatia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co_escucha_sin_interrumpir_no_discute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co_cierra_con_compromiso_y_proximo_paso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co_usa_bien_el_tiempo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CO-1</t>
        </is>
      </c>
      <c r="C47" s="25" t="inlineStr">
        <is>
          <t>co_usa_asunto_claro</t>
        </is>
      </c>
      <c r="D47" s="25" t="inlineStr">
        <is>
          <t>Usa un asunto claro.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AS-039</t>
        </is>
      </c>
    </row>
    <row r="48">
      <c r="A48" s="25" t="n">
        <v>47</v>
      </c>
      <c r="B48" s="25" t="inlineStr">
        <is>
          <t>CO-2</t>
        </is>
      </c>
      <c r="C48" s="25" t="inlineStr">
        <is>
          <t>co_incluye_saludo_y_firma_actualizada</t>
        </is>
      </c>
      <c r="D48" s="25" t="inlineStr">
        <is>
          <t>Incluye saludo y firma actualizada.</t>
        </is>
      </c>
      <c r="E48" s="25" t="inlineStr">
        <is>
          <t>No crítico</t>
        </is>
      </c>
      <c r="F48" s="25" t="inlineStr">
        <is>
          <t>Todos</t>
        </is>
      </c>
      <c r="G48" s="25" t="inlineStr">
        <is>
          <t>X</t>
        </is>
      </c>
      <c r="H48" s="25" t="n">
        <v>1</v>
      </c>
      <c r="I48" s="25" t="n">
        <v>1</v>
      </c>
      <c r="J48" s="25" t="n">
        <v>1</v>
      </c>
      <c r="K48" s="25" t="n"/>
      <c r="L48" s="25" t="inlineStr">
        <is>
          <t>X</t>
        </is>
      </c>
      <c r="M48" s="25" t="n">
        <v>0</v>
      </c>
      <c r="N48" s="25" t="n"/>
      <c r="O48" s="25" t="n"/>
      <c r="P48" s="25" t="n"/>
      <c r="Q48" s="25" t="n"/>
      <c r="R48" s="25" t="inlineStr">
        <is>
          <t>AS-039</t>
        </is>
      </c>
    </row>
    <row r="49">
      <c r="A49" s="25" t="n">
        <v>48</v>
      </c>
      <c r="B49" s="25" t="inlineStr">
        <is>
          <t>CO-3</t>
        </is>
      </c>
      <c r="C49" s="25" t="inlineStr">
        <is>
          <t>co_dice_que_solicita_y_para_cuando</t>
        </is>
      </c>
      <c r="D49" s="25" t="inlineStr">
        <is>
          <t>Dice qué solicita y para cuándo.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AS-039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pr_hd_preguntas_seguridad_antes_de_informar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pr_hd_preguntas_seguridad_completas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pr_hd_no_informa_a_terceros_no_autorizados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pr_hd_protege_datos_y_usa_canales_oficiales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pr_hd_respeta_autorizacion_de_contacto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pr_ecu_informacion_correcta_y_completa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pr_ecu_trato_respetuoso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pr_ecu_da_respuesta_y_cierre_a_solicitudes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pr_ecn_primer_contacto_dentro_de_sla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pr_ecn_descalifica_con_intentos_y_motivo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pr_ecn_crea_o_asocia_negocio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pr_ecn_mueve_etapas_con_evidencia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pr_ecn_deja_estado_proxima_accion_responsable_fecha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pr_ecc_no_promete_condiciones_no_autorizadas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pr_ecc_no_altera_documentos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pr_ecc_cobra_con_respeto_y_dentro_de_la_ley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pr_sigue_cadencia_48h_multicanal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pr_responde_a_tiempo_en_conversacion_activa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pr_revisa_duplicados_e_historial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pr_perfila_el_caso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pr_indaga_que_monto_y_cuando_financiar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pr_resuelve_dudas_y_objeciones_sin_presionar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pr_ofrece_valor_adicional_o_alternativa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pr_pendientes_con_tarea_responsable_y_fecha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pr_escala_estudio_y_gestiona_congelado_48h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pr_aprobado_confirma_condiciones_y_sigue_desembolso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pr_usa_motivo_correcto_al_descalificar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pr_postventa_informa_pagos_y_registra_ticket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pr_informa_obligacion_correcta_y_vigente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pr_ofrece_alternativas_de_pago_autorizadas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pr_registra_resultado_cobranza_en_hubspot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pr_deja_tarea_seguimiento_compromiso_pago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pr_consulta_responde_oportunamente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pr_consulta_confirma_entendimiento_y_recibo_digital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pr_campana_responde_replica_oportunamente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pr_campana_retoma_motivo_y_se_identifica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pr_registra_contacto_como_actividad_correcta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pr_actividad_en_objeto_correcto_y_asociada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pr_notas_dicen_que_paso_que_falta_quien_cuando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pr_no_pide_de_nuevo_y_resume_al_transferir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pr_registra_datos_correctos_en_hubspot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pr_cordial_claro_transmite_confianza_empatia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pr_escucha_sin_interrumpir_no_discute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pr_cierra_con_compromiso_y_proximo_paso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pr_usa_bien_el_tiempo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8" t="n">
        <v>46</v>
      </c>
      <c r="B47" s="8" t="inlineStr">
        <is>
          <t>PR-1</t>
        </is>
      </c>
      <c r="C47" s="8" t="inlineStr">
        <is>
          <t>pr_orienta_al_asociado_en_sede</t>
        </is>
      </c>
      <c r="D47" s="8" t="inlineStr">
        <is>
          <t>Orienta al asociado en la sede.</t>
        </is>
      </c>
      <c r="E47" s="8" t="inlineStr">
        <is>
          <t>No crítico</t>
        </is>
      </c>
      <c r="F47" s="8" t="inlineStr">
        <is>
          <t>Todos</t>
        </is>
      </c>
      <c r="G47" s="8" t="inlineStr">
        <is>
          <t>X</t>
        </is>
      </c>
      <c r="H47" s="8" t="n">
        <v>1</v>
      </c>
      <c r="I47" s="8" t="n">
        <v>1</v>
      </c>
      <c r="J47" s="8" t="n">
        <v>1</v>
      </c>
      <c r="K47" s="8" t="n">
        <v>48</v>
      </c>
      <c r="L47" s="8" t="inlineStr">
        <is>
          <t>X</t>
        </is>
      </c>
      <c r="M47" s="8" t="n">
        <v>0</v>
      </c>
      <c r="N47" s="8" t="inlineStr">
        <is>
          <t>X</t>
        </is>
      </c>
      <c r="O47" s="8" t="n">
        <v>1</v>
      </c>
      <c r="P47" s="8" t="n">
        <v>1</v>
      </c>
      <c r="Q47" s="8" t="n">
        <v>1</v>
      </c>
      <c r="R47" s="8" t="inlineStr">
        <is>
          <t>AS-026</t>
        </is>
      </c>
    </row>
    <row r="48">
      <c r="A48" s="8" t="n">
        <v>47</v>
      </c>
      <c r="B48" s="8" t="inlineStr">
        <is>
          <t>PR-2</t>
        </is>
      </c>
      <c r="C48" s="8" t="inlineStr">
        <is>
          <t>pr_revisa_documentos_en_el_momento</t>
        </is>
      </c>
      <c r="D48" s="8" t="inlineStr">
        <is>
          <t>Revisa los documentos en el momento.</t>
        </is>
      </c>
      <c r="E48" s="8" t="inlineStr">
        <is>
          <t>No crítico</t>
        </is>
      </c>
      <c r="F48" s="8" t="inlineStr">
        <is>
          <t>Todos</t>
        </is>
      </c>
      <c r="G48" s="8" t="inlineStr">
        <is>
          <t>X</t>
        </is>
      </c>
      <c r="H48" s="8" t="n">
        <v>1</v>
      </c>
      <c r="I48" s="8" t="n">
        <v>1</v>
      </c>
      <c r="J48" s="8" t="n">
        <v>1</v>
      </c>
      <c r="K48" s="8" t="n">
        <v>48</v>
      </c>
      <c r="L48" s="8" t="inlineStr">
        <is>
          <t>X</t>
        </is>
      </c>
      <c r="M48" s="8" t="n">
        <v>0</v>
      </c>
      <c r="N48" s="8" t="inlineStr">
        <is>
          <t>X</t>
        </is>
      </c>
      <c r="O48" s="8" t="n">
        <v>1</v>
      </c>
      <c r="P48" s="8" t="n">
        <v>1</v>
      </c>
      <c r="Q48" s="8" t="n">
        <v>1</v>
      </c>
      <c r="R48" s="8" t="inlineStr">
        <is>
          <t>PV-IN-09</t>
        </is>
      </c>
    </row>
    <row r="49">
      <c r="A49" s="25" t="n">
        <v>48</v>
      </c>
      <c r="B49" s="25" t="inlineStr">
        <is>
          <t>PR-3</t>
        </is>
      </c>
      <c r="C49" s="25" t="inlineStr">
        <is>
          <t>pr_registra_reunion_en_hubspot</t>
        </is>
      </c>
      <c r="D49" s="25" t="inlineStr">
        <is>
          <t>Registra la reunión en HubSpot.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PV-IN-10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18" customWidth="1" min="7" max="7"/>
  </cols>
  <sheetData>
    <row r="1">
      <c r="A1" s="6" t="inlineStr">
        <is>
          <t>Resultado</t>
        </is>
      </c>
      <c r="B1" s="6" t="inlineStr">
        <is>
          <t>Modalidad</t>
        </is>
      </c>
      <c r="C1" s="6" t="inlineStr">
        <is>
          <t>Meses</t>
        </is>
      </c>
      <c r="D1" s="6" t="inlineStr">
        <is>
          <t>Canal</t>
        </is>
      </c>
      <c r="E1" s="6" t="inlineStr">
        <is>
          <t>Gestión</t>
        </is>
      </c>
      <c r="G1" s="6" t="inlineStr">
        <is>
          <t>Nivel de confianza</t>
        </is>
      </c>
      <c r="H1" s="6" t="inlineStr">
        <is>
          <t>Z</t>
        </is>
      </c>
    </row>
    <row r="2">
      <c r="A2" t="inlineStr">
        <is>
          <t>SI</t>
        </is>
      </c>
      <c r="B2" t="inlineStr">
        <is>
          <t>Monitoreo remoto</t>
        </is>
      </c>
      <c r="C2" t="inlineStr">
        <is>
          <t>ENERO</t>
        </is>
      </c>
      <c r="D2" t="inlineStr">
        <is>
          <t>WhatsApp</t>
        </is>
      </c>
      <c r="E2" t="inlineStr">
        <is>
          <t>Comercial</t>
        </is>
      </c>
      <c r="G2" t="n">
        <v>0.9</v>
      </c>
      <c r="H2" t="n">
        <v>1.645</v>
      </c>
    </row>
    <row r="3">
      <c r="A3" t="inlineStr">
        <is>
          <t>NO</t>
        </is>
      </c>
      <c r="B3" t="inlineStr">
        <is>
          <t>Monitoreo en línea</t>
        </is>
      </c>
      <c r="C3" t="inlineStr">
        <is>
          <t>FEBRERO</t>
        </is>
      </c>
      <c r="D3" t="inlineStr">
        <is>
          <t>Llamada</t>
        </is>
      </c>
      <c r="E3" t="inlineStr">
        <is>
          <t>Cobranza - consulta</t>
        </is>
      </c>
      <c r="G3" t="n">
        <v>0.95</v>
      </c>
      <c r="H3" t="n">
        <v>1.96</v>
      </c>
    </row>
    <row r="4">
      <c r="A4" t="inlineStr">
        <is>
          <t>N/A</t>
        </is>
      </c>
      <c r="C4" t="inlineStr">
        <is>
          <t>MARZO</t>
        </is>
      </c>
      <c r="D4" t="inlineStr">
        <is>
          <t>Correo</t>
        </is>
      </c>
      <c r="E4" t="inlineStr">
        <is>
          <t>Cobranza - campaña</t>
        </is>
      </c>
      <c r="G4" t="n">
        <v>0.99</v>
      </c>
      <c r="H4" t="n">
        <v>2.576</v>
      </c>
    </row>
    <row r="5">
      <c r="C5" t="inlineStr">
        <is>
          <t>ABRIL</t>
        </is>
      </c>
      <c r="D5" t="inlineStr">
        <is>
          <t>Presencial</t>
        </is>
      </c>
    </row>
    <row r="6">
      <c r="C6" t="inlineStr">
        <is>
          <t>MAYO</t>
        </is>
      </c>
    </row>
    <row r="7">
      <c r="C7" t="inlineStr">
        <is>
          <t>JUNIO</t>
        </is>
      </c>
    </row>
    <row r="8">
      <c r="C8" t="inlineStr">
        <is>
          <t>JULIO</t>
        </is>
      </c>
    </row>
    <row r="9">
      <c r="C9" t="inlineStr">
        <is>
          <t>AGOSTO</t>
        </is>
      </c>
    </row>
    <row r="10">
      <c r="C10" t="inlineStr">
        <is>
          <t>SEPTIEMBRE</t>
        </is>
      </c>
    </row>
    <row r="11">
      <c r="C11" t="inlineStr">
        <is>
          <t>OCTUBRE</t>
        </is>
      </c>
    </row>
    <row r="12">
      <c r="C12" t="inlineStr">
        <is>
          <t>NOVIEMBRE</t>
        </is>
      </c>
    </row>
    <row r="13">
      <c r="C13" t="inlineStr">
        <is>
          <t>DICIEMBRE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2026-10-29T21:51:54Z</dcterms:created>
  <dcterms:modified xmlns:dcterms="http://purl.org/dc/terms/" xmlns:xsi="http://www.w3.org/2001/XMLSchema-instance" xsi:type="dcterms:W3CDTF">2026-10-29T21:51:55Z</dcterms:modified>
</cp:coreProperties>
</file>